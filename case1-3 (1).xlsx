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rykhalskyi/Downloads/"/>
    </mc:Choice>
  </mc:AlternateContent>
  <xr:revisionPtr revIDLastSave="0" documentId="13_ncr:1_{285F1016-94C4-3140-817C-71AE7C0D55C9}" xr6:coauthVersionLast="47" xr6:coauthVersionMax="47" xr10:uidLastSave="{00000000-0000-0000-0000-000000000000}"/>
  <bookViews>
    <workbookView xWindow="0" yWindow="680" windowWidth="30240" windowHeight="17880" activeTab="8" xr2:uid="{00000000-000D-0000-FFFF-FFFF00000000}"/>
  </bookViews>
  <sheets>
    <sheet name="Title Page" sheetId="2" r:id="rId1"/>
    <sheet name="Sales Data" sheetId="1" r:id="rId2"/>
    <sheet name="Data Viz" sheetId="4" r:id="rId3"/>
    <sheet name="Regression" sheetId="8" r:id="rId4"/>
    <sheet name="Task 3" sheetId="9" r:id="rId5"/>
    <sheet name="Task 5" sheetId="14" r:id="rId6"/>
    <sheet name="Task 6" sheetId="10" r:id="rId7"/>
    <sheet name="Regression 14d" sheetId="17" r:id="rId8"/>
    <sheet name="Task 8" sheetId="18" r:id="rId9"/>
    <sheet name="Task 9" sheetId="16" r:id="rId10"/>
  </sheets>
  <calcPr calcId="191029"/>
  <pivotCaches>
    <pivotCache cacheId="1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2" i="18" l="1"/>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1002" i="18"/>
  <c r="F1003" i="18"/>
  <c r="F1004" i="18"/>
  <c r="F1005" i="18"/>
  <c r="F1006" i="18"/>
  <c r="F1007" i="18"/>
  <c r="F1008" i="18"/>
  <c r="F1009" i="18"/>
  <c r="F1010" i="18"/>
  <c r="F1011" i="18"/>
  <c r="F1012" i="18"/>
  <c r="F1013" i="18"/>
  <c r="F1014" i="18"/>
  <c r="F1015" i="18"/>
  <c r="F1016" i="18"/>
  <c r="F1017" i="18"/>
  <c r="F1018" i="18"/>
  <c r="F1019" i="18"/>
  <c r="F1020" i="18"/>
  <c r="F1021" i="18"/>
  <c r="F1022" i="18"/>
  <c r="F1023" i="18"/>
  <c r="F1024" i="18"/>
  <c r="F1025" i="18"/>
  <c r="F1026" i="18"/>
  <c r="F1027" i="18"/>
  <c r="F1028" i="18"/>
  <c r="F1029" i="18"/>
  <c r="F1030" i="18"/>
  <c r="F1031" i="18"/>
  <c r="F1032" i="18"/>
  <c r="F1033" i="18"/>
  <c r="F1034" i="18"/>
  <c r="F1035" i="18"/>
  <c r="F1036" i="18"/>
  <c r="F1037" i="18"/>
  <c r="F1038" i="18"/>
  <c r="F1039" i="18"/>
  <c r="F1040" i="18"/>
  <c r="F1041" i="18"/>
  <c r="F1042" i="18"/>
  <c r="F1043" i="18"/>
  <c r="F1044" i="18"/>
  <c r="F1045" i="18"/>
  <c r="F1046" i="18"/>
  <c r="F1047" i="18"/>
  <c r="F1048" i="18"/>
  <c r="F1049" i="18"/>
  <c r="F1050" i="18"/>
  <c r="F1051" i="18"/>
  <c r="F1052" i="18"/>
  <c r="F1053" i="18"/>
  <c r="F1054" i="18"/>
  <c r="F1055" i="18"/>
  <c r="F1056" i="18"/>
  <c r="F1057" i="18"/>
  <c r="F1058" i="18"/>
  <c r="F1059" i="18"/>
  <c r="F1060" i="18"/>
  <c r="F1061" i="18"/>
  <c r="F1062" i="18"/>
  <c r="F1063" i="18"/>
  <c r="F1064" i="18"/>
  <c r="F1065" i="18"/>
  <c r="F1066" i="18"/>
  <c r="F1067" i="18"/>
  <c r="F1068" i="18"/>
  <c r="F1069" i="18"/>
  <c r="F1070" i="18"/>
  <c r="F1071" i="18"/>
  <c r="F1072" i="18"/>
  <c r="F1073" i="18"/>
  <c r="F1074" i="18"/>
  <c r="F1075" i="18"/>
  <c r="F1076" i="18"/>
  <c r="F1077" i="18"/>
  <c r="F1078" i="18"/>
  <c r="F1079" i="18"/>
  <c r="F1080" i="18"/>
  <c r="F1081" i="18"/>
  <c r="F1082" i="18"/>
  <c r="F1083" i="18"/>
  <c r="F1084" i="18"/>
  <c r="F1085" i="18"/>
  <c r="F1086" i="18"/>
  <c r="F1087" i="18"/>
  <c r="F1088" i="18"/>
  <c r="F1089" i="18"/>
  <c r="F1090" i="18"/>
  <c r="F1091" i="18"/>
  <c r="F1092" i="18"/>
  <c r="F1093" i="18"/>
  <c r="F1094" i="18"/>
  <c r="F1095" i="18"/>
  <c r="F1096" i="18"/>
  <c r="F1097" i="18"/>
  <c r="F1098" i="18"/>
  <c r="F1099" i="18"/>
  <c r="F1100" i="18"/>
  <c r="F1101" i="18"/>
  <c r="F1102" i="18"/>
  <c r="F1103" i="18"/>
  <c r="F1104" i="18"/>
  <c r="F1105" i="18"/>
  <c r="F1106" i="18"/>
  <c r="F1107" i="18"/>
  <c r="F1108" i="18"/>
  <c r="F1109" i="18"/>
  <c r="F1110" i="18"/>
  <c r="F1111" i="18"/>
  <c r="F1112" i="18"/>
  <c r="F1113" i="18"/>
  <c r="F1114" i="18"/>
  <c r="F1115" i="18"/>
  <c r="F1116" i="18"/>
  <c r="F1117" i="18"/>
  <c r="F1118" i="18"/>
  <c r="F1119" i="18"/>
  <c r="F1120" i="18"/>
  <c r="F1121" i="18"/>
  <c r="F1122" i="18"/>
  <c r="F1123" i="18"/>
  <c r="F1124" i="18"/>
  <c r="F1125" i="18"/>
  <c r="F1126" i="18"/>
  <c r="F1127" i="18"/>
  <c r="F1128" i="18"/>
  <c r="F1129" i="18"/>
  <c r="F1130" i="18"/>
  <c r="F1131" i="18"/>
  <c r="F1132" i="18"/>
  <c r="F1133" i="18"/>
  <c r="F1134" i="18"/>
  <c r="F1135" i="18"/>
  <c r="F1136" i="18"/>
  <c r="F1137" i="18"/>
  <c r="F1138" i="18"/>
  <c r="F1139" i="18"/>
  <c r="F1140" i="18"/>
  <c r="F1141" i="18"/>
  <c r="F1142" i="18"/>
  <c r="F1143" i="18"/>
  <c r="F1144" i="18"/>
  <c r="F1145" i="18"/>
  <c r="F1146" i="18"/>
  <c r="F1147" i="18"/>
  <c r="F1148" i="18"/>
  <c r="F1149" i="18"/>
  <c r="F1150" i="18"/>
  <c r="F1151" i="18"/>
  <c r="F1152" i="18"/>
  <c r="F1153" i="18"/>
  <c r="F1154" i="18"/>
  <c r="F1155" i="18"/>
  <c r="F1156" i="18"/>
  <c r="F1157" i="18"/>
  <c r="F1158" i="18"/>
  <c r="F1159" i="18"/>
  <c r="F1160" i="18"/>
  <c r="F1161" i="18"/>
  <c r="F1162" i="18"/>
  <c r="F1163" i="18"/>
  <c r="F1164" i="18"/>
  <c r="F1165" i="18"/>
  <c r="F1166" i="18"/>
  <c r="F1167" i="18"/>
  <c r="F1168" i="18"/>
  <c r="F1169" i="18"/>
  <c r="F1170" i="18"/>
  <c r="F1171" i="18"/>
  <c r="F1172" i="18"/>
  <c r="F1173" i="18"/>
  <c r="F1174" i="18"/>
  <c r="F1175" i="18"/>
  <c r="F1176" i="18"/>
  <c r="F1177" i="18"/>
  <c r="F1178" i="18"/>
  <c r="F1179" i="18"/>
  <c r="F1180" i="18"/>
  <c r="F1181" i="18"/>
  <c r="F1182" i="18"/>
  <c r="F1183" i="18"/>
  <c r="F1184" i="18"/>
  <c r="F1185" i="18"/>
  <c r="F1186" i="18"/>
  <c r="F1187" i="18"/>
  <c r="F1188" i="18"/>
  <c r="F1189" i="18"/>
  <c r="F1190" i="18"/>
  <c r="F1191" i="18"/>
  <c r="F1192" i="18"/>
  <c r="F1193" i="18"/>
  <c r="F1194" i="18"/>
  <c r="F1195" i="18"/>
  <c r="F1196" i="18"/>
  <c r="F1197" i="18"/>
  <c r="F1198" i="18"/>
  <c r="F1199" i="18"/>
  <c r="F1200" i="18"/>
  <c r="F1201" i="18"/>
  <c r="F1202" i="18"/>
  <c r="F1203" i="18"/>
  <c r="F1204" i="18"/>
  <c r="F1205" i="18"/>
  <c r="F1206" i="18"/>
  <c r="F1207" i="18"/>
  <c r="F1208" i="18"/>
  <c r="F1209" i="18"/>
  <c r="F1210" i="18"/>
  <c r="F1211" i="18"/>
  <c r="F1212" i="18"/>
  <c r="F1213" i="18"/>
  <c r="F1214" i="18"/>
  <c r="F1215" i="18"/>
  <c r="F1216" i="18"/>
  <c r="F1217" i="18"/>
  <c r="F1218" i="18"/>
  <c r="F1219" i="18"/>
  <c r="F1220" i="18"/>
  <c r="F1221" i="18"/>
  <c r="F1222" i="18"/>
  <c r="F1223" i="18"/>
  <c r="F1224" i="18"/>
  <c r="F1225" i="18"/>
  <c r="F1226" i="18"/>
  <c r="F1227" i="18"/>
  <c r="F1228" i="18"/>
  <c r="F1229" i="18"/>
  <c r="F1230" i="18"/>
  <c r="F1231" i="18"/>
  <c r="F1232" i="18"/>
  <c r="F1233" i="18"/>
  <c r="F1234" i="18"/>
  <c r="F1235" i="18"/>
  <c r="F1236" i="18"/>
  <c r="F1237" i="18"/>
  <c r="F1238" i="18"/>
  <c r="F1239" i="18"/>
  <c r="F1240" i="18"/>
  <c r="F1241" i="18"/>
  <c r="F1242" i="18"/>
  <c r="F1243" i="18"/>
  <c r="F1244" i="18"/>
  <c r="F1245" i="18"/>
  <c r="F1246" i="18"/>
  <c r="F1247" i="18"/>
  <c r="F1248" i="18"/>
  <c r="F1249" i="18"/>
  <c r="F1250" i="18"/>
  <c r="F1251" i="18"/>
  <c r="F1252" i="18"/>
  <c r="F1253" i="18"/>
  <c r="F1254" i="18"/>
  <c r="F1255" i="18"/>
  <c r="F1256" i="18"/>
  <c r="F1257" i="18"/>
  <c r="F1258" i="18"/>
  <c r="F1259" i="18"/>
  <c r="F1260" i="18"/>
  <c r="F1261" i="18"/>
  <c r="F1262" i="18"/>
  <c r="F1263" i="18"/>
  <c r="F1264" i="18"/>
  <c r="F1265" i="18"/>
  <c r="F1266" i="18"/>
  <c r="F1267" i="18"/>
  <c r="F1268" i="18"/>
  <c r="F1269" i="18"/>
  <c r="F1270" i="18"/>
  <c r="F1271" i="18"/>
  <c r="F1272" i="18"/>
  <c r="F1273" i="18"/>
  <c r="F1274" i="18"/>
  <c r="F1275" i="18"/>
  <c r="F1276" i="18"/>
  <c r="F1277" i="18"/>
  <c r="F1278" i="18"/>
  <c r="F1279" i="18"/>
  <c r="F1280" i="18"/>
  <c r="F1281" i="18"/>
  <c r="F1282" i="18"/>
  <c r="F1283" i="18"/>
  <c r="F1284" i="18"/>
  <c r="F1285" i="18"/>
  <c r="F1286" i="18"/>
  <c r="F1287" i="18"/>
  <c r="F1288" i="18"/>
  <c r="F1289" i="18"/>
  <c r="F1290" i="18"/>
  <c r="F1291" i="18"/>
  <c r="F1292" i="18"/>
  <c r="F1293" i="18"/>
  <c r="F1294" i="18"/>
  <c r="F1295" i="18"/>
  <c r="F1296" i="18"/>
  <c r="F1297" i="18"/>
  <c r="F1298" i="18"/>
  <c r="F1299" i="18"/>
  <c r="F1300" i="18"/>
  <c r="F1301" i="18"/>
  <c r="F1302" i="18"/>
  <c r="F1303" i="18"/>
  <c r="F1304" i="18"/>
  <c r="F1305" i="18"/>
  <c r="F1306" i="18"/>
  <c r="F1307" i="18"/>
  <c r="F1308" i="18"/>
  <c r="F1309" i="18"/>
  <c r="F1310" i="18"/>
  <c r="F1311" i="18"/>
  <c r="F1312" i="18"/>
  <c r="F1313" i="18"/>
  <c r="F1314" i="18"/>
  <c r="F1315" i="18"/>
  <c r="F1316" i="18"/>
  <c r="F1317" i="18"/>
  <c r="F1318" i="18"/>
  <c r="F1319" i="18"/>
  <c r="F1320" i="18"/>
  <c r="F1321" i="18"/>
  <c r="F1322" i="18"/>
  <c r="F1323" i="18"/>
  <c r="F1324" i="18"/>
  <c r="F1325" i="18"/>
  <c r="F1326" i="18"/>
  <c r="F1327" i="18"/>
  <c r="F1328" i="18"/>
  <c r="F1329" i="18"/>
  <c r="F1330" i="18"/>
  <c r="F1331" i="18"/>
  <c r="F1332" i="18"/>
  <c r="F1333" i="18"/>
  <c r="F1334" i="18"/>
  <c r="F1335" i="18"/>
  <c r="F1336" i="18"/>
  <c r="F1337" i="18"/>
  <c r="F1338" i="18"/>
  <c r="F1339" i="18"/>
  <c r="F1340" i="18"/>
  <c r="F1341" i="18"/>
  <c r="F1342" i="18"/>
  <c r="F1343" i="18"/>
  <c r="F1344" i="18"/>
  <c r="F1345" i="18"/>
  <c r="F1346" i="18"/>
  <c r="F1347" i="18"/>
  <c r="F1348" i="18"/>
  <c r="F1349" i="18"/>
  <c r="F1350" i="18"/>
  <c r="F1351" i="18"/>
  <c r="F1352" i="18"/>
  <c r="F1353" i="18"/>
  <c r="F1354" i="18"/>
  <c r="F1355" i="18"/>
  <c r="F1356" i="18"/>
  <c r="F1357" i="18"/>
  <c r="F1358" i="18"/>
  <c r="F1359" i="18"/>
  <c r="F1360" i="18"/>
  <c r="F1361" i="18"/>
  <c r="F1362" i="18"/>
  <c r="F1363" i="18"/>
  <c r="F1364" i="18"/>
  <c r="F1365" i="18"/>
  <c r="F1366" i="18"/>
  <c r="F1367" i="18"/>
  <c r="F1368" i="18"/>
  <c r="F1369" i="18"/>
  <c r="F1370" i="18"/>
  <c r="F1371" i="18"/>
  <c r="F1372" i="18"/>
  <c r="F1373" i="18"/>
  <c r="F1374" i="18"/>
  <c r="F1375" i="18"/>
  <c r="F1376" i="18"/>
  <c r="F1377" i="18"/>
  <c r="F1378" i="18"/>
  <c r="F1379" i="18"/>
  <c r="F1380" i="18"/>
  <c r="F1381" i="18"/>
  <c r="F1382" i="18"/>
  <c r="F1383" i="18"/>
  <c r="F1384" i="18"/>
  <c r="F1385" i="18"/>
  <c r="F1386" i="18"/>
  <c r="F1387" i="18"/>
  <c r="F1388" i="18"/>
  <c r="F1389" i="18"/>
  <c r="F1390" i="18"/>
  <c r="F1391" i="18"/>
  <c r="F1392" i="18"/>
  <c r="F1393" i="18"/>
  <c r="F1394" i="18"/>
  <c r="F1395" i="18"/>
  <c r="F1396" i="18"/>
  <c r="F1397" i="18"/>
  <c r="F1398" i="18"/>
  <c r="F1399" i="18"/>
  <c r="F1400" i="18"/>
  <c r="F1401" i="18"/>
  <c r="F1402" i="18"/>
  <c r="F1403" i="18"/>
  <c r="F1404" i="18"/>
  <c r="F1405" i="18"/>
  <c r="F1406" i="18"/>
  <c r="F1407" i="18"/>
  <c r="F1408" i="18"/>
  <c r="F1409" i="18"/>
  <c r="F1410" i="18"/>
  <c r="F1411" i="18"/>
  <c r="F1412" i="18"/>
  <c r="F1413" i="18"/>
  <c r="F1414" i="18"/>
  <c r="F1415" i="18"/>
  <c r="F1416" i="18"/>
  <c r="F1417" i="18"/>
  <c r="F1418" i="18"/>
  <c r="F1419" i="18"/>
  <c r="F1420" i="18"/>
  <c r="F1421" i="18"/>
  <c r="F1422" i="18"/>
  <c r="F1423" i="18"/>
  <c r="F1424" i="18"/>
  <c r="F1425" i="18"/>
  <c r="F1426" i="18"/>
  <c r="F1427" i="18"/>
  <c r="F1428" i="18"/>
  <c r="F1429" i="18"/>
  <c r="F1430" i="18"/>
  <c r="F1431" i="18"/>
  <c r="F1432" i="18"/>
  <c r="F1433" i="18"/>
  <c r="F1434" i="18"/>
  <c r="F1435" i="18"/>
  <c r="F1436" i="18"/>
  <c r="F1437" i="18"/>
  <c r="F1438" i="18"/>
  <c r="F1439" i="18"/>
  <c r="F1440" i="18"/>
  <c r="F1441" i="18"/>
  <c r="F1442" i="18"/>
  <c r="F1443" i="18"/>
  <c r="F1444" i="18"/>
  <c r="F1445" i="18"/>
  <c r="F1446" i="18"/>
  <c r="F1447" i="18"/>
  <c r="F1448" i="18"/>
  <c r="F1449" i="18"/>
  <c r="F1450" i="18"/>
  <c r="F1451" i="18"/>
  <c r="F1452" i="18"/>
  <c r="F1453" i="18"/>
  <c r="F1454" i="18"/>
  <c r="F1455" i="18"/>
  <c r="F1456" i="18"/>
  <c r="F1457" i="18"/>
  <c r="F1458" i="18"/>
  <c r="F1459" i="18"/>
  <c r="F1460" i="18"/>
  <c r="F1461" i="18"/>
  <c r="F1462" i="18"/>
  <c r="F1463" i="18"/>
  <c r="F1464" i="18"/>
  <c r="F1465" i="18"/>
  <c r="F1466" i="18"/>
  <c r="F1467" i="18"/>
  <c r="F1468" i="18"/>
  <c r="F1469" i="18"/>
  <c r="F1470" i="18"/>
  <c r="F1471" i="18"/>
  <c r="F1472" i="18"/>
  <c r="F1473" i="18"/>
  <c r="F1474" i="18"/>
  <c r="F1475" i="18"/>
  <c r="F1476" i="18"/>
  <c r="F1477" i="18"/>
  <c r="F1478" i="18"/>
  <c r="F1479" i="18"/>
  <c r="F1480" i="18"/>
  <c r="F1481" i="18"/>
  <c r="F1482" i="18"/>
  <c r="F1483" i="18"/>
  <c r="F1484" i="18"/>
  <c r="F1485" i="18"/>
  <c r="F1486" i="18"/>
  <c r="F1487" i="18"/>
  <c r="F1488" i="18"/>
  <c r="F1489" i="18"/>
  <c r="F1490" i="18"/>
  <c r="F1491" i="18"/>
  <c r="F1492" i="18"/>
  <c r="F1493" i="18"/>
  <c r="F1494" i="18"/>
  <c r="F1495" i="18"/>
  <c r="F1496" i="18"/>
  <c r="F1497" i="18"/>
  <c r="F1498" i="18"/>
  <c r="F1499" i="18"/>
  <c r="F1500" i="18"/>
  <c r="F1501" i="18"/>
  <c r="F1502" i="18"/>
  <c r="F1503" i="18"/>
  <c r="F1504" i="18"/>
  <c r="F1505" i="18"/>
  <c r="F1506" i="18"/>
  <c r="M18" i="16"/>
  <c r="L9" i="16"/>
  <c r="N9" i="16" s="1"/>
  <c r="L14" i="16"/>
  <c r="N14" i="16" s="1"/>
  <c r="L19" i="16"/>
  <c r="N19" i="16" s="1"/>
  <c r="L20" i="16"/>
  <c r="N20" i="16" s="1"/>
  <c r="L21" i="16"/>
  <c r="N21" i="16" s="1"/>
  <c r="I2" i="17"/>
  <c r="C3" i="17"/>
  <c r="C4" i="17"/>
  <c r="C5" i="17"/>
  <c r="C6" i="17"/>
  <c r="C7" i="17"/>
  <c r="C8" i="17"/>
  <c r="C9" i="17"/>
  <c r="C10" i="17"/>
  <c r="C11" i="17"/>
  <c r="C12" i="17"/>
  <c r="C13" i="17"/>
  <c r="C14" i="17"/>
  <c r="C15" i="17"/>
  <c r="C16" i="17"/>
  <c r="C17" i="17"/>
  <c r="C18" i="17"/>
  <c r="C19" i="17"/>
  <c r="C20" i="17"/>
  <c r="C21" i="17"/>
  <c r="C22" i="17"/>
  <c r="C23" i="17"/>
  <c r="C24" i="17"/>
  <c r="C2" i="17"/>
  <c r="D2" i="17" s="1"/>
  <c r="J10" i="16"/>
  <c r="J11" i="16"/>
  <c r="J12" i="16"/>
  <c r="J13" i="16"/>
  <c r="J14" i="16"/>
  <c r="J15" i="16"/>
  <c r="J16" i="16"/>
  <c r="J17" i="16"/>
  <c r="J18" i="16"/>
  <c r="J19" i="16"/>
  <c r="J20" i="16"/>
  <c r="J21" i="16"/>
  <c r="J9" i="16"/>
  <c r="R4" i="18"/>
  <c r="S4" i="18"/>
  <c r="T4" i="18"/>
  <c r="U4" i="18"/>
  <c r="V4" i="18"/>
  <c r="W4" i="18"/>
  <c r="X4" i="18"/>
  <c r="Y4" i="18"/>
  <c r="Z4" i="18"/>
  <c r="AA4" i="18"/>
  <c r="AB4" i="18"/>
  <c r="AC4" i="18"/>
  <c r="Q4" i="18"/>
  <c r="Q5" i="18" s="1"/>
  <c r="B5" i="18"/>
  <c r="G10" i="16"/>
  <c r="G11" i="16"/>
  <c r="G12" i="16"/>
  <c r="G13" i="16"/>
  <c r="G14" i="16"/>
  <c r="G15" i="16"/>
  <c r="G16" i="16"/>
  <c r="G17" i="16"/>
  <c r="G18" i="16"/>
  <c r="G19" i="16"/>
  <c r="G20" i="16"/>
  <c r="G21" i="16"/>
  <c r="G9" i="16"/>
  <c r="H9" i="16" s="1"/>
  <c r="B7" i="18"/>
  <c r="B8" i="18" s="1"/>
  <c r="R5" i="18"/>
  <c r="S5" i="18"/>
  <c r="T5" i="18"/>
  <c r="U5" i="18"/>
  <c r="V5" i="18"/>
  <c r="W5" i="18"/>
  <c r="X5" i="18"/>
  <c r="Y5" i="18"/>
  <c r="Z5" i="18"/>
  <c r="AA5" i="18"/>
  <c r="AB5" i="18"/>
  <c r="AC5" i="18"/>
  <c r="B4" i="18"/>
  <c r="B10" i="16"/>
  <c r="B11" i="16"/>
  <c r="B12" i="16"/>
  <c r="B13" i="16"/>
  <c r="B14" i="16"/>
  <c r="B15" i="16"/>
  <c r="B16" i="16"/>
  <c r="B17" i="16"/>
  <c r="B18" i="16"/>
  <c r="B19" i="16"/>
  <c r="B20" i="16"/>
  <c r="B21" i="16"/>
  <c r="B9" i="16"/>
  <c r="Q7" i="18" a="1"/>
  <c r="Q7" i="18" s="1"/>
  <c r="B13" i="14"/>
  <c r="B14" i="14"/>
  <c r="B15" i="14"/>
  <c r="B16" i="14"/>
  <c r="B17" i="14"/>
  <c r="B18" i="14"/>
  <c r="C18" i="14" s="1"/>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70" i="14"/>
  <c r="B671" i="14"/>
  <c r="B672" i="14"/>
  <c r="B673" i="14"/>
  <c r="B674" i="14"/>
  <c r="B675" i="14"/>
  <c r="B676" i="14"/>
  <c r="B677" i="14"/>
  <c r="B678" i="14"/>
  <c r="B679" i="14"/>
  <c r="B680" i="14"/>
  <c r="B681" i="14"/>
  <c r="B682" i="14"/>
  <c r="B683" i="14"/>
  <c r="B684" i="14"/>
  <c r="B685" i="14"/>
  <c r="B686" i="14"/>
  <c r="B687" i="14"/>
  <c r="B688" i="14"/>
  <c r="B689" i="14"/>
  <c r="B690" i="14"/>
  <c r="B691" i="14"/>
  <c r="B692" i="14"/>
  <c r="B693" i="14"/>
  <c r="B694" i="14"/>
  <c r="B695" i="14"/>
  <c r="B696" i="14"/>
  <c r="B697" i="14"/>
  <c r="B698" i="14"/>
  <c r="B699" i="14"/>
  <c r="B700" i="14"/>
  <c r="B701" i="14"/>
  <c r="B702" i="14"/>
  <c r="B703" i="14"/>
  <c r="B704" i="14"/>
  <c r="B705" i="14"/>
  <c r="B706" i="14"/>
  <c r="B707" i="14"/>
  <c r="B708" i="14"/>
  <c r="B709" i="14"/>
  <c r="B710" i="14"/>
  <c r="B711" i="14"/>
  <c r="B712" i="14"/>
  <c r="B713" i="14"/>
  <c r="B714" i="14"/>
  <c r="B715" i="14"/>
  <c r="B716" i="14"/>
  <c r="B717" i="14"/>
  <c r="B718" i="14"/>
  <c r="B719" i="14"/>
  <c r="B720" i="14"/>
  <c r="B721" i="14"/>
  <c r="B722" i="14"/>
  <c r="B723" i="14"/>
  <c r="B724" i="14"/>
  <c r="B725" i="14"/>
  <c r="B726" i="14"/>
  <c r="B727" i="14"/>
  <c r="B728" i="14"/>
  <c r="B729" i="14"/>
  <c r="B730" i="14"/>
  <c r="B731" i="14"/>
  <c r="B732" i="14"/>
  <c r="B733" i="14"/>
  <c r="B734" i="14"/>
  <c r="B735" i="14"/>
  <c r="B736" i="14"/>
  <c r="B737" i="14"/>
  <c r="B738" i="14"/>
  <c r="B739" i="14"/>
  <c r="B740" i="14"/>
  <c r="B741" i="14"/>
  <c r="B742" i="14"/>
  <c r="B743" i="14"/>
  <c r="B744" i="14"/>
  <c r="B745" i="14"/>
  <c r="B746" i="14"/>
  <c r="B747" i="14"/>
  <c r="B748" i="14"/>
  <c r="B749" i="14"/>
  <c r="B750" i="14"/>
  <c r="B751" i="14"/>
  <c r="B752" i="14"/>
  <c r="B753" i="14"/>
  <c r="B754" i="14"/>
  <c r="B755" i="14"/>
  <c r="B756" i="14"/>
  <c r="B757" i="14"/>
  <c r="B758" i="14"/>
  <c r="B759" i="14"/>
  <c r="B760" i="14"/>
  <c r="B761" i="14"/>
  <c r="B762" i="14"/>
  <c r="B763" i="14"/>
  <c r="B764" i="14"/>
  <c r="B765" i="14"/>
  <c r="B766" i="14"/>
  <c r="B767" i="14"/>
  <c r="B768" i="14"/>
  <c r="B769" i="14"/>
  <c r="B770" i="14"/>
  <c r="B771" i="14"/>
  <c r="B772" i="14"/>
  <c r="B773" i="14"/>
  <c r="B774" i="14"/>
  <c r="B775" i="14"/>
  <c r="B776" i="14"/>
  <c r="B777" i="14"/>
  <c r="B778" i="14"/>
  <c r="B779" i="14"/>
  <c r="B780" i="14"/>
  <c r="B781" i="14"/>
  <c r="B782" i="14"/>
  <c r="B783" i="14"/>
  <c r="B784" i="14"/>
  <c r="B785" i="14"/>
  <c r="B786" i="14"/>
  <c r="B787" i="14"/>
  <c r="B788" i="14"/>
  <c r="B789" i="14"/>
  <c r="B790" i="14"/>
  <c r="B791" i="14"/>
  <c r="B792" i="14"/>
  <c r="B793" i="14"/>
  <c r="B794" i="14"/>
  <c r="B795" i="14"/>
  <c r="B796" i="14"/>
  <c r="B797" i="14"/>
  <c r="B798" i="14"/>
  <c r="B799" i="14"/>
  <c r="B800" i="14"/>
  <c r="B801" i="14"/>
  <c r="B802" i="14"/>
  <c r="B803" i="14"/>
  <c r="B804" i="14"/>
  <c r="B805" i="14"/>
  <c r="B806" i="14"/>
  <c r="B807" i="14"/>
  <c r="B808" i="14"/>
  <c r="B809" i="14"/>
  <c r="B810" i="14"/>
  <c r="B811" i="14"/>
  <c r="B812" i="14"/>
  <c r="B813" i="14"/>
  <c r="B814" i="14"/>
  <c r="B815" i="14"/>
  <c r="B816" i="14"/>
  <c r="B817" i="14"/>
  <c r="B818" i="14"/>
  <c r="B819" i="14"/>
  <c r="B820" i="14"/>
  <c r="B821" i="14"/>
  <c r="B822" i="14"/>
  <c r="B823" i="14"/>
  <c r="B824" i="14"/>
  <c r="B825" i="14"/>
  <c r="B826" i="14"/>
  <c r="B827" i="14"/>
  <c r="B828" i="14"/>
  <c r="B829" i="14"/>
  <c r="B830" i="14"/>
  <c r="B831" i="14"/>
  <c r="B832" i="14"/>
  <c r="B833" i="14"/>
  <c r="B834" i="14"/>
  <c r="B835" i="14"/>
  <c r="B836" i="14"/>
  <c r="B837" i="14"/>
  <c r="B838" i="14"/>
  <c r="B839" i="14"/>
  <c r="B840" i="14"/>
  <c r="B841" i="14"/>
  <c r="B842" i="14"/>
  <c r="B843" i="14"/>
  <c r="B844" i="14"/>
  <c r="B845" i="14"/>
  <c r="B846" i="14"/>
  <c r="B847" i="14"/>
  <c r="B848" i="14"/>
  <c r="B849" i="14"/>
  <c r="B850" i="14"/>
  <c r="B851" i="14"/>
  <c r="B852" i="14"/>
  <c r="B853" i="14"/>
  <c r="B854" i="14"/>
  <c r="B855" i="14"/>
  <c r="B856" i="14"/>
  <c r="B857" i="14"/>
  <c r="B858" i="14"/>
  <c r="B859" i="14"/>
  <c r="B860" i="14"/>
  <c r="B861" i="14"/>
  <c r="B862" i="14"/>
  <c r="B863" i="14"/>
  <c r="B864" i="14"/>
  <c r="B865" i="14"/>
  <c r="B866" i="14"/>
  <c r="B867" i="14"/>
  <c r="B868" i="14"/>
  <c r="B869" i="14"/>
  <c r="B870" i="14"/>
  <c r="B871" i="14"/>
  <c r="B872" i="14"/>
  <c r="B873" i="14"/>
  <c r="B874" i="14"/>
  <c r="B875" i="14"/>
  <c r="B876" i="14"/>
  <c r="B877" i="14"/>
  <c r="B878" i="14"/>
  <c r="B879" i="14"/>
  <c r="B880" i="14"/>
  <c r="B881" i="14"/>
  <c r="B882" i="14"/>
  <c r="B883" i="14"/>
  <c r="B884" i="14"/>
  <c r="B885" i="14"/>
  <c r="B886" i="14"/>
  <c r="B887" i="14"/>
  <c r="B888" i="14"/>
  <c r="B889" i="14"/>
  <c r="B890" i="14"/>
  <c r="B891" i="14"/>
  <c r="B892" i="14"/>
  <c r="B893" i="14"/>
  <c r="B894" i="14"/>
  <c r="B895" i="14"/>
  <c r="B896" i="14"/>
  <c r="B897" i="14"/>
  <c r="B898" i="14"/>
  <c r="B899" i="14"/>
  <c r="B900" i="14"/>
  <c r="B901" i="14"/>
  <c r="B902" i="14"/>
  <c r="B903" i="14"/>
  <c r="B904" i="14"/>
  <c r="B905" i="14"/>
  <c r="B906" i="14"/>
  <c r="B907" i="14"/>
  <c r="B908" i="14"/>
  <c r="B909" i="14"/>
  <c r="B910" i="14"/>
  <c r="B911" i="14"/>
  <c r="B912" i="14"/>
  <c r="B913" i="14"/>
  <c r="B914" i="14"/>
  <c r="B915" i="14"/>
  <c r="B916" i="14"/>
  <c r="B917" i="14"/>
  <c r="B918" i="14"/>
  <c r="B919" i="14"/>
  <c r="B920" i="14"/>
  <c r="B921" i="14"/>
  <c r="B922" i="14"/>
  <c r="B923" i="14"/>
  <c r="B924" i="14"/>
  <c r="B925" i="14"/>
  <c r="B926" i="14"/>
  <c r="B927" i="14"/>
  <c r="B928" i="14"/>
  <c r="B929" i="14"/>
  <c r="B930" i="14"/>
  <c r="B931" i="14"/>
  <c r="B932" i="14"/>
  <c r="B933" i="14"/>
  <c r="B934" i="14"/>
  <c r="B935" i="14"/>
  <c r="B936" i="14"/>
  <c r="B937" i="14"/>
  <c r="B938" i="14"/>
  <c r="B939" i="14"/>
  <c r="B940" i="14"/>
  <c r="B941" i="14"/>
  <c r="B942" i="14"/>
  <c r="B943" i="14"/>
  <c r="B944" i="14"/>
  <c r="B945" i="14"/>
  <c r="B946" i="14"/>
  <c r="B947" i="14"/>
  <c r="B948" i="14"/>
  <c r="B949" i="14"/>
  <c r="B950" i="14"/>
  <c r="B951" i="14"/>
  <c r="B952" i="14"/>
  <c r="B953" i="14"/>
  <c r="B954" i="14"/>
  <c r="B955" i="14"/>
  <c r="B956" i="14"/>
  <c r="B957" i="14"/>
  <c r="B958" i="14"/>
  <c r="B959" i="14"/>
  <c r="B960" i="14"/>
  <c r="B961" i="14"/>
  <c r="B962" i="14"/>
  <c r="B963" i="14"/>
  <c r="B964" i="14"/>
  <c r="B965" i="14"/>
  <c r="B966" i="14"/>
  <c r="B967" i="14"/>
  <c r="B968" i="14"/>
  <c r="B969" i="14"/>
  <c r="B970" i="14"/>
  <c r="B971" i="14"/>
  <c r="B972" i="14"/>
  <c r="B973" i="14"/>
  <c r="B974" i="14"/>
  <c r="B975" i="14"/>
  <c r="B976" i="14"/>
  <c r="B977" i="14"/>
  <c r="B978" i="14"/>
  <c r="B979" i="14"/>
  <c r="B980" i="14"/>
  <c r="B981" i="14"/>
  <c r="B982" i="14"/>
  <c r="B983" i="14"/>
  <c r="B984" i="14"/>
  <c r="B985" i="14"/>
  <c r="B986" i="14"/>
  <c r="B987" i="14"/>
  <c r="B988" i="14"/>
  <c r="B989" i="14"/>
  <c r="B990" i="14"/>
  <c r="B991" i="14"/>
  <c r="B992" i="14"/>
  <c r="B993" i="14"/>
  <c r="B994" i="14"/>
  <c r="B995" i="14"/>
  <c r="B996" i="14"/>
  <c r="B997" i="14"/>
  <c r="B998" i="14"/>
  <c r="B999" i="14"/>
  <c r="B1000" i="14"/>
  <c r="B1001" i="14"/>
  <c r="B1002" i="14"/>
  <c r="B1003" i="14"/>
  <c r="B1004" i="14"/>
  <c r="B1005" i="14"/>
  <c r="B1006" i="14"/>
  <c r="B1007" i="14"/>
  <c r="B1008" i="14"/>
  <c r="B1009" i="14"/>
  <c r="B1010" i="14"/>
  <c r="B1011" i="14"/>
  <c r="B1012" i="14"/>
  <c r="B1013" i="14"/>
  <c r="B1014" i="14"/>
  <c r="B1015" i="14"/>
  <c r="B1016" i="14"/>
  <c r="B12" i="14"/>
  <c r="B3" i="18"/>
  <c r="I3" i="17"/>
  <c r="I4" i="17"/>
  <c r="I5" i="17"/>
  <c r="I6" i="17"/>
  <c r="I7" i="17"/>
  <c r="I8" i="17"/>
  <c r="I9" i="17"/>
  <c r="I10" i="17"/>
  <c r="I11" i="17"/>
  <c r="I12" i="17"/>
  <c r="I13" i="17"/>
  <c r="I14" i="17"/>
  <c r="I15" i="17"/>
  <c r="I16" i="17"/>
  <c r="I17" i="17"/>
  <c r="I18" i="17"/>
  <c r="I19" i="17"/>
  <c r="I20" i="17"/>
  <c r="I21" i="17"/>
  <c r="I22" i="17"/>
  <c r="I23" i="17"/>
  <c r="I24" i="17"/>
  <c r="D3" i="17"/>
  <c r="D4" i="17"/>
  <c r="D5" i="17"/>
  <c r="D6" i="17"/>
  <c r="D7" i="17"/>
  <c r="D8" i="17"/>
  <c r="D9" i="17"/>
  <c r="D10" i="17"/>
  <c r="D11" i="17"/>
  <c r="D12" i="17"/>
  <c r="D13" i="17"/>
  <c r="D14" i="17"/>
  <c r="D15" i="17"/>
  <c r="D16" i="17"/>
  <c r="D17" i="17"/>
  <c r="D18" i="17"/>
  <c r="D19" i="17"/>
  <c r="D20" i="17"/>
  <c r="D21" i="17"/>
  <c r="D22" i="17"/>
  <c r="D23" i="17"/>
  <c r="D24" i="17"/>
  <c r="BG17" i="16"/>
  <c r="BF17" i="16"/>
  <c r="E3" i="16"/>
  <c r="D3" i="16"/>
  <c r="A3" i="16"/>
  <c r="AC6" i="14"/>
  <c r="AC7" i="14" s="1"/>
  <c r="AB6" i="14"/>
  <c r="AB7" i="14" s="1"/>
  <c r="AA6" i="14"/>
  <c r="AA7" i="14" s="1"/>
  <c r="Z6" i="14"/>
  <c r="Z7" i="14" s="1"/>
  <c r="Y6" i="14"/>
  <c r="Y7" i="14" s="1"/>
  <c r="X6" i="14"/>
  <c r="X7" i="14" s="1"/>
  <c r="W6" i="14"/>
  <c r="W7" i="14" s="1"/>
  <c r="V6" i="14"/>
  <c r="V7" i="14" s="1"/>
  <c r="U6" i="14"/>
  <c r="U7" i="14" s="1"/>
  <c r="T6" i="14"/>
  <c r="T7" i="14" s="1"/>
  <c r="S6" i="14"/>
  <c r="S7" i="14" s="1"/>
  <c r="R6" i="14"/>
  <c r="R7" i="14" s="1"/>
  <c r="Q6" i="14"/>
  <c r="Q7" i="14" s="1"/>
  <c r="AI6" i="14"/>
  <c r="AI7" i="14" s="1"/>
  <c r="AJ6" i="14"/>
  <c r="AJ7" i="14" s="1"/>
  <c r="AK6" i="14"/>
  <c r="AK7" i="14" s="1"/>
  <c r="AL6" i="14"/>
  <c r="AL7" i="14" s="1"/>
  <c r="AM6" i="14"/>
  <c r="AM7" i="14" s="1"/>
  <c r="AN6" i="14"/>
  <c r="AN7" i="14" s="1"/>
  <c r="AO6" i="14"/>
  <c r="AO7" i="14" s="1"/>
  <c r="AP6" i="14"/>
  <c r="AP7" i="14" s="1"/>
  <c r="AQ6" i="14"/>
  <c r="AQ7" i="14" s="1"/>
  <c r="AR6" i="14"/>
  <c r="AR7" i="14" s="1"/>
  <c r="AS6" i="14"/>
  <c r="AS7" i="14" s="1"/>
  <c r="AT6" i="14"/>
  <c r="AT7" i="14" s="1"/>
  <c r="AH6" i="14"/>
  <c r="AH7" i="14" s="1"/>
  <c r="G8" i="14"/>
  <c r="H8" i="14" s="1"/>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F654" i="14"/>
  <c r="F655" i="14"/>
  <c r="F656" i="14"/>
  <c r="F657" i="14"/>
  <c r="F658" i="14"/>
  <c r="F659" i="14"/>
  <c r="F660" i="14"/>
  <c r="F661" i="14"/>
  <c r="F662" i="14"/>
  <c r="F663" i="14"/>
  <c r="F664" i="14"/>
  <c r="F665" i="14"/>
  <c r="F666" i="14"/>
  <c r="F667" i="14"/>
  <c r="F668" i="14"/>
  <c r="F669" i="14"/>
  <c r="F670" i="14"/>
  <c r="F671" i="14"/>
  <c r="F672" i="14"/>
  <c r="F673" i="14"/>
  <c r="F674" i="14"/>
  <c r="F675" i="14"/>
  <c r="F676" i="14"/>
  <c r="F677" i="14"/>
  <c r="F678" i="14"/>
  <c r="F679" i="14"/>
  <c r="F680" i="14"/>
  <c r="F681" i="14"/>
  <c r="F682" i="14"/>
  <c r="F683" i="14"/>
  <c r="F684" i="14"/>
  <c r="F685" i="14"/>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F895" i="14"/>
  <c r="F896" i="14"/>
  <c r="F897" i="14"/>
  <c r="F898" i="14"/>
  <c r="F899" i="14"/>
  <c r="F900" i="14"/>
  <c r="F901" i="14"/>
  <c r="F902" i="14"/>
  <c r="F903" i="14"/>
  <c r="F904" i="14"/>
  <c r="F905" i="14"/>
  <c r="F906" i="14"/>
  <c r="F907" i="14"/>
  <c r="F908" i="14"/>
  <c r="F909" i="14"/>
  <c r="F910" i="14"/>
  <c r="F911" i="14"/>
  <c r="F912" i="14"/>
  <c r="F913" i="14"/>
  <c r="F914" i="14"/>
  <c r="F915" i="14"/>
  <c r="F916" i="14"/>
  <c r="F917" i="14"/>
  <c r="F918" i="14"/>
  <c r="F919" i="14"/>
  <c r="F920" i="14"/>
  <c r="F921" i="14"/>
  <c r="F922" i="14"/>
  <c r="F923" i="14"/>
  <c r="F924" i="14"/>
  <c r="F925" i="14"/>
  <c r="F926" i="14"/>
  <c r="F927" i="14"/>
  <c r="F928" i="14"/>
  <c r="F929" i="14"/>
  <c r="F930" i="14"/>
  <c r="F931" i="14"/>
  <c r="F932" i="14"/>
  <c r="F933" i="14"/>
  <c r="F934" i="14"/>
  <c r="F935" i="14"/>
  <c r="F936" i="14"/>
  <c r="F937" i="14"/>
  <c r="F938" i="14"/>
  <c r="F939" i="14"/>
  <c r="F940" i="14"/>
  <c r="F941" i="14"/>
  <c r="F942" i="14"/>
  <c r="F943" i="14"/>
  <c r="F944" i="14"/>
  <c r="F945" i="14"/>
  <c r="F946" i="14"/>
  <c r="F947" i="14"/>
  <c r="F948" i="14"/>
  <c r="F949" i="14"/>
  <c r="F950" i="14"/>
  <c r="F951" i="14"/>
  <c r="F952" i="14"/>
  <c r="F953" i="14"/>
  <c r="F954" i="14"/>
  <c r="F955" i="14"/>
  <c r="F956" i="14"/>
  <c r="F957" i="14"/>
  <c r="F958" i="14"/>
  <c r="F959" i="14"/>
  <c r="F960" i="14"/>
  <c r="F961" i="14"/>
  <c r="F962" i="14"/>
  <c r="F963" i="14"/>
  <c r="F964" i="14"/>
  <c r="F965" i="14"/>
  <c r="F966" i="14"/>
  <c r="F967" i="14"/>
  <c r="F968" i="14"/>
  <c r="F969" i="14"/>
  <c r="F970" i="14"/>
  <c r="F971" i="14"/>
  <c r="F972" i="14"/>
  <c r="F973" i="14"/>
  <c r="F974" i="14"/>
  <c r="F975" i="14"/>
  <c r="F976" i="14"/>
  <c r="F977" i="14"/>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F1008" i="14"/>
  <c r="F1009" i="14"/>
  <c r="F1010" i="14"/>
  <c r="F1011" i="14"/>
  <c r="F1012" i="14"/>
  <c r="F1013" i="14"/>
  <c r="F1014" i="14"/>
  <c r="F1015" i="14"/>
  <c r="F1016" i="14"/>
  <c r="F13" i="14"/>
  <c r="F14" i="14"/>
  <c r="F12" i="14"/>
  <c r="H20" i="10"/>
  <c r="L2" i="10"/>
  <c r="C2" i="9"/>
  <c r="E2" i="9" s="1"/>
  <c r="B12" i="9"/>
  <c r="B13" i="9" s="1"/>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6" i="9"/>
  <c r="B7" i="9"/>
  <c r="B5" i="14" s="1"/>
  <c r="C3" i="8"/>
  <c r="C4" i="8"/>
  <c r="C5" i="8"/>
  <c r="C6" i="8"/>
  <c r="C7" i="8"/>
  <c r="C8" i="8"/>
  <c r="C9" i="8"/>
  <c r="C10" i="8"/>
  <c r="C11" i="8"/>
  <c r="C12" i="8"/>
  <c r="C13" i="8"/>
  <c r="C14" i="8"/>
  <c r="C15" i="8"/>
  <c r="C16" i="8"/>
  <c r="C17" i="8"/>
  <c r="C18" i="8"/>
  <c r="C19" i="8"/>
  <c r="C20" i="8"/>
  <c r="C21" i="8"/>
  <c r="C22" i="8"/>
  <c r="C23" i="8"/>
  <c r="C24" i="8"/>
  <c r="C2" i="8"/>
  <c r="J20" i="10"/>
  <c r="J21" i="10"/>
  <c r="J22" i="10"/>
  <c r="J23" i="10"/>
  <c r="J24" i="10"/>
  <c r="J25" i="10"/>
  <c r="J26" i="10"/>
  <c r="J27" i="10"/>
  <c r="J28" i="10"/>
  <c r="J29" i="10"/>
  <c r="J30" i="10"/>
  <c r="J31" i="10"/>
  <c r="J19" i="10"/>
  <c r="I2" i="10"/>
  <c r="J2" i="10" s="1"/>
  <c r="L3" i="10"/>
  <c r="L4" i="10"/>
  <c r="L5" i="10"/>
  <c r="L6" i="10"/>
  <c r="L7" i="10"/>
  <c r="L8" i="10"/>
  <c r="L9" i="10"/>
  <c r="L10" i="10"/>
  <c r="L11" i="10"/>
  <c r="L12" i="10"/>
  <c r="L13" i="10"/>
  <c r="L14" i="10"/>
  <c r="I3" i="10"/>
  <c r="J3" i="10" s="1"/>
  <c r="I4" i="10"/>
  <c r="J4" i="10" s="1"/>
  <c r="I5" i="10"/>
  <c r="J5" i="10" s="1"/>
  <c r="I6" i="10"/>
  <c r="J6" i="10" s="1"/>
  <c r="I7" i="10"/>
  <c r="J7" i="10" s="1"/>
  <c r="I8" i="10"/>
  <c r="J8" i="10" s="1"/>
  <c r="I9" i="10"/>
  <c r="J9" i="10" s="1"/>
  <c r="I10" i="10"/>
  <c r="J10" i="10" s="1"/>
  <c r="I11" i="10"/>
  <c r="J11" i="10" s="1"/>
  <c r="I12" i="10"/>
  <c r="J12" i="10" s="1"/>
  <c r="I13" i="10"/>
  <c r="J13" i="10" s="1"/>
  <c r="I14" i="10"/>
  <c r="J14" i="10" s="1"/>
  <c r="A9" i="10"/>
  <c r="A10" i="10"/>
  <c r="A11" i="10"/>
  <c r="A12" i="10"/>
  <c r="A13" i="10"/>
  <c r="A14" i="10"/>
  <c r="A15" i="10"/>
  <c r="A16" i="10"/>
  <c r="A17" i="10"/>
  <c r="A18" i="10"/>
  <c r="A19" i="10"/>
  <c r="A20" i="10"/>
  <c r="A8" i="10"/>
  <c r="I20" i="10"/>
  <c r="M20" i="10" s="1"/>
  <c r="I21" i="10"/>
  <c r="M21" i="10" s="1"/>
  <c r="I22" i="10"/>
  <c r="M22" i="10" s="1"/>
  <c r="I23" i="10"/>
  <c r="M23" i="10" s="1"/>
  <c r="I24" i="10"/>
  <c r="M24" i="10" s="1"/>
  <c r="I25" i="10"/>
  <c r="M25" i="10" s="1"/>
  <c r="I26" i="10"/>
  <c r="M26" i="10" s="1"/>
  <c r="I27" i="10"/>
  <c r="M27" i="10" s="1"/>
  <c r="I28" i="10"/>
  <c r="M28" i="10" s="1"/>
  <c r="I29" i="10"/>
  <c r="M29" i="10" s="1"/>
  <c r="I30" i="10"/>
  <c r="M30" i="10" s="1"/>
  <c r="I31" i="10"/>
  <c r="M31" i="10" s="1"/>
  <c r="I19" i="10"/>
  <c r="M19" i="10" s="1"/>
  <c r="H21" i="10"/>
  <c r="H22" i="10" s="1"/>
  <c r="H23" i="10" s="1"/>
  <c r="H24" i="10" s="1"/>
  <c r="H25" i="10" s="1"/>
  <c r="H26" i="10" s="1"/>
  <c r="H27" i="10" s="1"/>
  <c r="H28" i="10" s="1"/>
  <c r="H29" i="10" s="1"/>
  <c r="H30" i="10" s="1"/>
  <c r="H31" i="10" s="1"/>
  <c r="H3" i="10"/>
  <c r="H4" i="10" s="1"/>
  <c r="H5" i="10" s="1"/>
  <c r="H6" i="10" s="1"/>
  <c r="H7" i="10" s="1"/>
  <c r="H8" i="10" s="1"/>
  <c r="H9" i="10" s="1"/>
  <c r="H10" i="10" s="1"/>
  <c r="H11" i="10" s="1"/>
  <c r="H12" i="10" s="1"/>
  <c r="H13" i="10" s="1"/>
  <c r="H14" i="10" s="1"/>
  <c r="H10" i="16" l="1"/>
  <c r="M10" i="16"/>
  <c r="H11" i="16"/>
  <c r="M11" i="16"/>
  <c r="H12" i="16"/>
  <c r="M12" i="16"/>
  <c r="H13" i="16"/>
  <c r="M13" i="16"/>
  <c r="H14" i="16"/>
  <c r="M14" i="16"/>
  <c r="H15" i="16"/>
  <c r="M15" i="16"/>
  <c r="H16" i="16"/>
  <c r="M16" i="16"/>
  <c r="H17" i="16"/>
  <c r="M17" i="16"/>
  <c r="H18" i="16"/>
  <c r="H19" i="16"/>
  <c r="M19" i="16"/>
  <c r="H20" i="16"/>
  <c r="M20" i="16"/>
  <c r="H21" i="16"/>
  <c r="M21" i="16"/>
  <c r="K9" i="16" a="1"/>
  <c r="D454" i="18"/>
  <c r="D455" i="18"/>
  <c r="D456" i="18"/>
  <c r="D457" i="18"/>
  <c r="D458" i="18"/>
  <c r="D459" i="18"/>
  <c r="D460" i="18"/>
  <c r="D461" i="18"/>
  <c r="D462" i="18"/>
  <c r="D463" i="18"/>
  <c r="D464" i="18"/>
  <c r="D465" i="18"/>
  <c r="D466" i="18"/>
  <c r="D467" i="18"/>
  <c r="D718" i="18"/>
  <c r="D629" i="18"/>
  <c r="D761" i="18"/>
  <c r="D630" i="18"/>
  <c r="D753" i="18"/>
  <c r="D631" i="18"/>
  <c r="D749" i="18"/>
  <c r="D632" i="18"/>
  <c r="D745" i="18"/>
  <c r="D633" i="18"/>
  <c r="D743" i="18"/>
  <c r="D634" i="18"/>
  <c r="D740" i="18"/>
  <c r="D739" i="18"/>
  <c r="D738" i="18"/>
  <c r="D635" i="18"/>
  <c r="D762" i="18"/>
  <c r="D760" i="18"/>
  <c r="D756" i="18"/>
  <c r="D636" i="18"/>
  <c r="D746" i="18"/>
  <c r="D741" i="18"/>
  <c r="D765" i="18"/>
  <c r="D637" i="18"/>
  <c r="D764" i="18"/>
  <c r="D763" i="18"/>
  <c r="D759" i="18"/>
  <c r="D638" i="18"/>
  <c r="D758" i="18"/>
  <c r="D757" i="18"/>
  <c r="D755" i="18"/>
  <c r="D639" i="18"/>
  <c r="D754" i="18"/>
  <c r="D752" i="18"/>
  <c r="D751" i="18"/>
  <c r="D640" i="18"/>
  <c r="D750" i="18"/>
  <c r="D748" i="18"/>
  <c r="D747" i="18"/>
  <c r="D641" i="18"/>
  <c r="D744" i="18"/>
  <c r="D742" i="18"/>
  <c r="D737" i="18"/>
  <c r="D642" i="18"/>
  <c r="D736" i="18"/>
  <c r="D735" i="18"/>
  <c r="D734" i="18"/>
  <c r="D643" i="18"/>
  <c r="D733" i="18"/>
  <c r="D732" i="18"/>
  <c r="D731" i="18"/>
  <c r="D644" i="18"/>
  <c r="D730" i="18"/>
  <c r="D729" i="18"/>
  <c r="D728" i="18"/>
  <c r="D645" i="18"/>
  <c r="D727" i="18"/>
  <c r="D726" i="18"/>
  <c r="D725" i="18"/>
  <c r="D646" i="18"/>
  <c r="D724" i="18"/>
  <c r="D723" i="18"/>
  <c r="D722" i="18"/>
  <c r="D647" i="18"/>
  <c r="D721" i="18"/>
  <c r="D720" i="18"/>
  <c r="D719" i="18"/>
  <c r="D648" i="18"/>
  <c r="D666" i="18"/>
  <c r="D717" i="18"/>
  <c r="D716" i="18"/>
  <c r="D649" i="18"/>
  <c r="D715" i="18"/>
  <c r="D714" i="18"/>
  <c r="D713" i="18"/>
  <c r="D650" i="18"/>
  <c r="D712" i="18"/>
  <c r="D711" i="18"/>
  <c r="D710" i="18"/>
  <c r="D651" i="18"/>
  <c r="D709" i="18"/>
  <c r="D708" i="18"/>
  <c r="D707" i="18"/>
  <c r="D652" i="18"/>
  <c r="D706" i="18"/>
  <c r="D705" i="18"/>
  <c r="D704" i="18"/>
  <c r="D653" i="18"/>
  <c r="D703" i="18"/>
  <c r="D702" i="18"/>
  <c r="D701" i="18"/>
  <c r="D654" i="18"/>
  <c r="D700" i="18"/>
  <c r="D699" i="18"/>
  <c r="D698" i="18"/>
  <c r="D655" i="18"/>
  <c r="D697" i="18"/>
  <c r="D696" i="18"/>
  <c r="D695" i="18"/>
  <c r="D656" i="18"/>
  <c r="D694" i="18"/>
  <c r="D693" i="18"/>
  <c r="D692" i="18"/>
  <c r="D657" i="18"/>
  <c r="D691" i="18"/>
  <c r="D690" i="18"/>
  <c r="D689" i="18"/>
  <c r="D658" i="18"/>
  <c r="D688" i="18"/>
  <c r="D687" i="18"/>
  <c r="D686" i="18"/>
  <c r="D659" i="18"/>
  <c r="D685" i="18"/>
  <c r="D684" i="18"/>
  <c r="D683" i="18"/>
  <c r="D660" i="18"/>
  <c r="D682" i="18"/>
  <c r="D681" i="18"/>
  <c r="D680" i="18"/>
  <c r="D661" i="18"/>
  <c r="D679" i="18"/>
  <c r="D678" i="18"/>
  <c r="D677" i="18"/>
  <c r="D662" i="18"/>
  <c r="D676" i="18"/>
  <c r="D675" i="18"/>
  <c r="D674" i="18"/>
  <c r="D663" i="18"/>
  <c r="D673" i="18"/>
  <c r="D672" i="18"/>
  <c r="D671" i="18"/>
  <c r="D664" i="18"/>
  <c r="D670" i="18"/>
  <c r="D669" i="18"/>
  <c r="D668" i="18"/>
  <c r="D665" i="18"/>
  <c r="D667" i="18"/>
  <c r="C699" i="18"/>
  <c r="E699" i="18" s="1"/>
  <c r="C700" i="18"/>
  <c r="E700" i="18" s="1"/>
  <c r="C763" i="18"/>
  <c r="E763" i="18" s="1"/>
  <c r="C649" i="18"/>
  <c r="E649" i="18" s="1"/>
  <c r="C762" i="18"/>
  <c r="E762" i="18" s="1"/>
  <c r="C667" i="18"/>
  <c r="E667" i="18" s="1"/>
  <c r="C630" i="18"/>
  <c r="E630" i="18" s="1"/>
  <c r="C761" i="18"/>
  <c r="E761" i="18" s="1"/>
  <c r="C757" i="18"/>
  <c r="E757" i="18" s="1"/>
  <c r="C668" i="18"/>
  <c r="C665" i="18"/>
  <c r="C631" i="18"/>
  <c r="E631" i="18" s="1"/>
  <c r="C752" i="18"/>
  <c r="C669" i="18"/>
  <c r="E669" i="18" s="1"/>
  <c r="C750" i="18"/>
  <c r="E750" i="18" s="1"/>
  <c r="C632" i="18"/>
  <c r="E632" i="18" s="1"/>
  <c r="C747" i="18"/>
  <c r="E747" i="18" s="1"/>
  <c r="C670" i="18"/>
  <c r="E670" i="18" s="1"/>
  <c r="C746" i="18"/>
  <c r="E746" i="18" s="1"/>
  <c r="C633" i="18"/>
  <c r="E633" i="18" s="1"/>
  <c r="C744" i="18"/>
  <c r="E744" i="18" s="1"/>
  <c r="C671" i="18"/>
  <c r="E671" i="18" s="1"/>
  <c r="C664" i="18"/>
  <c r="E664" i="18" s="1"/>
  <c r="C634" i="18"/>
  <c r="E634" i="18" s="1"/>
  <c r="C740" i="18"/>
  <c r="E740" i="18" s="1"/>
  <c r="C672" i="18"/>
  <c r="E672" i="18" s="1"/>
  <c r="C635" i="18"/>
  <c r="E635" i="18" s="1"/>
  <c r="C736" i="18"/>
  <c r="C735" i="18"/>
  <c r="C673" i="18"/>
  <c r="E673" i="18" s="1"/>
  <c r="C760" i="18"/>
  <c r="E760" i="18" s="1"/>
  <c r="C636" i="18"/>
  <c r="E636" i="18" s="1"/>
  <c r="C756" i="18"/>
  <c r="E756" i="18" s="1"/>
  <c r="C674" i="18"/>
  <c r="E674" i="18" s="1"/>
  <c r="C663" i="18"/>
  <c r="E663" i="18" s="1"/>
  <c r="C754" i="18"/>
  <c r="C748" i="18"/>
  <c r="E748" i="18" s="1"/>
  <c r="C675" i="18"/>
  <c r="E675" i="18" s="1"/>
  <c r="C745" i="18"/>
  <c r="E745" i="18" s="1"/>
  <c r="C743" i="18"/>
  <c r="E743" i="18" s="1"/>
  <c r="C741" i="18"/>
  <c r="E741" i="18" s="1"/>
  <c r="C676" i="18"/>
  <c r="E676" i="18" s="1"/>
  <c r="C739" i="18"/>
  <c r="E739" i="18" s="1"/>
  <c r="C738" i="18"/>
  <c r="E738" i="18" s="1"/>
  <c r="C737" i="18"/>
  <c r="E737" i="18" s="1"/>
  <c r="C677" i="18"/>
  <c r="E677" i="18" s="1"/>
  <c r="C662" i="18"/>
  <c r="E662" i="18" s="1"/>
  <c r="C733" i="18"/>
  <c r="E733" i="18" s="1"/>
  <c r="C637" i="18"/>
  <c r="E637" i="18" s="1"/>
  <c r="C678" i="18"/>
  <c r="E678" i="18" s="1"/>
  <c r="C638" i="18"/>
  <c r="E638" i="18" s="1"/>
  <c r="C759" i="18"/>
  <c r="E759" i="18" s="1"/>
  <c r="C758" i="18"/>
  <c r="C679" i="18"/>
  <c r="E679" i="18" s="1"/>
  <c r="C639" i="18"/>
  <c r="E639" i="18" s="1"/>
  <c r="C755" i="18"/>
  <c r="C753" i="18"/>
  <c r="E753" i="18" s="1"/>
  <c r="C680" i="18"/>
  <c r="E680" i="18" s="1"/>
  <c r="C661" i="18"/>
  <c r="E661" i="18" s="1"/>
  <c r="C640" i="18"/>
  <c r="E640" i="18" s="1"/>
  <c r="C751" i="18"/>
  <c r="E751" i="18" s="1"/>
  <c r="C681" i="18"/>
  <c r="E681" i="18" s="1"/>
  <c r="C749" i="18"/>
  <c r="E749" i="18" s="1"/>
  <c r="C641" i="18"/>
  <c r="E641" i="18" s="1"/>
  <c r="C742" i="18"/>
  <c r="E742" i="18" s="1"/>
  <c r="C682" i="18"/>
  <c r="E682" i="18" s="1"/>
  <c r="C642" i="18"/>
  <c r="E642" i="18" s="1"/>
  <c r="C643" i="18"/>
  <c r="E643" i="18" s="1"/>
  <c r="C734" i="18"/>
  <c r="E734" i="18" s="1"/>
  <c r="C683" i="18"/>
  <c r="E683" i="18" s="1"/>
  <c r="C660" i="18"/>
  <c r="E660" i="18" s="1"/>
  <c r="C732" i="18"/>
  <c r="E732" i="18" s="1"/>
  <c r="C644" i="18"/>
  <c r="E644" i="18" s="1"/>
  <c r="C684" i="18"/>
  <c r="E684" i="18" s="1"/>
  <c r="C731" i="18"/>
  <c r="E731" i="18" s="1"/>
  <c r="C730" i="18"/>
  <c r="C729" i="18"/>
  <c r="E729" i="18" s="1"/>
  <c r="C685" i="18"/>
  <c r="E685" i="18" s="1"/>
  <c r="C645" i="18"/>
  <c r="C728" i="18"/>
  <c r="E728" i="18" s="1"/>
  <c r="C727" i="18"/>
  <c r="C686" i="18"/>
  <c r="E686" i="18" s="1"/>
  <c r="C659" i="18"/>
  <c r="E659" i="18" s="1"/>
  <c r="C726" i="18"/>
  <c r="E726" i="18" s="1"/>
  <c r="C646" i="18"/>
  <c r="C687" i="18"/>
  <c r="E687" i="18" s="1"/>
  <c r="C725" i="18"/>
  <c r="E725" i="18" s="1"/>
  <c r="C724" i="18"/>
  <c r="E724" i="18" s="1"/>
  <c r="C723" i="18"/>
  <c r="E723" i="18" s="1"/>
  <c r="C688" i="18"/>
  <c r="E688" i="18" s="1"/>
  <c r="C647" i="18"/>
  <c r="E647" i="18" s="1"/>
  <c r="C722" i="18"/>
  <c r="E722" i="18" s="1"/>
  <c r="C721" i="18"/>
  <c r="E721" i="18" s="1"/>
  <c r="C689" i="18"/>
  <c r="E689" i="18" s="1"/>
  <c r="C658" i="18"/>
  <c r="C720" i="18"/>
  <c r="C648" i="18"/>
  <c r="C690" i="18"/>
  <c r="C719" i="18"/>
  <c r="C718" i="18"/>
  <c r="C717" i="18"/>
  <c r="C691" i="18"/>
  <c r="C666" i="18"/>
  <c r="C716" i="18"/>
  <c r="C715" i="18"/>
  <c r="C692" i="18"/>
  <c r="C657" i="18"/>
  <c r="C714" i="18"/>
  <c r="C650" i="18"/>
  <c r="C693" i="18"/>
  <c r="C713" i="18"/>
  <c r="C712" i="18"/>
  <c r="C711" i="18"/>
  <c r="C694" i="18"/>
  <c r="C651" i="18"/>
  <c r="C710" i="18"/>
  <c r="C709" i="18"/>
  <c r="C695" i="18"/>
  <c r="C656" i="18"/>
  <c r="C708" i="18"/>
  <c r="C652" i="18"/>
  <c r="C696" i="18"/>
  <c r="C707" i="18"/>
  <c r="C706" i="18"/>
  <c r="C705" i="18"/>
  <c r="C697" i="18"/>
  <c r="C653" i="18"/>
  <c r="C704" i="18"/>
  <c r="C703" i="18"/>
  <c r="C698" i="18"/>
  <c r="C655" i="18"/>
  <c r="C765" i="18"/>
  <c r="C629" i="18"/>
  <c r="C702" i="18"/>
  <c r="C654" i="18"/>
  <c r="C701" i="18"/>
  <c r="C764" i="18"/>
  <c r="D1180" i="18"/>
  <c r="D516" i="18"/>
  <c r="D1506" i="18"/>
  <c r="D1073" i="18"/>
  <c r="D1071" i="18"/>
  <c r="D517" i="18"/>
  <c r="D1505" i="18"/>
  <c r="D1070" i="18"/>
  <c r="D1074" i="18"/>
  <c r="D518" i="18"/>
  <c r="D1504" i="18"/>
  <c r="D1069" i="18"/>
  <c r="D1075" i="18"/>
  <c r="D519" i="18"/>
  <c r="D1503" i="18"/>
  <c r="D1068" i="18"/>
  <c r="D1076" i="18"/>
  <c r="D520" i="18"/>
  <c r="D1502" i="18"/>
  <c r="D1067" i="18"/>
  <c r="D1077" i="18"/>
  <c r="D521" i="18"/>
  <c r="D1501" i="18"/>
  <c r="D1066" i="18"/>
  <c r="D1078" i="18"/>
  <c r="D522" i="18"/>
  <c r="D1500" i="18"/>
  <c r="D1065" i="18"/>
  <c r="D1079" i="18"/>
  <c r="D523" i="18"/>
  <c r="D1499" i="18"/>
  <c r="D1064" i="18"/>
  <c r="D1080" i="18"/>
  <c r="D524" i="18"/>
  <c r="D1498" i="18"/>
  <c r="D1063" i="18"/>
  <c r="D1081" i="18"/>
  <c r="D525" i="18"/>
  <c r="D1497" i="18"/>
  <c r="D1062" i="18"/>
  <c r="D1082" i="18"/>
  <c r="D526" i="18"/>
  <c r="D1496" i="18"/>
  <c r="D1061" i="18"/>
  <c r="D1083" i="18"/>
  <c r="D527" i="18"/>
  <c r="D1495" i="18"/>
  <c r="D1060" i="18"/>
  <c r="D1084" i="18"/>
  <c r="D528" i="18"/>
  <c r="D1494" i="18"/>
  <c r="D1059" i="18"/>
  <c r="D1085" i="18"/>
  <c r="D529" i="18"/>
  <c r="D1493" i="18"/>
  <c r="D1058" i="18"/>
  <c r="D1086" i="18"/>
  <c r="D530" i="18"/>
  <c r="D1492" i="18"/>
  <c r="D1057" i="18"/>
  <c r="D1087" i="18"/>
  <c r="D531" i="18"/>
  <c r="D1491" i="18"/>
  <c r="D1056" i="18"/>
  <c r="D1088" i="18"/>
  <c r="D532" i="18"/>
  <c r="D1490" i="18"/>
  <c r="D1055" i="18"/>
  <c r="D1089" i="18"/>
  <c r="D533" i="18"/>
  <c r="D1489" i="18"/>
  <c r="D1054" i="18"/>
  <c r="D1090" i="18"/>
  <c r="D534" i="18"/>
  <c r="D1488" i="18"/>
  <c r="D1053" i="18"/>
  <c r="D1091" i="18"/>
  <c r="D535" i="18"/>
  <c r="D1487" i="18"/>
  <c r="D1052" i="18"/>
  <c r="D1092" i="18"/>
  <c r="D536" i="18"/>
  <c r="D1486" i="18"/>
  <c r="D1051" i="18"/>
  <c r="D1093" i="18"/>
  <c r="D537" i="18"/>
  <c r="D1485" i="18"/>
  <c r="D1050" i="18"/>
  <c r="D1094" i="18"/>
  <c r="D538" i="18"/>
  <c r="D1484" i="18"/>
  <c r="D1049" i="18"/>
  <c r="D1095" i="18"/>
  <c r="D539" i="18"/>
  <c r="D1483" i="18"/>
  <c r="D1048" i="18"/>
  <c r="D1096" i="18"/>
  <c r="D540" i="18"/>
  <c r="D1482" i="18"/>
  <c r="D1047" i="18"/>
  <c r="D1097" i="18"/>
  <c r="D541" i="18"/>
  <c r="D1481" i="18"/>
  <c r="D1046" i="18"/>
  <c r="D1098" i="18"/>
  <c r="D542" i="18"/>
  <c r="D1480" i="18"/>
  <c r="D1045" i="18"/>
  <c r="D1099" i="18"/>
  <c r="D543" i="18"/>
  <c r="D1479" i="18"/>
  <c r="D1044" i="18"/>
  <c r="D1100" i="18"/>
  <c r="D544" i="18"/>
  <c r="D1478" i="18"/>
  <c r="D1043" i="18"/>
  <c r="D1101" i="18"/>
  <c r="D545" i="18"/>
  <c r="D1477" i="18"/>
  <c r="D1042" i="18"/>
  <c r="D1102" i="18"/>
  <c r="D546" i="18"/>
  <c r="D1476" i="18"/>
  <c r="D1041" i="18"/>
  <c r="D1103" i="18"/>
  <c r="D547" i="18"/>
  <c r="D1475" i="18"/>
  <c r="D1040" i="18"/>
  <c r="D1104" i="18"/>
  <c r="D548" i="18"/>
  <c r="D1474" i="18"/>
  <c r="D1039" i="18"/>
  <c r="D1105" i="18"/>
  <c r="D549" i="18"/>
  <c r="D1473" i="18"/>
  <c r="D1038" i="18"/>
  <c r="D1106" i="18"/>
  <c r="D550" i="18"/>
  <c r="D1472" i="18"/>
  <c r="D1037" i="18"/>
  <c r="D1107" i="18"/>
  <c r="D551" i="18"/>
  <c r="D1471" i="18"/>
  <c r="D1036" i="18"/>
  <c r="D1108" i="18"/>
  <c r="D552" i="18"/>
  <c r="D1470" i="18"/>
  <c r="D1035" i="18"/>
  <c r="D1109" i="18"/>
  <c r="D553" i="18"/>
  <c r="D1469" i="18"/>
  <c r="D1034" i="18"/>
  <c r="D1110" i="18"/>
  <c r="D554" i="18"/>
  <c r="D1468" i="18"/>
  <c r="D1033" i="18"/>
  <c r="D1111" i="18"/>
  <c r="D555" i="18"/>
  <c r="D1467" i="18"/>
  <c r="D1032" i="18"/>
  <c r="D1112" i="18"/>
  <c r="D556" i="18"/>
  <c r="D1466" i="18"/>
  <c r="D1031" i="18"/>
  <c r="D1113" i="18"/>
  <c r="D557" i="18"/>
  <c r="D1465" i="18"/>
  <c r="D1030" i="18"/>
  <c r="D1114" i="18"/>
  <c r="D558" i="18"/>
  <c r="D1464" i="18"/>
  <c r="D1029" i="18"/>
  <c r="D1115" i="18"/>
  <c r="D559" i="18"/>
  <c r="D1463" i="18"/>
  <c r="D1028" i="18"/>
  <c r="D1116" i="18"/>
  <c r="D560" i="18"/>
  <c r="D1462" i="18"/>
  <c r="D1027" i="18"/>
  <c r="D1117" i="18"/>
  <c r="D561" i="18"/>
  <c r="D1461" i="18"/>
  <c r="D1026" i="18"/>
  <c r="D1118" i="18"/>
  <c r="D562" i="18"/>
  <c r="D1460" i="18"/>
  <c r="D1025" i="18"/>
  <c r="D1119" i="18"/>
  <c r="D563" i="18"/>
  <c r="D1459" i="18"/>
  <c r="D1024" i="18"/>
  <c r="D1120" i="18"/>
  <c r="D564" i="18"/>
  <c r="D1458" i="18"/>
  <c r="D1023" i="18"/>
  <c r="D1121" i="18"/>
  <c r="D565" i="18"/>
  <c r="D1457" i="18"/>
  <c r="D1022" i="18"/>
  <c r="D1122" i="18"/>
  <c r="D566" i="18"/>
  <c r="D1456" i="18"/>
  <c r="D1021" i="18"/>
  <c r="D1123" i="18"/>
  <c r="D567" i="18"/>
  <c r="D1455" i="18"/>
  <c r="D1020" i="18"/>
  <c r="D1124" i="18"/>
  <c r="D568" i="18"/>
  <c r="D1454" i="18"/>
  <c r="D1019" i="18"/>
  <c r="D1125" i="18"/>
  <c r="D569" i="18"/>
  <c r="D1453" i="18"/>
  <c r="D1018" i="18"/>
  <c r="D1126" i="18"/>
  <c r="D570" i="18"/>
  <c r="D1452" i="18"/>
  <c r="D1017" i="18"/>
  <c r="D1127" i="18"/>
  <c r="D571" i="18"/>
  <c r="D1451" i="18"/>
  <c r="D1016" i="18"/>
  <c r="D1128" i="18"/>
  <c r="D572" i="18"/>
  <c r="D1450" i="18"/>
  <c r="D1015" i="18"/>
  <c r="D1129" i="18"/>
  <c r="D573" i="18"/>
  <c r="D1449" i="18"/>
  <c r="D1014" i="18"/>
  <c r="D1130" i="18"/>
  <c r="D574" i="18"/>
  <c r="D1448" i="18"/>
  <c r="D1013" i="18"/>
  <c r="D1131" i="18"/>
  <c r="D575" i="18"/>
  <c r="D1447" i="18"/>
  <c r="D1012" i="18"/>
  <c r="D1132" i="18"/>
  <c r="D576" i="18"/>
  <c r="D1446" i="18"/>
  <c r="D1011" i="18"/>
  <c r="D1133" i="18"/>
  <c r="D577" i="18"/>
  <c r="D1445" i="18"/>
  <c r="D1010" i="18"/>
  <c r="D1134" i="18"/>
  <c r="D578" i="18"/>
  <c r="D1444" i="18"/>
  <c r="D1009" i="18"/>
  <c r="D1135" i="18"/>
  <c r="D579" i="18"/>
  <c r="D1443" i="18"/>
  <c r="D1008" i="18"/>
  <c r="D1136" i="18"/>
  <c r="D580" i="18"/>
  <c r="D1442" i="18"/>
  <c r="D1007" i="18"/>
  <c r="D1137" i="18"/>
  <c r="D581" i="18"/>
  <c r="D1441" i="18"/>
  <c r="D1006" i="18"/>
  <c r="D1138" i="18"/>
  <c r="D582" i="18"/>
  <c r="D1440" i="18"/>
  <c r="D1005" i="18"/>
  <c r="D1139" i="18"/>
  <c r="D583" i="18"/>
  <c r="D1439" i="18"/>
  <c r="D1004" i="18"/>
  <c r="D1140" i="18"/>
  <c r="D584" i="18"/>
  <c r="D1438" i="18"/>
  <c r="D1003" i="18"/>
  <c r="D1141" i="18"/>
  <c r="D585" i="18"/>
  <c r="D1437" i="18"/>
  <c r="D1002" i="18"/>
  <c r="D1142" i="18"/>
  <c r="D586" i="18"/>
  <c r="D1436" i="18"/>
  <c r="D1001" i="18"/>
  <c r="D1143" i="18"/>
  <c r="D587" i="18"/>
  <c r="D1435" i="18"/>
  <c r="D1000" i="18"/>
  <c r="D1144" i="18"/>
  <c r="D588" i="18"/>
  <c r="D1434" i="18"/>
  <c r="D999" i="18"/>
  <c r="D1145" i="18"/>
  <c r="D589" i="18"/>
  <c r="D1433" i="18"/>
  <c r="D998" i="18"/>
  <c r="D1146" i="18"/>
  <c r="D590" i="18"/>
  <c r="D1432" i="18"/>
  <c r="D997" i="18"/>
  <c r="D1147" i="18"/>
  <c r="D591" i="18"/>
  <c r="D1431" i="18"/>
  <c r="D996" i="18"/>
  <c r="D1148" i="18"/>
  <c r="D592" i="18"/>
  <c r="D1430" i="18"/>
  <c r="D995" i="18"/>
  <c r="D1149" i="18"/>
  <c r="D593" i="18"/>
  <c r="D1429" i="18"/>
  <c r="D994" i="18"/>
  <c r="D1150" i="18"/>
  <c r="D594" i="18"/>
  <c r="D1428" i="18"/>
  <c r="D993" i="18"/>
  <c r="D1151" i="18"/>
  <c r="D595" i="18"/>
  <c r="D1427" i="18"/>
  <c r="D992" i="18"/>
  <c r="D1152" i="18"/>
  <c r="D596" i="18"/>
  <c r="D1426" i="18"/>
  <c r="D991" i="18"/>
  <c r="D1153" i="18"/>
  <c r="D597" i="18"/>
  <c r="D1425" i="18"/>
  <c r="D990" i="18"/>
  <c r="D1154" i="18"/>
  <c r="D598" i="18"/>
  <c r="D1424" i="18"/>
  <c r="D989" i="18"/>
  <c r="D1155" i="18"/>
  <c r="D599" i="18"/>
  <c r="D1423" i="18"/>
  <c r="D988" i="18"/>
  <c r="D1156" i="18"/>
  <c r="D600" i="18"/>
  <c r="D1422" i="18"/>
  <c r="D987" i="18"/>
  <c r="D1157" i="18"/>
  <c r="D601" i="18"/>
  <c r="D1421" i="18"/>
  <c r="D986" i="18"/>
  <c r="D1158" i="18"/>
  <c r="D602" i="18"/>
  <c r="D1420" i="18"/>
  <c r="D985" i="18"/>
  <c r="D1159" i="18"/>
  <c r="D603" i="18"/>
  <c r="D1419" i="18"/>
  <c r="D1160" i="18"/>
  <c r="D1252" i="18"/>
  <c r="D604" i="18"/>
  <c r="D1418" i="18"/>
  <c r="D1161" i="18"/>
  <c r="D1162" i="18"/>
  <c r="D605" i="18"/>
  <c r="D1417" i="18"/>
  <c r="D1163" i="18"/>
  <c r="D1164" i="18"/>
  <c r="D606" i="18"/>
  <c r="D1416" i="18"/>
  <c r="D1243" i="18"/>
  <c r="D984" i="18"/>
  <c r="D607" i="18"/>
  <c r="D1415" i="18"/>
  <c r="D1165" i="18"/>
  <c r="D983" i="18"/>
  <c r="D608" i="18"/>
  <c r="D1414" i="18"/>
  <c r="D1166" i="18"/>
  <c r="D982" i="18"/>
  <c r="D609" i="18"/>
  <c r="D1413" i="18"/>
  <c r="D1167" i="18"/>
  <c r="D981" i="18"/>
  <c r="D610" i="18"/>
  <c r="D1412" i="18"/>
  <c r="D1168" i="18"/>
  <c r="D980" i="18"/>
  <c r="D611" i="18"/>
  <c r="D1411" i="18"/>
  <c r="D1169" i="18"/>
  <c r="D979" i="18"/>
  <c r="D612" i="18"/>
  <c r="D1410" i="18"/>
  <c r="D1170" i="18"/>
  <c r="D978" i="18"/>
  <c r="D613" i="18"/>
  <c r="D1409" i="18"/>
  <c r="D1171" i="18"/>
  <c r="D977" i="18"/>
  <c r="D614" i="18"/>
  <c r="D1408" i="18"/>
  <c r="D1172" i="18"/>
  <c r="D976" i="18"/>
  <c r="D615" i="18"/>
  <c r="D1407" i="18"/>
  <c r="D1173" i="18"/>
  <c r="D975" i="18"/>
  <c r="D616" i="18"/>
  <c r="D1406" i="18"/>
  <c r="D1174" i="18"/>
  <c r="D974" i="18"/>
  <c r="D617" i="18"/>
  <c r="D1405" i="18"/>
  <c r="D1175" i="18"/>
  <c r="D973" i="18"/>
  <c r="D618" i="18"/>
  <c r="D1404" i="18"/>
  <c r="D1176" i="18"/>
  <c r="D972" i="18"/>
  <c r="D619" i="18"/>
  <c r="D1403" i="18"/>
  <c r="D1177" i="18"/>
  <c r="D971" i="18"/>
  <c r="D620" i="18"/>
  <c r="D1402" i="18"/>
  <c r="D1178" i="18"/>
  <c r="D970" i="18"/>
  <c r="D621" i="18"/>
  <c r="D1401" i="18"/>
  <c r="D1179" i="18"/>
  <c r="D969" i="18"/>
  <c r="D622" i="18"/>
  <c r="D1400" i="18"/>
  <c r="D1072" i="18"/>
  <c r="D968" i="18"/>
  <c r="D623" i="18"/>
  <c r="D1399" i="18"/>
  <c r="D1181" i="18"/>
  <c r="D967" i="18"/>
  <c r="D624" i="18"/>
  <c r="D1398" i="18"/>
  <c r="D1182" i="18"/>
  <c r="D966" i="18"/>
  <c r="D625" i="18"/>
  <c r="D1397" i="18"/>
  <c r="D1183" i="18"/>
  <c r="D965" i="18"/>
  <c r="D626" i="18"/>
  <c r="D1396" i="18"/>
  <c r="D1184" i="18"/>
  <c r="D964" i="18"/>
  <c r="D627" i="18"/>
  <c r="D1395" i="18"/>
  <c r="D1185" i="18"/>
  <c r="D963" i="18"/>
  <c r="D628" i="18"/>
  <c r="D1394" i="18"/>
  <c r="D1186" i="18"/>
  <c r="D1393" i="18"/>
  <c r="D962" i="18"/>
  <c r="D1392" i="18"/>
  <c r="D1187" i="18"/>
  <c r="D1391" i="18"/>
  <c r="D961" i="18"/>
  <c r="D1390" i="18"/>
  <c r="D1188" i="18"/>
  <c r="D1389" i="18"/>
  <c r="D960" i="18"/>
  <c r="D1189" i="18"/>
  <c r="D766" i="18"/>
  <c r="D1388" i="18"/>
  <c r="D959" i="18"/>
  <c r="D1190" i="18"/>
  <c r="D767" i="18"/>
  <c r="D1387" i="18"/>
  <c r="D958" i="18"/>
  <c r="D1191" i="18"/>
  <c r="D768" i="18"/>
  <c r="D1386" i="18"/>
  <c r="D957" i="18"/>
  <c r="D1192" i="18"/>
  <c r="D769" i="18"/>
  <c r="D1385" i="18"/>
  <c r="D956" i="18"/>
  <c r="D1193" i="18"/>
  <c r="D770" i="18"/>
  <c r="D1384" i="18"/>
  <c r="D955" i="18"/>
  <c r="D1194" i="18"/>
  <c r="D771" i="18"/>
  <c r="D1383" i="18"/>
  <c r="D954" i="18"/>
  <c r="D1195" i="18"/>
  <c r="D772" i="18"/>
  <c r="D1382" i="18"/>
  <c r="D953" i="18"/>
  <c r="D1196" i="18"/>
  <c r="D773" i="18"/>
  <c r="D1381" i="18"/>
  <c r="D952" i="18"/>
  <c r="D1197" i="18"/>
  <c r="D774" i="18"/>
  <c r="D1380" i="18"/>
  <c r="D951" i="18"/>
  <c r="D1198" i="18"/>
  <c r="D775" i="18"/>
  <c r="D1379" i="18"/>
  <c r="D950" i="18"/>
  <c r="D1199" i="18"/>
  <c r="D776" i="18"/>
  <c r="D1378" i="18"/>
  <c r="D949" i="18"/>
  <c r="D1200" i="18"/>
  <c r="D777" i="18"/>
  <c r="D1377" i="18"/>
  <c r="D948" i="18"/>
  <c r="D1201" i="18"/>
  <c r="D778" i="18"/>
  <c r="D1376" i="18"/>
  <c r="D947" i="18"/>
  <c r="D1202" i="18"/>
  <c r="D779" i="18"/>
  <c r="D1375" i="18"/>
  <c r="D946" i="18"/>
  <c r="D1203" i="18"/>
  <c r="D780" i="18"/>
  <c r="D1374" i="18"/>
  <c r="D945" i="18"/>
  <c r="D1204" i="18"/>
  <c r="D781" i="18"/>
  <c r="D1373" i="18"/>
  <c r="D944" i="18"/>
  <c r="D1205" i="18"/>
  <c r="D782" i="18"/>
  <c r="D1372" i="18"/>
  <c r="D943" i="18"/>
  <c r="D1206" i="18"/>
  <c r="D783" i="18"/>
  <c r="D1371" i="18"/>
  <c r="D942" i="18"/>
  <c r="D1207" i="18"/>
  <c r="D784" i="18"/>
  <c r="D1370" i="18"/>
  <c r="D941" i="18"/>
  <c r="D1208" i="18"/>
  <c r="D785" i="18"/>
  <c r="D1369" i="18"/>
  <c r="D940" i="18"/>
  <c r="D1209" i="18"/>
  <c r="D786" i="18"/>
  <c r="D1368" i="18"/>
  <c r="D939" i="18"/>
  <c r="D1210" i="18"/>
  <c r="D787" i="18"/>
  <c r="D1367" i="18"/>
  <c r="D938" i="18"/>
  <c r="D1211" i="18"/>
  <c r="D788" i="18"/>
  <c r="D1366" i="18"/>
  <c r="D937" i="18"/>
  <c r="D1212" i="18"/>
  <c r="D789" i="18"/>
  <c r="D1365" i="18"/>
  <c r="D936" i="18"/>
  <c r="D1213" i="18"/>
  <c r="D790" i="18"/>
  <c r="D1364" i="18"/>
  <c r="D935" i="18"/>
  <c r="D1214" i="18"/>
  <c r="D791" i="18"/>
  <c r="D1363" i="18"/>
  <c r="D934" i="18"/>
  <c r="D1215" i="18"/>
  <c r="D792" i="18"/>
  <c r="D1362" i="18"/>
  <c r="D933" i="18"/>
  <c r="D1216" i="18"/>
  <c r="D793" i="18"/>
  <c r="D1361" i="18"/>
  <c r="D932" i="18"/>
  <c r="D1217" i="18"/>
  <c r="D794" i="18"/>
  <c r="D1360" i="18"/>
  <c r="D931" i="18"/>
  <c r="D1218" i="18"/>
  <c r="D795" i="18"/>
  <c r="D1359" i="18"/>
  <c r="D930" i="18"/>
  <c r="D1219" i="18"/>
  <c r="D796" i="18"/>
  <c r="D1358" i="18"/>
  <c r="D929" i="18"/>
  <c r="D1220" i="18"/>
  <c r="D797" i="18"/>
  <c r="D1357" i="18"/>
  <c r="D928" i="18"/>
  <c r="D1221" i="18"/>
  <c r="D798" i="18"/>
  <c r="D1356" i="18"/>
  <c r="D927" i="18"/>
  <c r="D1222" i="18"/>
  <c r="D799" i="18"/>
  <c r="D1355" i="18"/>
  <c r="D926" i="18"/>
  <c r="D1223" i="18"/>
  <c r="D800" i="18"/>
  <c r="D1354" i="18"/>
  <c r="D925" i="18"/>
  <c r="D1224" i="18"/>
  <c r="D801" i="18"/>
  <c r="D1353" i="18"/>
  <c r="D924" i="18"/>
  <c r="D1225" i="18"/>
  <c r="D802" i="18"/>
  <c r="D1352" i="18"/>
  <c r="D923" i="18"/>
  <c r="D1226" i="18"/>
  <c r="D803" i="18"/>
  <c r="D1351" i="18"/>
  <c r="D922" i="18"/>
  <c r="D1227" i="18"/>
  <c r="D804" i="18"/>
  <c r="D1350" i="18"/>
  <c r="D921" i="18"/>
  <c r="D1228" i="18"/>
  <c r="D805" i="18"/>
  <c r="D1349" i="18"/>
  <c r="D920" i="18"/>
  <c r="D1229" i="18"/>
  <c r="D806" i="18"/>
  <c r="D1348" i="18"/>
  <c r="D919" i="18"/>
  <c r="D1230" i="18"/>
  <c r="D807" i="18"/>
  <c r="D1347" i="18"/>
  <c r="D918" i="18"/>
  <c r="D1231" i="18"/>
  <c r="D808" i="18"/>
  <c r="D1346" i="18"/>
  <c r="D917" i="18"/>
  <c r="D1232" i="18"/>
  <c r="D809" i="18"/>
  <c r="D1345" i="18"/>
  <c r="D916" i="18"/>
  <c r="D1233" i="18"/>
  <c r="D810" i="18"/>
  <c r="D1344" i="18"/>
  <c r="D915" i="18"/>
  <c r="D1234" i="18"/>
  <c r="D811" i="18"/>
  <c r="D1343" i="18"/>
  <c r="D914" i="18"/>
  <c r="D1235" i="18"/>
  <c r="D812" i="18"/>
  <c r="D1342" i="18"/>
  <c r="D913" i="18"/>
  <c r="D1236" i="18"/>
  <c r="D813" i="18"/>
  <c r="D1341" i="18"/>
  <c r="D912" i="18"/>
  <c r="D1237" i="18"/>
  <c r="D814" i="18"/>
  <c r="D1340" i="18"/>
  <c r="D911" i="18"/>
  <c r="D1238" i="18"/>
  <c r="D815" i="18"/>
  <c r="D1339" i="18"/>
  <c r="D910" i="18"/>
  <c r="D1239" i="18"/>
  <c r="D816" i="18"/>
  <c r="D1338" i="18"/>
  <c r="D909" i="18"/>
  <c r="D1240" i="18"/>
  <c r="D817" i="18"/>
  <c r="D1337" i="18"/>
  <c r="D908" i="18"/>
  <c r="D1241" i="18"/>
  <c r="D818" i="18"/>
  <c r="D1336" i="18"/>
  <c r="D907" i="18"/>
  <c r="D1242" i="18"/>
  <c r="D819" i="18"/>
  <c r="D1335" i="18"/>
  <c r="D906" i="18"/>
  <c r="D1244" i="18"/>
  <c r="D820" i="18"/>
  <c r="D1334" i="18"/>
  <c r="D1245" i="18"/>
  <c r="D905" i="18"/>
  <c r="D821" i="18"/>
  <c r="D1333" i="18"/>
  <c r="D1246" i="18"/>
  <c r="D1247" i="18"/>
  <c r="D822" i="18"/>
  <c r="D1332" i="18"/>
  <c r="D904" i="18"/>
  <c r="D1248" i="18"/>
  <c r="D823" i="18"/>
  <c r="D1331" i="18"/>
  <c r="D1249" i="18"/>
  <c r="D903" i="18"/>
  <c r="D824" i="18"/>
  <c r="D1330" i="18"/>
  <c r="D1250" i="18"/>
  <c r="D1251" i="18"/>
  <c r="D825" i="18"/>
  <c r="D1329" i="18"/>
  <c r="D902" i="18"/>
  <c r="D1253" i="18"/>
  <c r="D826" i="18"/>
  <c r="D1328" i="18"/>
  <c r="D901" i="18"/>
  <c r="D1254" i="18"/>
  <c r="D827" i="18"/>
  <c r="D1327" i="18"/>
  <c r="D900" i="18"/>
  <c r="D1255" i="18"/>
  <c r="D828" i="18"/>
  <c r="D1326" i="18"/>
  <c r="D899" i="18"/>
  <c r="D1256" i="18"/>
  <c r="D829" i="18"/>
  <c r="D1325" i="18"/>
  <c r="D898" i="18"/>
  <c r="D1257" i="18"/>
  <c r="D830" i="18"/>
  <c r="D1324" i="18"/>
  <c r="D897" i="18"/>
  <c r="D1258" i="18"/>
  <c r="D831" i="18"/>
  <c r="D1323" i="18"/>
  <c r="D896" i="18"/>
  <c r="D1259" i="18"/>
  <c r="D832" i="18"/>
  <c r="D1322" i="18"/>
  <c r="D895" i="18"/>
  <c r="D1260" i="18"/>
  <c r="D833" i="18"/>
  <c r="D1321" i="18"/>
  <c r="D894" i="18"/>
  <c r="D1261" i="18"/>
  <c r="D834" i="18"/>
  <c r="D1320" i="18"/>
  <c r="D893" i="18"/>
  <c r="D1262" i="18"/>
  <c r="D835" i="18"/>
  <c r="D1319" i="18"/>
  <c r="D892" i="18"/>
  <c r="D1263" i="18"/>
  <c r="D836" i="18"/>
  <c r="D1318" i="18"/>
  <c r="D891" i="18"/>
  <c r="D1264" i="18"/>
  <c r="D837" i="18"/>
  <c r="D1317" i="18"/>
  <c r="D890" i="18"/>
  <c r="D1265" i="18"/>
  <c r="D838" i="18"/>
  <c r="D1316" i="18"/>
  <c r="D889" i="18"/>
  <c r="D1266" i="18"/>
  <c r="D839" i="18"/>
  <c r="D1315" i="18"/>
  <c r="D888" i="18"/>
  <c r="D1267" i="18"/>
  <c r="D840" i="18"/>
  <c r="D1314" i="18"/>
  <c r="D887" i="18"/>
  <c r="D1268" i="18"/>
  <c r="D841" i="18"/>
  <c r="D1313" i="18"/>
  <c r="D886" i="18"/>
  <c r="D1269" i="18"/>
  <c r="D842" i="18"/>
  <c r="D1312" i="18"/>
  <c r="D885" i="18"/>
  <c r="D1270" i="18"/>
  <c r="D843" i="18"/>
  <c r="D1311" i="18"/>
  <c r="D884" i="18"/>
  <c r="D1271" i="18"/>
  <c r="D844" i="18"/>
  <c r="D1310" i="18"/>
  <c r="D883" i="18"/>
  <c r="D1272" i="18"/>
  <c r="D845" i="18"/>
  <c r="D1309" i="18"/>
  <c r="D882" i="18"/>
  <c r="D1273" i="18"/>
  <c r="D846" i="18"/>
  <c r="D1308" i="18"/>
  <c r="D881" i="18"/>
  <c r="D1274" i="18"/>
  <c r="D847" i="18"/>
  <c r="D1307" i="18"/>
  <c r="D880" i="18"/>
  <c r="D1275" i="18"/>
  <c r="D848" i="18"/>
  <c r="D1306" i="18"/>
  <c r="D879" i="18"/>
  <c r="D1276" i="18"/>
  <c r="D849" i="18"/>
  <c r="D1305" i="18"/>
  <c r="D878" i="18"/>
  <c r="D1277" i="18"/>
  <c r="D850" i="18"/>
  <c r="D1304" i="18"/>
  <c r="D877" i="18"/>
  <c r="D1278" i="18"/>
  <c r="D851" i="18"/>
  <c r="D1303" i="18"/>
  <c r="D876" i="18"/>
  <c r="D1279" i="18"/>
  <c r="D852" i="18"/>
  <c r="D1302" i="18"/>
  <c r="D875" i="18"/>
  <c r="D1280" i="18"/>
  <c r="D853" i="18"/>
  <c r="D1301" i="18"/>
  <c r="D874" i="18"/>
  <c r="D1281" i="18"/>
  <c r="D854" i="18"/>
  <c r="D1300" i="18"/>
  <c r="D873" i="18"/>
  <c r="D1282" i="18"/>
  <c r="D855" i="18"/>
  <c r="D1299" i="18"/>
  <c r="D872" i="18"/>
  <c r="D1283" i="18"/>
  <c r="D856" i="18"/>
  <c r="D1298" i="18"/>
  <c r="D871" i="18"/>
  <c r="D1284" i="18"/>
  <c r="D857" i="18"/>
  <c r="D1297" i="18"/>
  <c r="D870" i="18"/>
  <c r="D1285" i="18"/>
  <c r="D858" i="18"/>
  <c r="D1296" i="18"/>
  <c r="D869" i="18"/>
  <c r="D1286" i="18"/>
  <c r="D859" i="18"/>
  <c r="D1295" i="18"/>
  <c r="D868" i="18"/>
  <c r="D1287" i="18"/>
  <c r="D860" i="18"/>
  <c r="D1294" i="18"/>
  <c r="D867" i="18"/>
  <c r="D1288" i="18"/>
  <c r="D861" i="18"/>
  <c r="D1293" i="18"/>
  <c r="D866" i="18"/>
  <c r="D1289" i="18"/>
  <c r="D862" i="18"/>
  <c r="D1292" i="18"/>
  <c r="D865" i="18"/>
  <c r="D1290" i="18"/>
  <c r="D863" i="18"/>
  <c r="D1291" i="18"/>
  <c r="D864" i="18"/>
  <c r="C1291" i="18"/>
  <c r="E1291" i="18" s="1"/>
  <c r="C1072" i="18"/>
  <c r="C863" i="18"/>
  <c r="C1290" i="18"/>
  <c r="E1290" i="18" s="1"/>
  <c r="C865" i="18"/>
  <c r="C1292" i="18"/>
  <c r="E1292" i="18" s="1"/>
  <c r="C862" i="18"/>
  <c r="C1289" i="18"/>
  <c r="C866" i="18"/>
  <c r="C1293" i="18"/>
  <c r="C861" i="18"/>
  <c r="C1288" i="18"/>
  <c r="C867" i="18"/>
  <c r="C1294" i="18"/>
  <c r="C860" i="18"/>
  <c r="C1287" i="18"/>
  <c r="C868" i="18"/>
  <c r="C1295" i="18"/>
  <c r="C859" i="18"/>
  <c r="C1286" i="18"/>
  <c r="C869" i="18"/>
  <c r="C1296" i="18"/>
  <c r="C858" i="18"/>
  <c r="C1285" i="18"/>
  <c r="C870" i="18"/>
  <c r="C1297" i="18"/>
  <c r="C857" i="18"/>
  <c r="C1284" i="18"/>
  <c r="C871" i="18"/>
  <c r="C1298" i="18"/>
  <c r="C856" i="18"/>
  <c r="C1283" i="18"/>
  <c r="C872" i="18"/>
  <c r="C1299" i="18"/>
  <c r="C855" i="18"/>
  <c r="C1282" i="18"/>
  <c r="C873" i="18"/>
  <c r="C1300" i="18"/>
  <c r="C854" i="18"/>
  <c r="C1281" i="18"/>
  <c r="C874" i="18"/>
  <c r="C1301" i="18"/>
  <c r="C853" i="18"/>
  <c r="C1280" i="18"/>
  <c r="C875" i="18"/>
  <c r="C1302" i="18"/>
  <c r="C852" i="18"/>
  <c r="C1279" i="18"/>
  <c r="C876" i="18"/>
  <c r="C1303" i="18"/>
  <c r="C851" i="18"/>
  <c r="C1278" i="18"/>
  <c r="C877" i="18"/>
  <c r="C1304" i="18"/>
  <c r="C850" i="18"/>
  <c r="C1277" i="18"/>
  <c r="C878" i="18"/>
  <c r="C1305" i="18"/>
  <c r="C849" i="18"/>
  <c r="C1276" i="18"/>
  <c r="C879" i="18"/>
  <c r="C1306" i="18"/>
  <c r="C848" i="18"/>
  <c r="C1275" i="18"/>
  <c r="C880" i="18"/>
  <c r="C1307" i="18"/>
  <c r="C847" i="18"/>
  <c r="C1274" i="18"/>
  <c r="C881" i="18"/>
  <c r="C1308" i="18"/>
  <c r="C846" i="18"/>
  <c r="C1273" i="18"/>
  <c r="C882" i="18"/>
  <c r="C1309" i="18"/>
  <c r="C845" i="18"/>
  <c r="C1272" i="18"/>
  <c r="C883" i="18"/>
  <c r="C1310" i="18"/>
  <c r="C844" i="18"/>
  <c r="C1271" i="18"/>
  <c r="C884" i="18"/>
  <c r="C1311" i="18"/>
  <c r="C843" i="18"/>
  <c r="C1270" i="18"/>
  <c r="C885" i="18"/>
  <c r="C1312" i="18"/>
  <c r="C842" i="18"/>
  <c r="C1269" i="18"/>
  <c r="C886" i="18"/>
  <c r="C1313" i="18"/>
  <c r="C841" i="18"/>
  <c r="C1268" i="18"/>
  <c r="C887" i="18"/>
  <c r="C1314" i="18"/>
  <c r="C840" i="18"/>
  <c r="C1267" i="18"/>
  <c r="C888" i="18"/>
  <c r="C1315" i="18"/>
  <c r="C839" i="18"/>
  <c r="C1266" i="18"/>
  <c r="C889" i="18"/>
  <c r="C1316" i="18"/>
  <c r="C838" i="18"/>
  <c r="C1265" i="18"/>
  <c r="C890" i="18"/>
  <c r="C1317" i="18"/>
  <c r="C837" i="18"/>
  <c r="C1264" i="18"/>
  <c r="C891" i="18"/>
  <c r="C1318" i="18"/>
  <c r="C836" i="18"/>
  <c r="C1263" i="18"/>
  <c r="C892" i="18"/>
  <c r="C1319" i="18"/>
  <c r="C835" i="18"/>
  <c r="C1262" i="18"/>
  <c r="C893" i="18"/>
  <c r="C1320" i="18"/>
  <c r="C834" i="18"/>
  <c r="C1261" i="18"/>
  <c r="C894" i="18"/>
  <c r="C1321" i="18"/>
  <c r="C833" i="18"/>
  <c r="C1260" i="18"/>
  <c r="C895" i="18"/>
  <c r="C1322" i="18"/>
  <c r="C832" i="18"/>
  <c r="C1259" i="18"/>
  <c r="C896" i="18"/>
  <c r="C1323" i="18"/>
  <c r="C831" i="18"/>
  <c r="C1258" i="18"/>
  <c r="C897" i="18"/>
  <c r="C1324" i="18"/>
  <c r="C830" i="18"/>
  <c r="C1257" i="18"/>
  <c r="C898" i="18"/>
  <c r="C1325" i="18"/>
  <c r="C829" i="18"/>
  <c r="C1256" i="18"/>
  <c r="C899" i="18"/>
  <c r="C1326" i="18"/>
  <c r="C828" i="18"/>
  <c r="C1255" i="18"/>
  <c r="C900" i="18"/>
  <c r="C1327" i="18"/>
  <c r="C827" i="18"/>
  <c r="C1254" i="18"/>
  <c r="C901" i="18"/>
  <c r="C1328" i="18"/>
  <c r="C826" i="18"/>
  <c r="C1252" i="18"/>
  <c r="C902" i="18"/>
  <c r="C1329" i="18"/>
  <c r="C825" i="18"/>
  <c r="C1330" i="18"/>
  <c r="C903" i="18"/>
  <c r="C824" i="18"/>
  <c r="C1331" i="18"/>
  <c r="C823" i="18"/>
  <c r="C904" i="18"/>
  <c r="C1332" i="18"/>
  <c r="C822" i="18"/>
  <c r="C1333" i="18"/>
  <c r="C905" i="18"/>
  <c r="C821" i="18"/>
  <c r="C1334" i="18"/>
  <c r="C820" i="18"/>
  <c r="C906" i="18"/>
  <c r="C1335" i="18"/>
  <c r="C1243" i="18"/>
  <c r="C819" i="18"/>
  <c r="C907" i="18"/>
  <c r="C1336" i="18"/>
  <c r="C1242" i="18"/>
  <c r="C818" i="18"/>
  <c r="C908" i="18"/>
  <c r="C1337" i="18"/>
  <c r="C1241" i="18"/>
  <c r="C817" i="18"/>
  <c r="C909" i="18"/>
  <c r="C1338" i="18"/>
  <c r="C1240" i="18"/>
  <c r="C816" i="18"/>
  <c r="C910" i="18"/>
  <c r="C1339" i="18"/>
  <c r="C1239" i="18"/>
  <c r="C815" i="18"/>
  <c r="C911" i="18"/>
  <c r="C1340" i="18"/>
  <c r="C1238" i="18"/>
  <c r="C814" i="18"/>
  <c r="C912" i="18"/>
  <c r="C1341" i="18"/>
  <c r="C1237" i="18"/>
  <c r="C813" i="18"/>
  <c r="C913" i="18"/>
  <c r="C1342" i="18"/>
  <c r="C1236" i="18"/>
  <c r="C812" i="18"/>
  <c r="C914" i="18"/>
  <c r="C1343" i="18"/>
  <c r="C1235" i="18"/>
  <c r="C811" i="18"/>
  <c r="C915" i="18"/>
  <c r="C1344" i="18"/>
  <c r="C1234" i="18"/>
  <c r="C810" i="18"/>
  <c r="C916" i="18"/>
  <c r="C1345" i="18"/>
  <c r="C1233" i="18"/>
  <c r="C809" i="18"/>
  <c r="C917" i="18"/>
  <c r="C1346" i="18"/>
  <c r="C1232" i="18"/>
  <c r="C808" i="18"/>
  <c r="C918" i="18"/>
  <c r="C1347" i="18"/>
  <c r="C1231" i="18"/>
  <c r="C807" i="18"/>
  <c r="C919" i="18"/>
  <c r="C1348" i="18"/>
  <c r="C1230" i="18"/>
  <c r="C806" i="18"/>
  <c r="C920" i="18"/>
  <c r="C1349" i="18"/>
  <c r="C1229" i="18"/>
  <c r="C805" i="18"/>
  <c r="C921" i="18"/>
  <c r="C1350" i="18"/>
  <c r="C1228" i="18"/>
  <c r="C804" i="18"/>
  <c r="C922" i="18"/>
  <c r="C1351" i="18"/>
  <c r="C1227" i="18"/>
  <c r="C803" i="18"/>
  <c r="C923" i="18"/>
  <c r="C1352" i="18"/>
  <c r="C1226" i="18"/>
  <c r="C802" i="18"/>
  <c r="C924" i="18"/>
  <c r="C1353" i="18"/>
  <c r="C1225" i="18"/>
  <c r="C801" i="18"/>
  <c r="C925" i="18"/>
  <c r="C1354" i="18"/>
  <c r="C1224" i="18"/>
  <c r="C800" i="18"/>
  <c r="C926" i="18"/>
  <c r="C1355" i="18"/>
  <c r="C1223" i="18"/>
  <c r="C799" i="18"/>
  <c r="C927" i="18"/>
  <c r="C1356" i="18"/>
  <c r="C1222" i="18"/>
  <c r="C798" i="18"/>
  <c r="C928" i="18"/>
  <c r="C1357" i="18"/>
  <c r="C1221" i="18"/>
  <c r="C797" i="18"/>
  <c r="C929" i="18"/>
  <c r="C1358" i="18"/>
  <c r="C1220" i="18"/>
  <c r="C796" i="18"/>
  <c r="C930" i="18"/>
  <c r="C1359" i="18"/>
  <c r="C1219" i="18"/>
  <c r="C795" i="18"/>
  <c r="C931" i="18"/>
  <c r="C1360" i="18"/>
  <c r="C1218" i="18"/>
  <c r="C794" i="18"/>
  <c r="C932" i="18"/>
  <c r="C1361" i="18"/>
  <c r="C1217" i="18"/>
  <c r="C793" i="18"/>
  <c r="C933" i="18"/>
  <c r="C1362" i="18"/>
  <c r="C1216" i="18"/>
  <c r="C792" i="18"/>
  <c r="C934" i="18"/>
  <c r="C1363" i="18"/>
  <c r="C1215" i="18"/>
  <c r="C791" i="18"/>
  <c r="C935" i="18"/>
  <c r="C1364" i="18"/>
  <c r="C1214" i="18"/>
  <c r="C790" i="18"/>
  <c r="C936" i="18"/>
  <c r="C1365" i="18"/>
  <c r="C1213" i="18"/>
  <c r="C789" i="18"/>
  <c r="C937" i="18"/>
  <c r="C1366" i="18"/>
  <c r="C1212" i="18"/>
  <c r="C788" i="18"/>
  <c r="C938" i="18"/>
  <c r="C1367" i="18"/>
  <c r="C1211" i="18"/>
  <c r="C787" i="18"/>
  <c r="C939" i="18"/>
  <c r="C1368" i="18"/>
  <c r="C1210" i="18"/>
  <c r="C786" i="18"/>
  <c r="C940" i="18"/>
  <c r="C1369" i="18"/>
  <c r="C1209" i="18"/>
  <c r="C785" i="18"/>
  <c r="C941" i="18"/>
  <c r="C1370" i="18"/>
  <c r="C1208" i="18"/>
  <c r="C784" i="18"/>
  <c r="C942" i="18"/>
  <c r="C1371" i="18"/>
  <c r="C1207" i="18"/>
  <c r="C783" i="18"/>
  <c r="C943" i="18"/>
  <c r="C1372" i="18"/>
  <c r="C1206" i="18"/>
  <c r="C782" i="18"/>
  <c r="C944" i="18"/>
  <c r="C1373" i="18"/>
  <c r="C1205" i="18"/>
  <c r="C781" i="18"/>
  <c r="C945" i="18"/>
  <c r="C1374" i="18"/>
  <c r="C1204" i="18"/>
  <c r="C780" i="18"/>
  <c r="C946" i="18"/>
  <c r="C1375" i="18"/>
  <c r="C1203" i="18"/>
  <c r="C779" i="18"/>
  <c r="C947" i="18"/>
  <c r="C1376" i="18"/>
  <c r="C1202" i="18"/>
  <c r="C778" i="18"/>
  <c r="C948" i="18"/>
  <c r="C1377" i="18"/>
  <c r="C1201" i="18"/>
  <c r="C777" i="18"/>
  <c r="C949" i="18"/>
  <c r="C1378" i="18"/>
  <c r="C1200" i="18"/>
  <c r="C776" i="18"/>
  <c r="C950" i="18"/>
  <c r="C1379" i="18"/>
  <c r="C1199" i="18"/>
  <c r="C775" i="18"/>
  <c r="C951" i="18"/>
  <c r="C1380" i="18"/>
  <c r="C1198" i="18"/>
  <c r="C774" i="18"/>
  <c r="C952" i="18"/>
  <c r="C1381" i="18"/>
  <c r="C1197" i="18"/>
  <c r="C773" i="18"/>
  <c r="C953" i="18"/>
  <c r="C1382" i="18"/>
  <c r="C1196" i="18"/>
  <c r="C772" i="18"/>
  <c r="C954" i="18"/>
  <c r="C1383" i="18"/>
  <c r="C1195" i="18"/>
  <c r="C771" i="18"/>
  <c r="C955" i="18"/>
  <c r="C1384" i="18"/>
  <c r="C1194" i="18"/>
  <c r="C770" i="18"/>
  <c r="C956" i="18"/>
  <c r="C1385" i="18"/>
  <c r="C1193" i="18"/>
  <c r="C769" i="18"/>
  <c r="C957" i="18"/>
  <c r="C1386" i="18"/>
  <c r="C1192" i="18"/>
  <c r="C768" i="18"/>
  <c r="C958" i="18"/>
  <c r="C1387" i="18"/>
  <c r="C1191" i="18"/>
  <c r="C767" i="18"/>
  <c r="C959" i="18"/>
  <c r="C1388" i="18"/>
  <c r="C1190" i="18"/>
  <c r="C766" i="18"/>
  <c r="C960" i="18"/>
  <c r="C1389" i="18"/>
  <c r="C1189" i="18"/>
  <c r="C1390" i="18"/>
  <c r="C961" i="18"/>
  <c r="C1391" i="18"/>
  <c r="C1188" i="18"/>
  <c r="C1392" i="18"/>
  <c r="C962" i="18"/>
  <c r="C1393" i="18"/>
  <c r="C1187" i="18"/>
  <c r="C1394" i="18"/>
  <c r="C963" i="18"/>
  <c r="C628" i="18"/>
  <c r="C1186" i="18"/>
  <c r="C1395" i="18"/>
  <c r="C964" i="18"/>
  <c r="C627" i="18"/>
  <c r="C1185" i="18"/>
  <c r="C1396" i="18"/>
  <c r="C965" i="18"/>
  <c r="C626" i="18"/>
  <c r="C1184" i="18"/>
  <c r="C1397" i="18"/>
  <c r="C966" i="18"/>
  <c r="C625" i="18"/>
  <c r="C1183" i="18"/>
  <c r="C1398" i="18"/>
  <c r="C967" i="18"/>
  <c r="C624" i="18"/>
  <c r="C1182" i="18"/>
  <c r="C1399" i="18"/>
  <c r="C968" i="18"/>
  <c r="C623" i="18"/>
  <c r="C1181" i="18"/>
  <c r="C1400" i="18"/>
  <c r="C969" i="18"/>
  <c r="C622" i="18"/>
  <c r="C1180" i="18"/>
  <c r="C1401" i="18"/>
  <c r="C970" i="18"/>
  <c r="C621" i="18"/>
  <c r="C1179" i="18"/>
  <c r="C864" i="18"/>
  <c r="C971" i="18"/>
  <c r="C620" i="18"/>
  <c r="C1178" i="18"/>
  <c r="C1403" i="18"/>
  <c r="C972" i="18"/>
  <c r="C619" i="18"/>
  <c r="C1177" i="18"/>
  <c r="C1404" i="18"/>
  <c r="C973" i="18"/>
  <c r="C618" i="18"/>
  <c r="C1176" i="18"/>
  <c r="C1405" i="18"/>
  <c r="C974" i="18"/>
  <c r="C617" i="18"/>
  <c r="C1175" i="18"/>
  <c r="C1406" i="18"/>
  <c r="C975" i="18"/>
  <c r="C616" i="18"/>
  <c r="C1174" i="18"/>
  <c r="C1407" i="18"/>
  <c r="C976" i="18"/>
  <c r="C615" i="18"/>
  <c r="C1173" i="18"/>
  <c r="C1408" i="18"/>
  <c r="C977" i="18"/>
  <c r="C614" i="18"/>
  <c r="C1172" i="18"/>
  <c r="C1409" i="18"/>
  <c r="C978" i="18"/>
  <c r="C613" i="18"/>
  <c r="C1171" i="18"/>
  <c r="C1410" i="18"/>
  <c r="C979" i="18"/>
  <c r="C612" i="18"/>
  <c r="C1170" i="18"/>
  <c r="C1411" i="18"/>
  <c r="C980" i="18"/>
  <c r="C611" i="18"/>
  <c r="C1169" i="18"/>
  <c r="C1412" i="18"/>
  <c r="C981" i="18"/>
  <c r="C610" i="18"/>
  <c r="C1168" i="18"/>
  <c r="C1413" i="18"/>
  <c r="C982" i="18"/>
  <c r="C609" i="18"/>
  <c r="C1167" i="18"/>
  <c r="C1414" i="18"/>
  <c r="C983" i="18"/>
  <c r="C608" i="18"/>
  <c r="C1166" i="18"/>
  <c r="C1415" i="18"/>
  <c r="C984" i="18"/>
  <c r="C607" i="18"/>
  <c r="C1165" i="18"/>
  <c r="C1416" i="18"/>
  <c r="C1244" i="18"/>
  <c r="C606" i="18"/>
  <c r="C1245" i="18"/>
  <c r="C1164" i="18"/>
  <c r="C1246" i="18"/>
  <c r="C1417" i="18"/>
  <c r="C1247" i="18"/>
  <c r="C1163" i="18"/>
  <c r="C1248" i="18"/>
  <c r="C605" i="18"/>
  <c r="C1249" i="18"/>
  <c r="C1162" i="18"/>
  <c r="C1250" i="18"/>
  <c r="C1418" i="18"/>
  <c r="C1251" i="18"/>
  <c r="C1161" i="18"/>
  <c r="C604" i="18"/>
  <c r="C1419" i="18"/>
  <c r="C1253" i="18"/>
  <c r="C1160" i="18"/>
  <c r="C603" i="18"/>
  <c r="C985" i="18"/>
  <c r="C1420" i="18"/>
  <c r="C1159" i="18"/>
  <c r="C602" i="18"/>
  <c r="C986" i="18"/>
  <c r="C1421" i="18"/>
  <c r="C1158" i="18"/>
  <c r="C601" i="18"/>
  <c r="C987" i="18"/>
  <c r="C1422" i="18"/>
  <c r="C1157" i="18"/>
  <c r="C600" i="18"/>
  <c r="C988" i="18"/>
  <c r="C1423" i="18"/>
  <c r="C1156" i="18"/>
  <c r="C599" i="18"/>
  <c r="C989" i="18"/>
  <c r="C1424" i="18"/>
  <c r="C1155" i="18"/>
  <c r="C598" i="18"/>
  <c r="C990" i="18"/>
  <c r="C1425" i="18"/>
  <c r="C1154" i="18"/>
  <c r="C597" i="18"/>
  <c r="C991" i="18"/>
  <c r="C1426" i="18"/>
  <c r="C1153" i="18"/>
  <c r="C596" i="18"/>
  <c r="C992" i="18"/>
  <c r="C1427" i="18"/>
  <c r="C1152" i="18"/>
  <c r="C595" i="18"/>
  <c r="C993" i="18"/>
  <c r="C1428" i="18"/>
  <c r="C1151" i="18"/>
  <c r="C594" i="18"/>
  <c r="C994" i="18"/>
  <c r="C1429" i="18"/>
  <c r="C1150" i="18"/>
  <c r="C593" i="18"/>
  <c r="C995" i="18"/>
  <c r="C1430" i="18"/>
  <c r="C1149" i="18"/>
  <c r="C592" i="18"/>
  <c r="C996" i="18"/>
  <c r="C1431" i="18"/>
  <c r="C1148" i="18"/>
  <c r="C591" i="18"/>
  <c r="C997" i="18"/>
  <c r="C1432" i="18"/>
  <c r="C1147" i="18"/>
  <c r="C590" i="18"/>
  <c r="C998" i="18"/>
  <c r="C1433" i="18"/>
  <c r="C1146" i="18"/>
  <c r="C589" i="18"/>
  <c r="C999" i="18"/>
  <c r="C1434" i="18"/>
  <c r="C1145" i="18"/>
  <c r="C588" i="18"/>
  <c r="C1000" i="18"/>
  <c r="C1435" i="18"/>
  <c r="C1144" i="18"/>
  <c r="C587" i="18"/>
  <c r="C1001" i="18"/>
  <c r="C1436" i="18"/>
  <c r="C1143" i="18"/>
  <c r="C586" i="18"/>
  <c r="C1002" i="18"/>
  <c r="C1437" i="18"/>
  <c r="C1142" i="18"/>
  <c r="C585" i="18"/>
  <c r="C1003" i="18"/>
  <c r="C1438" i="18"/>
  <c r="C1141" i="18"/>
  <c r="C584" i="18"/>
  <c r="C1004" i="18"/>
  <c r="C1439" i="18"/>
  <c r="C1140" i="18"/>
  <c r="C583" i="18"/>
  <c r="C1005" i="18"/>
  <c r="C1440" i="18"/>
  <c r="C1139" i="18"/>
  <c r="C582" i="18"/>
  <c r="C1006" i="18"/>
  <c r="C1441" i="18"/>
  <c r="C1138" i="18"/>
  <c r="C581" i="18"/>
  <c r="C1007" i="18"/>
  <c r="C1442" i="18"/>
  <c r="C1137" i="18"/>
  <c r="C580" i="18"/>
  <c r="C1008" i="18"/>
  <c r="C1443" i="18"/>
  <c r="C1136" i="18"/>
  <c r="C579" i="18"/>
  <c r="C1009" i="18"/>
  <c r="C1444" i="18"/>
  <c r="C1135" i="18"/>
  <c r="C578" i="18"/>
  <c r="C1010" i="18"/>
  <c r="C1445" i="18"/>
  <c r="C1134" i="18"/>
  <c r="C577" i="18"/>
  <c r="C1011" i="18"/>
  <c r="C1446" i="18"/>
  <c r="C1133" i="18"/>
  <c r="C576" i="18"/>
  <c r="C1012" i="18"/>
  <c r="C1447" i="18"/>
  <c r="C1132" i="18"/>
  <c r="C575" i="18"/>
  <c r="C1013" i="18"/>
  <c r="C1448" i="18"/>
  <c r="C1131" i="18"/>
  <c r="C574" i="18"/>
  <c r="C1014" i="18"/>
  <c r="C1449" i="18"/>
  <c r="C1130" i="18"/>
  <c r="C573" i="18"/>
  <c r="C1015" i="18"/>
  <c r="C1450" i="18"/>
  <c r="C1129" i="18"/>
  <c r="C572" i="18"/>
  <c r="C1016" i="18"/>
  <c r="C1451" i="18"/>
  <c r="C1128" i="18"/>
  <c r="C571" i="18"/>
  <c r="C1017" i="18"/>
  <c r="C1452" i="18"/>
  <c r="C1127" i="18"/>
  <c r="C570" i="18"/>
  <c r="C1018" i="18"/>
  <c r="C1453" i="18"/>
  <c r="C1126" i="18"/>
  <c r="C569" i="18"/>
  <c r="C1019" i="18"/>
  <c r="C1454" i="18"/>
  <c r="C1125" i="18"/>
  <c r="C568" i="18"/>
  <c r="C1020" i="18"/>
  <c r="C1455" i="18"/>
  <c r="C1124" i="18"/>
  <c r="C567" i="18"/>
  <c r="C1021" i="18"/>
  <c r="C1456" i="18"/>
  <c r="C1123" i="18"/>
  <c r="C566" i="18"/>
  <c r="C1022" i="18"/>
  <c r="C1457" i="18"/>
  <c r="C1122" i="18"/>
  <c r="C565" i="18"/>
  <c r="C1023" i="18"/>
  <c r="C1458" i="18"/>
  <c r="C1121" i="18"/>
  <c r="C564" i="18"/>
  <c r="C1024" i="18"/>
  <c r="C1459" i="18"/>
  <c r="C1120" i="18"/>
  <c r="C563" i="18"/>
  <c r="C1025" i="18"/>
  <c r="C1460" i="18"/>
  <c r="C1119" i="18"/>
  <c r="C562" i="18"/>
  <c r="C1026" i="18"/>
  <c r="C1461" i="18"/>
  <c r="C1118" i="18"/>
  <c r="C561" i="18"/>
  <c r="C1027" i="18"/>
  <c r="C1462" i="18"/>
  <c r="C1117" i="18"/>
  <c r="C560" i="18"/>
  <c r="C1028" i="18"/>
  <c r="C1463" i="18"/>
  <c r="C1116" i="18"/>
  <c r="C559" i="18"/>
  <c r="C1029" i="18"/>
  <c r="C1464" i="18"/>
  <c r="C1115" i="18"/>
  <c r="C558" i="18"/>
  <c r="C1030" i="18"/>
  <c r="C1465" i="18"/>
  <c r="C1114" i="18"/>
  <c r="C557" i="18"/>
  <c r="C1031" i="18"/>
  <c r="C1466" i="18"/>
  <c r="C1113" i="18"/>
  <c r="C556" i="18"/>
  <c r="C1032" i="18"/>
  <c r="C1467" i="18"/>
  <c r="C1112" i="18"/>
  <c r="C555" i="18"/>
  <c r="C1033" i="18"/>
  <c r="C1468" i="18"/>
  <c r="C1111" i="18"/>
  <c r="C554" i="18"/>
  <c r="C1034" i="18"/>
  <c r="C1469" i="18"/>
  <c r="C1110" i="18"/>
  <c r="C553" i="18"/>
  <c r="C1035" i="18"/>
  <c r="C1470" i="18"/>
  <c r="C1109" i="18"/>
  <c r="C552" i="18"/>
  <c r="C1036" i="18"/>
  <c r="C1471" i="18"/>
  <c r="C1108" i="18"/>
  <c r="C551" i="18"/>
  <c r="C1037" i="18"/>
  <c r="C1472" i="18"/>
  <c r="C1107" i="18"/>
  <c r="C550" i="18"/>
  <c r="C1038" i="18"/>
  <c r="C1473" i="18"/>
  <c r="C1106" i="18"/>
  <c r="C549" i="18"/>
  <c r="C1039" i="18"/>
  <c r="C1474" i="18"/>
  <c r="C1105" i="18"/>
  <c r="C548" i="18"/>
  <c r="C1040" i="18"/>
  <c r="C1475" i="18"/>
  <c r="C1104" i="18"/>
  <c r="C547" i="18"/>
  <c r="C1041" i="18"/>
  <c r="C1476" i="18"/>
  <c r="C1103" i="18"/>
  <c r="C546" i="18"/>
  <c r="C1042" i="18"/>
  <c r="C1477" i="18"/>
  <c r="C1102" i="18"/>
  <c r="C545" i="18"/>
  <c r="C1043" i="18"/>
  <c r="C1478" i="18"/>
  <c r="C1101" i="18"/>
  <c r="C544" i="18"/>
  <c r="C1044" i="18"/>
  <c r="C1479" i="18"/>
  <c r="C1100" i="18"/>
  <c r="C543" i="18"/>
  <c r="C1045" i="18"/>
  <c r="C1480" i="18"/>
  <c r="C1099" i="18"/>
  <c r="C542" i="18"/>
  <c r="C1046" i="18"/>
  <c r="C1481" i="18"/>
  <c r="C1098" i="18"/>
  <c r="C541" i="18"/>
  <c r="C1047" i="18"/>
  <c r="C1482" i="18"/>
  <c r="C1097" i="18"/>
  <c r="C540" i="18"/>
  <c r="C1048" i="18"/>
  <c r="C1483" i="18"/>
  <c r="C1096" i="18"/>
  <c r="C539" i="18"/>
  <c r="C1049" i="18"/>
  <c r="C1484" i="18"/>
  <c r="C1095" i="18"/>
  <c r="C538" i="18"/>
  <c r="C1050" i="18"/>
  <c r="C1485" i="18"/>
  <c r="C1094" i="18"/>
  <c r="C537" i="18"/>
  <c r="C1051" i="18"/>
  <c r="C1486" i="18"/>
  <c r="C1093" i="18"/>
  <c r="C536" i="18"/>
  <c r="C1052" i="18"/>
  <c r="C1487" i="18"/>
  <c r="C1092" i="18"/>
  <c r="C535" i="18"/>
  <c r="C1053" i="18"/>
  <c r="C1488" i="18"/>
  <c r="C1091" i="18"/>
  <c r="C534" i="18"/>
  <c r="C1054" i="18"/>
  <c r="C1489" i="18"/>
  <c r="C1090" i="18"/>
  <c r="C533" i="18"/>
  <c r="C1055" i="18"/>
  <c r="C1490" i="18"/>
  <c r="C1089" i="18"/>
  <c r="C532" i="18"/>
  <c r="C1056" i="18"/>
  <c r="C1491" i="18"/>
  <c r="C1088" i="18"/>
  <c r="C531" i="18"/>
  <c r="C1057" i="18"/>
  <c r="C1492" i="18"/>
  <c r="C1087" i="18"/>
  <c r="C530" i="18"/>
  <c r="C1058" i="18"/>
  <c r="C1493" i="18"/>
  <c r="C1086" i="18"/>
  <c r="C529" i="18"/>
  <c r="C1059" i="18"/>
  <c r="C1494" i="18"/>
  <c r="C1085" i="18"/>
  <c r="C528" i="18"/>
  <c r="C1060" i="18"/>
  <c r="C1495" i="18"/>
  <c r="C1084" i="18"/>
  <c r="C527" i="18"/>
  <c r="C1061" i="18"/>
  <c r="C1496" i="18"/>
  <c r="C1083" i="18"/>
  <c r="C526" i="18"/>
  <c r="C1062" i="18"/>
  <c r="C1497" i="18"/>
  <c r="C1082" i="18"/>
  <c r="C525" i="18"/>
  <c r="C1063" i="18"/>
  <c r="C1498" i="18"/>
  <c r="C1081" i="18"/>
  <c r="C524" i="18"/>
  <c r="C1064" i="18"/>
  <c r="C1499" i="18"/>
  <c r="C1080" i="18"/>
  <c r="C523" i="18"/>
  <c r="C1065" i="18"/>
  <c r="C1500" i="18"/>
  <c r="C1079" i="18"/>
  <c r="C522" i="18"/>
  <c r="C1066" i="18"/>
  <c r="C1501" i="18"/>
  <c r="C1078" i="18"/>
  <c r="C521" i="18"/>
  <c r="C1067" i="18"/>
  <c r="C1502" i="18"/>
  <c r="C1077" i="18"/>
  <c r="C520" i="18"/>
  <c r="C1068" i="18"/>
  <c r="C1503" i="18"/>
  <c r="C1076" i="18"/>
  <c r="C519" i="18"/>
  <c r="C1069" i="18"/>
  <c r="C1504" i="18"/>
  <c r="C1075" i="18"/>
  <c r="C518" i="18"/>
  <c r="C1070" i="18"/>
  <c r="C1505" i="18"/>
  <c r="C1074" i="18"/>
  <c r="C516" i="18"/>
  <c r="C1071" i="18"/>
  <c r="C517" i="18"/>
  <c r="C1506" i="18"/>
  <c r="C1073" i="18"/>
  <c r="C1402" i="18"/>
  <c r="M9" i="16"/>
  <c r="D397" i="18"/>
  <c r="D398" i="18"/>
  <c r="D399" i="18"/>
  <c r="D400" i="18"/>
  <c r="D401" i="18"/>
  <c r="D402" i="18"/>
  <c r="D403" i="18"/>
  <c r="D404" i="18"/>
  <c r="D405" i="18"/>
  <c r="D406" i="18"/>
  <c r="D407" i="18"/>
  <c r="D408" i="18"/>
  <c r="D409" i="18"/>
  <c r="D410" i="18"/>
  <c r="D412" i="18"/>
  <c r="D413" i="18"/>
  <c r="D414" i="18"/>
  <c r="D415" i="18"/>
  <c r="D416" i="18"/>
  <c r="D417" i="18"/>
  <c r="D418" i="18"/>
  <c r="D419" i="18"/>
  <c r="D420" i="18"/>
  <c r="D421" i="18"/>
  <c r="D422" i="18"/>
  <c r="D423" i="18"/>
  <c r="D424" i="18"/>
  <c r="D425" i="18"/>
  <c r="D426" i="18"/>
  <c r="D427" i="18"/>
  <c r="D428" i="18"/>
  <c r="D429" i="18"/>
  <c r="D430" i="18"/>
  <c r="D431" i="18"/>
  <c r="D432" i="18"/>
  <c r="D433" i="18"/>
  <c r="D434" i="18"/>
  <c r="D435" i="18"/>
  <c r="D436" i="18"/>
  <c r="D437" i="18"/>
  <c r="D438" i="18"/>
  <c r="D439" i="18"/>
  <c r="D440" i="18"/>
  <c r="D441" i="18"/>
  <c r="D442" i="18"/>
  <c r="D443" i="18"/>
  <c r="D444" i="18"/>
  <c r="D445" i="18"/>
  <c r="D446" i="18"/>
  <c r="D447" i="18"/>
  <c r="D448" i="18"/>
  <c r="D449" i="18"/>
  <c r="D450" i="18"/>
  <c r="D451" i="18"/>
  <c r="D452" i="18"/>
  <c r="D453" i="18"/>
  <c r="D411" i="18"/>
  <c r="D472" i="18"/>
  <c r="D471" i="18"/>
  <c r="D470" i="18"/>
  <c r="D469" i="18"/>
  <c r="D468" i="18"/>
  <c r="D12" i="18"/>
  <c r="D515" i="18"/>
  <c r="D514" i="18"/>
  <c r="D513" i="18"/>
  <c r="D512" i="18"/>
  <c r="D511" i="18"/>
  <c r="D510" i="18"/>
  <c r="D509" i="18"/>
  <c r="D508" i="18"/>
  <c r="D507" i="18"/>
  <c r="D506" i="18"/>
  <c r="D505" i="18"/>
  <c r="D504" i="18"/>
  <c r="D503" i="18"/>
  <c r="D502" i="18"/>
  <c r="D501" i="18"/>
  <c r="D500" i="18"/>
  <c r="D499" i="18"/>
  <c r="D498" i="18"/>
  <c r="D497" i="18"/>
  <c r="D496" i="18"/>
  <c r="D495" i="18"/>
  <c r="D494" i="18"/>
  <c r="D493" i="18"/>
  <c r="D492" i="18"/>
  <c r="D491" i="18"/>
  <c r="D490" i="18"/>
  <c r="D489" i="18"/>
  <c r="D488" i="18"/>
  <c r="D487" i="18"/>
  <c r="D486" i="18"/>
  <c r="D485" i="18"/>
  <c r="D484" i="18"/>
  <c r="D483" i="18"/>
  <c r="D482" i="18"/>
  <c r="D481" i="18"/>
  <c r="D480" i="18"/>
  <c r="D479" i="18"/>
  <c r="D478" i="18"/>
  <c r="D477" i="18"/>
  <c r="D476" i="18"/>
  <c r="D475" i="18"/>
  <c r="D474" i="18"/>
  <c r="D473" i="18"/>
  <c r="C12" i="18"/>
  <c r="C264"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13"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D340" i="18"/>
  <c r="D343" i="18"/>
  <c r="D346" i="18"/>
  <c r="D348" i="18"/>
  <c r="D352" i="18"/>
  <c r="D354" i="18"/>
  <c r="D367" i="18"/>
  <c r="D342" i="18"/>
  <c r="D345" i="18"/>
  <c r="D349" i="18"/>
  <c r="D350" i="18"/>
  <c r="D372" i="18"/>
  <c r="D390" i="18"/>
  <c r="D341" i="18"/>
  <c r="D371" i="18"/>
  <c r="D339" i="18"/>
  <c r="D344" i="18"/>
  <c r="D347" i="18"/>
  <c r="D351" i="18"/>
  <c r="D353" i="18"/>
  <c r="D355" i="18"/>
  <c r="D356" i="18"/>
  <c r="D357" i="18"/>
  <c r="D358" i="18"/>
  <c r="D359" i="18"/>
  <c r="D360" i="18"/>
  <c r="D361" i="18"/>
  <c r="D362" i="18"/>
  <c r="D363" i="18"/>
  <c r="D364" i="18"/>
  <c r="D365" i="18"/>
  <c r="D366" i="18"/>
  <c r="D368" i="18"/>
  <c r="D369" i="18"/>
  <c r="D370" i="18"/>
  <c r="D373" i="18"/>
  <c r="D374" i="18"/>
  <c r="D375" i="18"/>
  <c r="D376" i="18"/>
  <c r="D377" i="18"/>
  <c r="D378" i="18"/>
  <c r="D379" i="18"/>
  <c r="D380" i="18"/>
  <c r="D381" i="18"/>
  <c r="D382" i="18"/>
  <c r="D383" i="18"/>
  <c r="D384" i="18"/>
  <c r="D385" i="18"/>
  <c r="D386" i="18"/>
  <c r="D387" i="18"/>
  <c r="D388" i="18"/>
  <c r="D389" i="18"/>
  <c r="D391" i="18"/>
  <c r="D392" i="18"/>
  <c r="D393" i="18"/>
  <c r="D394" i="18"/>
  <c r="D395" i="18"/>
  <c r="D396" i="18"/>
  <c r="D338" i="18"/>
  <c r="D176"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3"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02" i="18"/>
  <c r="D203" i="18"/>
  <c r="D204" i="18"/>
  <c r="D205" i="18"/>
  <c r="D206" i="18"/>
  <c r="D207" i="18"/>
  <c r="D208" i="18"/>
  <c r="D209" i="18"/>
  <c r="D210" i="18"/>
  <c r="D211" i="18"/>
  <c r="D212" i="18"/>
  <c r="D213" i="18"/>
  <c r="D214"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52" i="18"/>
  <c r="D253" i="18"/>
  <c r="D254" i="18"/>
  <c r="D255" i="18"/>
  <c r="D256" i="18"/>
  <c r="D257" i="18"/>
  <c r="D258" i="18"/>
  <c r="D259" i="18"/>
  <c r="D260" i="18"/>
  <c r="D261" i="18"/>
  <c r="D262" i="18"/>
  <c r="D263" i="18"/>
  <c r="D264" i="18"/>
  <c r="D265" i="18"/>
  <c r="D266" i="18"/>
  <c r="D267" i="18"/>
  <c r="D268" i="18"/>
  <c r="D269" i="18"/>
  <c r="D270" i="18"/>
  <c r="D271" i="18"/>
  <c r="D272" i="18"/>
  <c r="D273" i="18"/>
  <c r="D274" i="18"/>
  <c r="D275" i="18"/>
  <c r="D276" i="18"/>
  <c r="D277" i="18"/>
  <c r="D278" i="18"/>
  <c r="D279" i="18"/>
  <c r="D280" i="18"/>
  <c r="D281" i="18"/>
  <c r="D282" i="18"/>
  <c r="D283" i="18"/>
  <c r="D284" i="18"/>
  <c r="D285" i="18"/>
  <c r="D286" i="18"/>
  <c r="D287" i="18"/>
  <c r="D288" i="18"/>
  <c r="D289" i="18"/>
  <c r="D290" i="18"/>
  <c r="D291" i="18"/>
  <c r="D292" i="18"/>
  <c r="D293" i="18"/>
  <c r="D294" i="18"/>
  <c r="D295" i="18"/>
  <c r="D296" i="18"/>
  <c r="D297" i="18"/>
  <c r="D298" i="18"/>
  <c r="D299" i="18"/>
  <c r="D300" i="18"/>
  <c r="D301" i="18"/>
  <c r="D302" i="18"/>
  <c r="D303" i="18"/>
  <c r="D304" i="18"/>
  <c r="D305" i="18"/>
  <c r="D306" i="18"/>
  <c r="D307" i="18"/>
  <c r="D308" i="18"/>
  <c r="D309" i="18"/>
  <c r="D310" i="18"/>
  <c r="D311" i="18"/>
  <c r="D312" i="18"/>
  <c r="D313" i="18"/>
  <c r="D314" i="18"/>
  <c r="D315" i="18"/>
  <c r="D316" i="18"/>
  <c r="D317" i="18"/>
  <c r="D318" i="18"/>
  <c r="D319" i="18"/>
  <c r="D320" i="18"/>
  <c r="D321" i="18"/>
  <c r="D322" i="18"/>
  <c r="D323" i="18"/>
  <c r="D324" i="18"/>
  <c r="D325" i="18"/>
  <c r="D326" i="18"/>
  <c r="D327" i="18"/>
  <c r="D328" i="18"/>
  <c r="D329" i="18"/>
  <c r="D330" i="18"/>
  <c r="D331" i="18"/>
  <c r="D332" i="18"/>
  <c r="D333" i="18"/>
  <c r="D334" i="18"/>
  <c r="D335" i="18"/>
  <c r="D336" i="18"/>
  <c r="D337" i="18"/>
  <c r="D14" i="18"/>
  <c r="B26" i="17"/>
  <c r="B27" i="17"/>
  <c r="N2" i="10" a="1"/>
  <c r="L19" i="10" a="1"/>
  <c r="L19" i="10" s="1"/>
  <c r="M2" i="10"/>
  <c r="K19" i="10"/>
  <c r="M3" i="10"/>
  <c r="K20" i="10"/>
  <c r="M4" i="10"/>
  <c r="K21" i="10"/>
  <c r="K22" i="10"/>
  <c r="M5" i="10"/>
  <c r="M6" i="10"/>
  <c r="K23" i="10"/>
  <c r="K24" i="10"/>
  <c r="M7" i="10"/>
  <c r="K25" i="10"/>
  <c r="M8" i="10"/>
  <c r="M9" i="10"/>
  <c r="K26" i="10"/>
  <c r="M10" i="10"/>
  <c r="K27" i="10"/>
  <c r="K28" i="10"/>
  <c r="M11" i="10"/>
  <c r="M12" i="10"/>
  <c r="K29" i="10"/>
  <c r="M13" i="10"/>
  <c r="K30" i="10"/>
  <c r="M14" i="10"/>
  <c r="K31" i="10"/>
  <c r="B6" i="9"/>
  <c r="B4" i="14" s="1"/>
  <c r="B9" i="9"/>
  <c r="B26" i="8"/>
  <c r="B27" i="8"/>
  <c r="D2" i="8"/>
  <c r="E645" i="18" l="1"/>
  <c r="E658" i="18"/>
  <c r="E720" i="18"/>
  <c r="E648" i="18"/>
  <c r="E690" i="18"/>
  <c r="E719" i="18"/>
  <c r="E718" i="18"/>
  <c r="E717" i="18"/>
  <c r="E691" i="18"/>
  <c r="E666" i="18"/>
  <c r="E716" i="18"/>
  <c r="E715" i="18"/>
  <c r="E692" i="18"/>
  <c r="E657" i="18"/>
  <c r="E714" i="18"/>
  <c r="E650" i="18"/>
  <c r="E693" i="18"/>
  <c r="E713" i="18"/>
  <c r="E712" i="18"/>
  <c r="E694" i="18"/>
  <c r="E651" i="18"/>
  <c r="E710" i="18"/>
  <c r="E709" i="18"/>
  <c r="E695" i="18"/>
  <c r="E708" i="18"/>
  <c r="E652" i="18"/>
  <c r="E696" i="18"/>
  <c r="E707" i="18"/>
  <c r="E706" i="18"/>
  <c r="E705" i="18"/>
  <c r="E697" i="18"/>
  <c r="E704" i="18"/>
  <c r="E703" i="18"/>
  <c r="E698" i="18"/>
  <c r="E655" i="18"/>
  <c r="E629" i="18"/>
  <c r="E702" i="18"/>
  <c r="E654" i="18"/>
  <c r="E701" i="18"/>
  <c r="E1293" i="18"/>
  <c r="E1294" i="18"/>
  <c r="E1295" i="18"/>
  <c r="L10" i="16"/>
  <c r="N10" i="16" s="1"/>
  <c r="O10" i="16" s="1"/>
  <c r="P10" i="16" s="1"/>
  <c r="D27" i="10" s="1"/>
  <c r="L11" i="16"/>
  <c r="N11" i="16" s="1"/>
  <c r="O11" i="16" s="1"/>
  <c r="P11" i="16" s="1"/>
  <c r="D28" i="10" s="1"/>
  <c r="L12" i="16"/>
  <c r="N12" i="16" s="1"/>
  <c r="O12" i="16" s="1"/>
  <c r="P12" i="16" s="1"/>
  <c r="D29" i="10" s="1"/>
  <c r="L13" i="16"/>
  <c r="N13" i="16" s="1"/>
  <c r="O13" i="16" s="1"/>
  <c r="P13" i="16" s="1"/>
  <c r="D30" i="10" s="1"/>
  <c r="L16" i="16"/>
  <c r="N16" i="16" s="1"/>
  <c r="O16" i="16" s="1"/>
  <c r="P16" i="16" s="1"/>
  <c r="D33" i="10" s="1"/>
  <c r="L17" i="16"/>
  <c r="N17" i="16" s="1"/>
  <c r="O17" i="16" s="1"/>
  <c r="P17" i="16" s="1"/>
  <c r="D34" i="10" s="1"/>
  <c r="L18" i="16"/>
  <c r="N18" i="16" s="1"/>
  <c r="O18" i="16" s="1"/>
  <c r="P18" i="16" s="1"/>
  <c r="D35" i="10" s="1"/>
  <c r="L15" i="16"/>
  <c r="N15" i="16" s="1"/>
  <c r="O15" i="16" s="1"/>
  <c r="P15" i="16" s="1"/>
  <c r="D32" i="10" s="1"/>
  <c r="E752" i="18"/>
  <c r="K9" i="16"/>
  <c r="E727" i="18"/>
  <c r="E1072" i="18"/>
  <c r="E1296" i="18"/>
  <c r="E1297" i="18"/>
  <c r="E1298" i="18"/>
  <c r="E1299" i="18"/>
  <c r="E1300" i="18"/>
  <c r="E1301" i="18"/>
  <c r="E1302" i="18"/>
  <c r="E1303" i="18"/>
  <c r="E1304" i="18"/>
  <c r="E1305" i="18"/>
  <c r="E1306" i="18"/>
  <c r="E1308" i="18"/>
  <c r="E1309" i="18"/>
  <c r="E1311" i="18"/>
  <c r="E1312" i="18"/>
  <c r="E1313" i="18"/>
  <c r="E1314" i="18"/>
  <c r="E1315" i="18"/>
  <c r="E1316" i="18"/>
  <c r="E1317" i="18"/>
  <c r="E1318" i="18"/>
  <c r="E1319" i="18"/>
  <c r="E1320" i="18"/>
  <c r="E1321" i="18"/>
  <c r="E1322" i="18"/>
  <c r="E1323" i="18"/>
  <c r="E1324" i="18"/>
  <c r="E1325" i="18"/>
  <c r="E1326" i="18"/>
  <c r="E1327" i="18"/>
  <c r="E1328" i="18"/>
  <c r="E1329" i="18"/>
  <c r="E1330" i="18"/>
  <c r="E1331" i="18"/>
  <c r="E1332" i="18"/>
  <c r="E1333" i="18"/>
  <c r="E1334" i="18"/>
  <c r="E1335" i="18"/>
  <c r="E1243" i="18"/>
  <c r="E1336" i="18"/>
  <c r="E1242" i="18"/>
  <c r="E1337" i="18"/>
  <c r="E1241" i="18"/>
  <c r="E1338" i="18"/>
  <c r="E1339" i="18"/>
  <c r="E1239" i="18"/>
  <c r="E1340" i="18"/>
  <c r="E1238" i="18"/>
  <c r="E1341" i="18"/>
  <c r="E1342" i="18"/>
  <c r="E1236" i="18"/>
  <c r="E1343" i="18"/>
  <c r="E1235" i="18"/>
  <c r="E1344" i="18"/>
  <c r="E1234" i="18"/>
  <c r="E916" i="18"/>
  <c r="E1345" i="18"/>
  <c r="E1233" i="18"/>
  <c r="E917" i="18"/>
  <c r="E1232" i="18"/>
  <c r="E918" i="18"/>
  <c r="E1347" i="18"/>
  <c r="E1231" i="18"/>
  <c r="E919" i="18"/>
  <c r="E1348" i="18"/>
  <c r="E1230" i="18"/>
  <c r="E920" i="18"/>
  <c r="E1349" i="18"/>
  <c r="E1229" i="18"/>
  <c r="E921" i="18"/>
  <c r="E1228" i="18"/>
  <c r="E922" i="18"/>
  <c r="E1351" i="18"/>
  <c r="E1227" i="18"/>
  <c r="E923" i="18"/>
  <c r="E1352" i="18"/>
  <c r="E1226" i="18"/>
  <c r="E924" i="18"/>
  <c r="E1353" i="18"/>
  <c r="E1225" i="18"/>
  <c r="E925" i="18"/>
  <c r="E1354" i="18"/>
  <c r="E1224" i="18"/>
  <c r="E926" i="18"/>
  <c r="E1355" i="18"/>
  <c r="E1223" i="18"/>
  <c r="E927" i="18"/>
  <c r="E1356" i="18"/>
  <c r="E1222" i="18"/>
  <c r="E928" i="18"/>
  <c r="E1357" i="18"/>
  <c r="E1221" i="18"/>
  <c r="E929" i="18"/>
  <c r="E1358" i="18"/>
  <c r="E1220" i="18"/>
  <c r="E930" i="18"/>
  <c r="E1359" i="18"/>
  <c r="E1219" i="18"/>
  <c r="E931" i="18"/>
  <c r="E1360" i="18"/>
  <c r="E1218" i="18"/>
  <c r="E932" i="18"/>
  <c r="E1361" i="18"/>
  <c r="E1217" i="18"/>
  <c r="E933" i="18"/>
  <c r="E1362" i="18"/>
  <c r="E1216" i="18"/>
  <c r="E934" i="18"/>
  <c r="E1363" i="18"/>
  <c r="E1215" i="18"/>
  <c r="E935" i="18"/>
  <c r="E1214" i="18"/>
  <c r="E936" i="18"/>
  <c r="E1365" i="18"/>
  <c r="E1213" i="18"/>
  <c r="E937" i="18"/>
  <c r="E1366" i="18"/>
  <c r="E1212" i="18"/>
  <c r="E938" i="18"/>
  <c r="E1211" i="18"/>
  <c r="E939" i="18"/>
  <c r="E1210" i="18"/>
  <c r="E940" i="18"/>
  <c r="E1369" i="18"/>
  <c r="E1209" i="18"/>
  <c r="E941" i="18"/>
  <c r="E1370" i="18"/>
  <c r="E1208" i="18"/>
  <c r="E942" i="18"/>
  <c r="E1371" i="18"/>
  <c r="E1207" i="18"/>
  <c r="E943" i="18"/>
  <c r="E1372" i="18"/>
  <c r="E1206" i="18"/>
  <c r="E944" i="18"/>
  <c r="E1205" i="18"/>
  <c r="E945" i="18"/>
  <c r="E1374" i="18"/>
  <c r="E1204" i="18"/>
  <c r="E946" i="18"/>
  <c r="E1375" i="18"/>
  <c r="E1203" i="18"/>
  <c r="E947" i="18"/>
  <c r="E1376" i="18"/>
  <c r="E1202" i="18"/>
  <c r="E948" i="18"/>
  <c r="E1201" i="18"/>
  <c r="E949" i="18"/>
  <c r="E1378" i="18"/>
  <c r="E1200" i="18"/>
  <c r="E950" i="18"/>
  <c r="E1379" i="18"/>
  <c r="E1199" i="18"/>
  <c r="E951" i="18"/>
  <c r="E1380" i="18"/>
  <c r="E1198" i="18"/>
  <c r="E952" i="18"/>
  <c r="E1381" i="18"/>
  <c r="E1197" i="18"/>
  <c r="E953" i="18"/>
  <c r="E1382" i="18"/>
  <c r="E1196" i="18"/>
  <c r="E954" i="18"/>
  <c r="E1383" i="18"/>
  <c r="E1195" i="18"/>
  <c r="E955" i="18"/>
  <c r="E1384" i="18"/>
  <c r="E1194" i="18"/>
  <c r="E956" i="18"/>
  <c r="E1385" i="18"/>
  <c r="E1193" i="18"/>
  <c r="E957" i="18"/>
  <c r="E1386" i="18"/>
  <c r="E1192" i="18"/>
  <c r="E958" i="18"/>
  <c r="E1387" i="18"/>
  <c r="E1191" i="18"/>
  <c r="E767" i="18"/>
  <c r="E959" i="18"/>
  <c r="E1388" i="18"/>
  <c r="E766" i="18"/>
  <c r="E960" i="18"/>
  <c r="E1189" i="18"/>
  <c r="E961" i="18"/>
  <c r="E1391" i="18"/>
  <c r="E1188" i="18"/>
  <c r="E1310" i="18"/>
  <c r="E962" i="18"/>
  <c r="E1187" i="18"/>
  <c r="E1394" i="18"/>
  <c r="E963" i="18"/>
  <c r="E628" i="18"/>
  <c r="E1186" i="18"/>
  <c r="E964" i="18"/>
  <c r="E627" i="18"/>
  <c r="E1185" i="18"/>
  <c r="E1396" i="18"/>
  <c r="E965" i="18"/>
  <c r="E1240" i="18"/>
  <c r="E626" i="18"/>
  <c r="E1184" i="18"/>
  <c r="E1397" i="18"/>
  <c r="E966" i="18"/>
  <c r="E625" i="18"/>
  <c r="E1183" i="18"/>
  <c r="E967" i="18"/>
  <c r="E624" i="18"/>
  <c r="E1182" i="18"/>
  <c r="E1399" i="18"/>
  <c r="E968" i="18"/>
  <c r="E623" i="18"/>
  <c r="E1400" i="18"/>
  <c r="E969" i="18"/>
  <c r="E622" i="18"/>
  <c r="E1180" i="18"/>
  <c r="E970" i="18"/>
  <c r="E621" i="18"/>
  <c r="E1179" i="18"/>
  <c r="E971" i="18"/>
  <c r="E620" i="18"/>
  <c r="E1178" i="18"/>
  <c r="E1403" i="18"/>
  <c r="E972" i="18"/>
  <c r="E619" i="18"/>
  <c r="E1177" i="18"/>
  <c r="E1404" i="18"/>
  <c r="E973" i="18"/>
  <c r="E618" i="18"/>
  <c r="E1176" i="18"/>
  <c r="E974" i="18"/>
  <c r="E617" i="18"/>
  <c r="E1175" i="18"/>
  <c r="E1406" i="18"/>
  <c r="E975" i="18"/>
  <c r="E616" i="18"/>
  <c r="E1174" i="18"/>
  <c r="E1407" i="18"/>
  <c r="E976" i="18"/>
  <c r="E615" i="18"/>
  <c r="E1173" i="18"/>
  <c r="E1408" i="18"/>
  <c r="E977" i="18"/>
  <c r="E614" i="18"/>
  <c r="E1172" i="18"/>
  <c r="E1409" i="18"/>
  <c r="E613" i="18"/>
  <c r="E1171" i="18"/>
  <c r="E1410" i="18"/>
  <c r="E979" i="18"/>
  <c r="E612" i="18"/>
  <c r="E1170" i="18"/>
  <c r="E1411" i="18"/>
  <c r="E980" i="18"/>
  <c r="E611" i="18"/>
  <c r="E981" i="18"/>
  <c r="E610" i="18"/>
  <c r="E1168" i="18"/>
  <c r="E609" i="18"/>
  <c r="E1167" i="18"/>
  <c r="E608" i="18"/>
  <c r="E1166" i="18"/>
  <c r="E607" i="18"/>
  <c r="E1244" i="18"/>
  <c r="E1245" i="18"/>
  <c r="E1164" i="18"/>
  <c r="E1246" i="18"/>
  <c r="E1247" i="18"/>
  <c r="E1163" i="18"/>
  <c r="E1248" i="18"/>
  <c r="E605" i="18"/>
  <c r="E1249" i="18"/>
  <c r="E1162" i="18"/>
  <c r="E1250" i="18"/>
  <c r="E604" i="18"/>
  <c r="E603" i="18"/>
  <c r="E1159" i="18"/>
  <c r="E1158" i="18"/>
  <c r="E601" i="18"/>
  <c r="E1157" i="18"/>
  <c r="E600" i="18"/>
  <c r="E1156" i="18"/>
  <c r="E1155" i="18"/>
  <c r="E598" i="18"/>
  <c r="E1154" i="18"/>
  <c r="E597" i="18"/>
  <c r="E1153" i="18"/>
  <c r="E596" i="18"/>
  <c r="E1152" i="18"/>
  <c r="E1151" i="18"/>
  <c r="E594" i="18"/>
  <c r="E1150" i="18"/>
  <c r="E593" i="18"/>
  <c r="E1149" i="18"/>
  <c r="E592" i="18"/>
  <c r="E1148" i="18"/>
  <c r="E591" i="18"/>
  <c r="E1147" i="18"/>
  <c r="E590" i="18"/>
  <c r="E1146" i="18"/>
  <c r="E589" i="18"/>
  <c r="E1145" i="18"/>
  <c r="E588" i="18"/>
  <c r="E1144" i="18"/>
  <c r="E587" i="18"/>
  <c r="E585" i="18"/>
  <c r="E584" i="18"/>
  <c r="E583" i="18"/>
  <c r="E582" i="18"/>
  <c r="E581" i="18"/>
  <c r="E579" i="18"/>
  <c r="E1010" i="18"/>
  <c r="E577" i="18"/>
  <c r="E1011" i="18"/>
  <c r="E1015" i="18"/>
  <c r="E1016" i="18"/>
  <c r="E1018" i="18"/>
  <c r="E1454" i="18"/>
  <c r="E1022" i="18"/>
  <c r="E1023" i="18"/>
  <c r="E1025" i="18"/>
  <c r="E1115" i="18"/>
  <c r="E1466" i="18"/>
  <c r="E1035" i="18"/>
  <c r="E1036" i="18"/>
  <c r="E1039" i="18"/>
  <c r="E1040" i="18"/>
  <c r="E1046" i="18"/>
  <c r="E1481" i="18"/>
  <c r="E1094" i="18"/>
  <c r="E1052" i="18"/>
  <c r="E1090" i="18"/>
  <c r="E1056" i="18"/>
  <c r="E1087" i="18"/>
  <c r="E1069" i="18"/>
  <c r="E1074" i="18"/>
  <c r="E1402" i="18"/>
  <c r="F11" i="17"/>
  <c r="J11" i="17" s="1"/>
  <c r="E1307" i="18"/>
  <c r="E1190" i="18"/>
  <c r="E1412" i="18"/>
  <c r="E1413" i="18"/>
  <c r="E1415" i="18"/>
  <c r="E1416" i="18"/>
  <c r="E606" i="18"/>
  <c r="E1417" i="18"/>
  <c r="E1418" i="18"/>
  <c r="E1419" i="18"/>
  <c r="E1420" i="18"/>
  <c r="E1421" i="18"/>
  <c r="E1422" i="18"/>
  <c r="E1423" i="18"/>
  <c r="E599" i="18"/>
  <c r="E1424" i="18"/>
  <c r="E1425" i="18"/>
  <c r="E1426" i="18"/>
  <c r="E1427" i="18"/>
  <c r="E1428" i="18"/>
  <c r="E1429" i="18"/>
  <c r="E1430" i="18"/>
  <c r="E1431" i="18"/>
  <c r="E1432" i="18"/>
  <c r="E1433" i="18"/>
  <c r="E1434" i="18"/>
  <c r="E1435" i="18"/>
  <c r="E1436" i="18"/>
  <c r="E1143" i="18"/>
  <c r="E1437" i="18"/>
  <c r="E1142" i="18"/>
  <c r="E1003" i="18"/>
  <c r="E1438" i="18"/>
  <c r="E1141" i="18"/>
  <c r="E1004" i="18"/>
  <c r="E1439" i="18"/>
  <c r="E1140" i="18"/>
  <c r="E1005" i="18"/>
  <c r="E1440" i="18"/>
  <c r="E1139" i="18"/>
  <c r="E1006" i="18"/>
  <c r="E1441" i="18"/>
  <c r="E1138" i="18"/>
  <c r="E1007" i="18"/>
  <c r="E1442" i="18"/>
  <c r="E1137" i="18"/>
  <c r="E580" i="18"/>
  <c r="E1008" i="18"/>
  <c r="E1443" i="18"/>
  <c r="E1136" i="18"/>
  <c r="E1444" i="18"/>
  <c r="E1135" i="18"/>
  <c r="E1445" i="18"/>
  <c r="E1134" i="18"/>
  <c r="E1446" i="18"/>
  <c r="E1133" i="18"/>
  <c r="E1012" i="18"/>
  <c r="E1447" i="18"/>
  <c r="E1132" i="18"/>
  <c r="E1013" i="18"/>
  <c r="E1448" i="18"/>
  <c r="E1131" i="18"/>
  <c r="E1014" i="18"/>
  <c r="E1449" i="18"/>
  <c r="E1130" i="18"/>
  <c r="E1450" i="18"/>
  <c r="E1129" i="18"/>
  <c r="E1451" i="18"/>
  <c r="E1128" i="18"/>
  <c r="E1017" i="18"/>
  <c r="E1452" i="18"/>
  <c r="E1127" i="18"/>
  <c r="E1453" i="18"/>
  <c r="E1126" i="18"/>
  <c r="E1019" i="18"/>
  <c r="E1125" i="18"/>
  <c r="E1020" i="18"/>
  <c r="E1455" i="18"/>
  <c r="E1021" i="18"/>
  <c r="E1456" i="18"/>
  <c r="E1123" i="18"/>
  <c r="E1457" i="18"/>
  <c r="E1122" i="18"/>
  <c r="E1458" i="18"/>
  <c r="E1024" i="18"/>
  <c r="E1459" i="18"/>
  <c r="E1120" i="18"/>
  <c r="E1460" i="18"/>
  <c r="E1026" i="18"/>
  <c r="E1461" i="18"/>
  <c r="E1118" i="18"/>
  <c r="E1027" i="18"/>
  <c r="E1462" i="18"/>
  <c r="E1028" i="18"/>
  <c r="E1463" i="18"/>
  <c r="E1116" i="18"/>
  <c r="E1029" i="18"/>
  <c r="E1464" i="18"/>
  <c r="E1030" i="18"/>
  <c r="E1465" i="18"/>
  <c r="E1114" i="18"/>
  <c r="E1113" i="18"/>
  <c r="E1032" i="18"/>
  <c r="E1467" i="18"/>
  <c r="E1112" i="18"/>
  <c r="E1033" i="18"/>
  <c r="E1468" i="18"/>
  <c r="E1111" i="18"/>
  <c r="E1034" i="18"/>
  <c r="E1110" i="18"/>
  <c r="E1470" i="18"/>
  <c r="E1109" i="18"/>
  <c r="E1471" i="18"/>
  <c r="E1108" i="18"/>
  <c r="E1037" i="18"/>
  <c r="E1472" i="18"/>
  <c r="E1107" i="18"/>
  <c r="E1473" i="18"/>
  <c r="E1106" i="18"/>
  <c r="E1474" i="18"/>
  <c r="E1105" i="18"/>
  <c r="E1475" i="18"/>
  <c r="E1104" i="18"/>
  <c r="E1041" i="18"/>
  <c r="E1476" i="18"/>
  <c r="E1103" i="18"/>
  <c r="E1042" i="18"/>
  <c r="E1477" i="18"/>
  <c r="E1102" i="18"/>
  <c r="E1043" i="18"/>
  <c r="E1101" i="18"/>
  <c r="E1479" i="18"/>
  <c r="E1100" i="18"/>
  <c r="E1045" i="18"/>
  <c r="E1480" i="18"/>
  <c r="E1099" i="18"/>
  <c r="E1098" i="18"/>
  <c r="E1047" i="18"/>
  <c r="E1048" i="18"/>
  <c r="E1483" i="18"/>
  <c r="E1096" i="18"/>
  <c r="E1049" i="18"/>
  <c r="E1484" i="18"/>
  <c r="E1095" i="18"/>
  <c r="E1050" i="18"/>
  <c r="E1051" i="18"/>
  <c r="E1093" i="18"/>
  <c r="E1092" i="18"/>
  <c r="E1053" i="18"/>
  <c r="E1488" i="18"/>
  <c r="E1091" i="18"/>
  <c r="E1054" i="18"/>
  <c r="E1489" i="18"/>
  <c r="E1055" i="18"/>
  <c r="E1490" i="18"/>
  <c r="E1089" i="18"/>
  <c r="E1491" i="18"/>
  <c r="E1088" i="18"/>
  <c r="E1057" i="18"/>
  <c r="E1058" i="18"/>
  <c r="E1493" i="18"/>
  <c r="E1086" i="18"/>
  <c r="E1059" i="18"/>
  <c r="E1494" i="18"/>
  <c r="E1085" i="18"/>
  <c r="E1060" i="18"/>
  <c r="E1084" i="18"/>
  <c r="E1061" i="18"/>
  <c r="E1496" i="18"/>
  <c r="E1083" i="18"/>
  <c r="E1062" i="18"/>
  <c r="E1497" i="18"/>
  <c r="E1082" i="18"/>
  <c r="E1063" i="18"/>
  <c r="E1498" i="18"/>
  <c r="E1081" i="18"/>
  <c r="E1064" i="18"/>
  <c r="E1499" i="18"/>
  <c r="E1080" i="18"/>
  <c r="E1065" i="18"/>
  <c r="E1500" i="18"/>
  <c r="E1079" i="18"/>
  <c r="E1066" i="18"/>
  <c r="E1078" i="18"/>
  <c r="E1067" i="18"/>
  <c r="E1502" i="18"/>
  <c r="E1077" i="18"/>
  <c r="E1068" i="18"/>
  <c r="E1503" i="18"/>
  <c r="E1076" i="18"/>
  <c r="E1504" i="18"/>
  <c r="E1075" i="18"/>
  <c r="E1070" i="18"/>
  <c r="E1505" i="18"/>
  <c r="E1071" i="18"/>
  <c r="E1506" i="18"/>
  <c r="E1073" i="18"/>
  <c r="E653" i="18"/>
  <c r="E754" i="18"/>
  <c r="E758" i="18"/>
  <c r="E755" i="18"/>
  <c r="E765" i="18"/>
  <c r="E764" i="18"/>
  <c r="E736" i="18"/>
  <c r="E735" i="18"/>
  <c r="E730" i="18"/>
  <c r="E646" i="18"/>
  <c r="E711" i="18"/>
  <c r="E656" i="18"/>
  <c r="E668" i="18"/>
  <c r="E665" i="18"/>
  <c r="E863" i="18"/>
  <c r="E865" i="18"/>
  <c r="E862" i="18"/>
  <c r="E1289" i="18"/>
  <c r="E866" i="18"/>
  <c r="E861" i="18"/>
  <c r="E1288" i="18"/>
  <c r="E867" i="18"/>
  <c r="E860" i="18"/>
  <c r="E1287" i="18"/>
  <c r="E868" i="18"/>
  <c r="E859" i="18"/>
  <c r="E1286" i="18"/>
  <c r="E869" i="18"/>
  <c r="E858" i="18"/>
  <c r="E1285" i="18"/>
  <c r="E870" i="18"/>
  <c r="E857" i="18"/>
  <c r="E1284" i="18"/>
  <c r="E871" i="18"/>
  <c r="E856" i="18"/>
  <c r="E1283" i="18"/>
  <c r="E872" i="18"/>
  <c r="E855" i="18"/>
  <c r="E1282" i="18"/>
  <c r="E873" i="18"/>
  <c r="E854" i="18"/>
  <c r="E1281" i="18"/>
  <c r="E874" i="18"/>
  <c r="E853" i="18"/>
  <c r="E1280" i="18"/>
  <c r="E875" i="18"/>
  <c r="E852" i="18"/>
  <c r="E1279" i="18"/>
  <c r="E876" i="18"/>
  <c r="E851" i="18"/>
  <c r="E1278" i="18"/>
  <c r="E877" i="18"/>
  <c r="E850" i="18"/>
  <c r="E1277" i="18"/>
  <c r="E878" i="18"/>
  <c r="E849" i="18"/>
  <c r="E1276" i="18"/>
  <c r="E879" i="18"/>
  <c r="E848" i="18"/>
  <c r="E1275" i="18"/>
  <c r="E880" i="18"/>
  <c r="E847" i="18"/>
  <c r="E1274" i="18"/>
  <c r="E881" i="18"/>
  <c r="E846" i="18"/>
  <c r="E1273" i="18"/>
  <c r="E882" i="18"/>
  <c r="E845" i="18"/>
  <c r="E1272" i="18"/>
  <c r="E883" i="18"/>
  <c r="E844" i="18"/>
  <c r="E1271" i="18"/>
  <c r="E884" i="18"/>
  <c r="E843" i="18"/>
  <c r="E1270" i="18"/>
  <c r="E885" i="18"/>
  <c r="E842" i="18"/>
  <c r="E1269" i="18"/>
  <c r="E886" i="18"/>
  <c r="E841" i="18"/>
  <c r="E1268" i="18"/>
  <c r="E887" i="18"/>
  <c r="E840" i="18"/>
  <c r="E1267" i="18"/>
  <c r="E888" i="18"/>
  <c r="E839" i="18"/>
  <c r="E1266" i="18"/>
  <c r="E889" i="18"/>
  <c r="E838" i="18"/>
  <c r="E1265" i="18"/>
  <c r="E890" i="18"/>
  <c r="E837" i="18"/>
  <c r="E1264" i="18"/>
  <c r="E891" i="18"/>
  <c r="E836" i="18"/>
  <c r="E1263" i="18"/>
  <c r="E892" i="18"/>
  <c r="E835" i="18"/>
  <c r="E1262" i="18"/>
  <c r="E893" i="18"/>
  <c r="E834" i="18"/>
  <c r="E1261" i="18"/>
  <c r="E894" i="18"/>
  <c r="E833" i="18"/>
  <c r="E1260" i="18"/>
  <c r="E895" i="18"/>
  <c r="E832" i="18"/>
  <c r="E1259" i="18"/>
  <c r="E896" i="18"/>
  <c r="E831" i="18"/>
  <c r="E1258" i="18"/>
  <c r="E897" i="18"/>
  <c r="E830" i="18"/>
  <c r="E1257" i="18"/>
  <c r="E898" i="18"/>
  <c r="E829" i="18"/>
  <c r="E1256" i="18"/>
  <c r="E899" i="18"/>
  <c r="E828" i="18"/>
  <c r="E1255" i="18"/>
  <c r="E900" i="18"/>
  <c r="E827" i="18"/>
  <c r="E1254" i="18"/>
  <c r="E901" i="18"/>
  <c r="E826" i="18"/>
  <c r="E1252" i="18"/>
  <c r="E902" i="18"/>
  <c r="E825" i="18"/>
  <c r="E903" i="18"/>
  <c r="E824" i="18"/>
  <c r="E823" i="18"/>
  <c r="E904" i="18"/>
  <c r="E822" i="18"/>
  <c r="E905" i="18"/>
  <c r="E821" i="18"/>
  <c r="E820" i="18"/>
  <c r="E906" i="18"/>
  <c r="E819" i="18"/>
  <c r="E907" i="18"/>
  <c r="E818" i="18"/>
  <c r="E908" i="18"/>
  <c r="E817" i="18"/>
  <c r="E909" i="18"/>
  <c r="E816" i="18"/>
  <c r="E910" i="18"/>
  <c r="E815" i="18"/>
  <c r="E911" i="18"/>
  <c r="E814" i="18"/>
  <c r="E912" i="18"/>
  <c r="E813" i="18"/>
  <c r="E913" i="18"/>
  <c r="E812" i="18"/>
  <c r="E914" i="18"/>
  <c r="E811" i="18"/>
  <c r="E915" i="18"/>
  <c r="E810" i="18"/>
  <c r="E809" i="18"/>
  <c r="E808" i="18"/>
  <c r="E807" i="18"/>
  <c r="E806" i="18"/>
  <c r="E805" i="18"/>
  <c r="E804" i="18"/>
  <c r="E803" i="18"/>
  <c r="E802" i="18"/>
  <c r="E801" i="18"/>
  <c r="E800" i="18"/>
  <c r="E799" i="18"/>
  <c r="E798" i="18"/>
  <c r="E797" i="18"/>
  <c r="E796" i="18"/>
  <c r="E795" i="18"/>
  <c r="E794" i="18"/>
  <c r="E793" i="18"/>
  <c r="E792" i="18"/>
  <c r="E791" i="18"/>
  <c r="E790" i="18"/>
  <c r="E789" i="18"/>
  <c r="E788" i="18"/>
  <c r="E787" i="18"/>
  <c r="E786" i="18"/>
  <c r="E785" i="18"/>
  <c r="E784" i="18"/>
  <c r="E783" i="18"/>
  <c r="E782" i="18"/>
  <c r="E781" i="18"/>
  <c r="E780" i="18"/>
  <c r="E779" i="18"/>
  <c r="E778" i="18"/>
  <c r="E777" i="18"/>
  <c r="E776" i="18"/>
  <c r="E775" i="18"/>
  <c r="E774" i="18"/>
  <c r="E773" i="18"/>
  <c r="E772" i="18"/>
  <c r="E771" i="18"/>
  <c r="E770" i="18"/>
  <c r="E769" i="18"/>
  <c r="E768" i="18"/>
  <c r="E864" i="18"/>
  <c r="E978" i="18"/>
  <c r="E982" i="18"/>
  <c r="E983" i="18"/>
  <c r="E984" i="18"/>
  <c r="E1251" i="18"/>
  <c r="E1253" i="18"/>
  <c r="E985" i="18"/>
  <c r="E602" i="18"/>
  <c r="E986" i="18"/>
  <c r="E987" i="18"/>
  <c r="E988" i="18"/>
  <c r="E989" i="18"/>
  <c r="E990" i="18"/>
  <c r="E991" i="18"/>
  <c r="E992" i="18"/>
  <c r="E595" i="18"/>
  <c r="E993" i="18"/>
  <c r="E994" i="18"/>
  <c r="E995" i="18"/>
  <c r="E996" i="18"/>
  <c r="E997" i="18"/>
  <c r="E998" i="18"/>
  <c r="E999" i="18"/>
  <c r="E1000" i="18"/>
  <c r="E1001" i="18"/>
  <c r="E586" i="18"/>
  <c r="E1002" i="18"/>
  <c r="E1009" i="18"/>
  <c r="E578" i="18"/>
  <c r="E576" i="18"/>
  <c r="E575" i="18"/>
  <c r="E574" i="18"/>
  <c r="E573" i="18"/>
  <c r="E572" i="18"/>
  <c r="E571" i="18"/>
  <c r="E570" i="18"/>
  <c r="E569" i="18"/>
  <c r="E568" i="18"/>
  <c r="E567" i="18"/>
  <c r="E566" i="18"/>
  <c r="E565" i="18"/>
  <c r="E564" i="18"/>
  <c r="E563" i="18"/>
  <c r="E562" i="18"/>
  <c r="E561" i="18"/>
  <c r="E560" i="18"/>
  <c r="E559" i="18"/>
  <c r="E558" i="18"/>
  <c r="E557" i="18"/>
  <c r="E1031" i="18"/>
  <c r="E556" i="18"/>
  <c r="E555" i="18"/>
  <c r="E554" i="18"/>
  <c r="E553" i="18"/>
  <c r="E552" i="18"/>
  <c r="E551" i="18"/>
  <c r="E550" i="18"/>
  <c r="E1038" i="18"/>
  <c r="E549" i="18"/>
  <c r="E548" i="18"/>
  <c r="E547" i="18"/>
  <c r="E546" i="18"/>
  <c r="E545" i="18"/>
  <c r="E544" i="18"/>
  <c r="E1044" i="18"/>
  <c r="E543" i="18"/>
  <c r="E542" i="18"/>
  <c r="E541" i="18"/>
  <c r="E540" i="18"/>
  <c r="E539" i="18"/>
  <c r="E538" i="18"/>
  <c r="E537" i="18"/>
  <c r="E536" i="18"/>
  <c r="E535" i="18"/>
  <c r="E534" i="18"/>
  <c r="E533" i="18"/>
  <c r="E532" i="18"/>
  <c r="E531" i="18"/>
  <c r="E530" i="18"/>
  <c r="E529" i="18"/>
  <c r="E528" i="18"/>
  <c r="E527" i="18"/>
  <c r="E526" i="18"/>
  <c r="E525" i="18"/>
  <c r="E524" i="18"/>
  <c r="E523" i="18"/>
  <c r="E522" i="18"/>
  <c r="E521" i="18"/>
  <c r="E520" i="18"/>
  <c r="E519" i="18"/>
  <c r="E518" i="18"/>
  <c r="E516" i="18"/>
  <c r="E517" i="18"/>
  <c r="E1487" i="18"/>
  <c r="E1165" i="18"/>
  <c r="E1392" i="18"/>
  <c r="E1495" i="18"/>
  <c r="E1485" i="18"/>
  <c r="E1097" i="18"/>
  <c r="E1117" i="18"/>
  <c r="E1124" i="18"/>
  <c r="E1401" i="18"/>
  <c r="E1395" i="18"/>
  <c r="E1390" i="18"/>
  <c r="E1377" i="18"/>
  <c r="E1373" i="18"/>
  <c r="E1367" i="18"/>
  <c r="E1364" i="18"/>
  <c r="E1346" i="18"/>
  <c r="E1492" i="18"/>
  <c r="E1482" i="18"/>
  <c r="E1469" i="18"/>
  <c r="E1121" i="18"/>
  <c r="E1405" i="18"/>
  <c r="E1398" i="18"/>
  <c r="E1350" i="18"/>
  <c r="E1501" i="18"/>
  <c r="E1486" i="18"/>
  <c r="E1478" i="18"/>
  <c r="E1119" i="18"/>
  <c r="E1160" i="18"/>
  <c r="E1161" i="18"/>
  <c r="E1414" i="18"/>
  <c r="E1169" i="18"/>
  <c r="E1181" i="18"/>
  <c r="E1393" i="18"/>
  <c r="E1389" i="18"/>
  <c r="E1368" i="18"/>
  <c r="E1237" i="18"/>
  <c r="O21" i="16"/>
  <c r="P21" i="16" s="1"/>
  <c r="D38" i="10" s="1"/>
  <c r="O14" i="16"/>
  <c r="P14" i="16" s="1"/>
  <c r="D31" i="10" s="1"/>
  <c r="O20" i="16"/>
  <c r="P20" i="16" s="1"/>
  <c r="D37" i="10" s="1"/>
  <c r="O9" i="16"/>
  <c r="P9" i="16" s="1"/>
  <c r="D26" i="10" s="1"/>
  <c r="O19" i="16"/>
  <c r="P19" i="16" s="1"/>
  <c r="D36" i="10" s="1"/>
  <c r="N2" i="10"/>
  <c r="O2" i="10" s="1"/>
  <c r="P2" i="10" s="1"/>
  <c r="F2" i="17"/>
  <c r="J2" i="17" s="1"/>
  <c r="F3" i="17"/>
  <c r="J3" i="17" s="1"/>
  <c r="F4" i="17"/>
  <c r="J4" i="17" s="1"/>
  <c r="F5" i="17"/>
  <c r="J5" i="17" s="1"/>
  <c r="F6" i="17"/>
  <c r="J6" i="17" s="1"/>
  <c r="F7" i="17"/>
  <c r="J7" i="17" s="1"/>
  <c r="F8" i="17"/>
  <c r="J8" i="17" s="1"/>
  <c r="F9" i="17"/>
  <c r="J9" i="17" s="1"/>
  <c r="F10" i="17"/>
  <c r="J10" i="17" s="1"/>
  <c r="F12" i="17"/>
  <c r="F13" i="17"/>
  <c r="J13" i="17" s="1"/>
  <c r="I10" i="16" s="1"/>
  <c r="F14" i="17"/>
  <c r="J14" i="17" s="1"/>
  <c r="I11" i="16" s="1"/>
  <c r="F15" i="17"/>
  <c r="J15" i="17" s="1"/>
  <c r="I12" i="16" s="1"/>
  <c r="F16" i="17"/>
  <c r="J16" i="17" s="1"/>
  <c r="I13" i="16" s="1"/>
  <c r="F17" i="17"/>
  <c r="J17" i="17" s="1"/>
  <c r="I14" i="16" s="1"/>
  <c r="F18" i="17"/>
  <c r="J18" i="17" s="1"/>
  <c r="I15" i="16" s="1"/>
  <c r="F19" i="17"/>
  <c r="J19" i="17" s="1"/>
  <c r="I16" i="16" s="1"/>
  <c r="F20" i="17"/>
  <c r="J20" i="17" s="1"/>
  <c r="I17" i="16" s="1"/>
  <c r="F21" i="17"/>
  <c r="J21" i="17" s="1"/>
  <c r="I18" i="16" s="1"/>
  <c r="F22" i="17"/>
  <c r="J22" i="17" s="1"/>
  <c r="I19" i="16" s="1"/>
  <c r="F23" i="17"/>
  <c r="J23" i="17" s="1"/>
  <c r="I20" i="16" s="1"/>
  <c r="F24" i="17"/>
  <c r="J24" i="17" s="1"/>
  <c r="I21" i="16" s="1"/>
  <c r="N19" i="10"/>
  <c r="O19" i="10" s="1"/>
  <c r="P19" i="10" s="1"/>
  <c r="Q19" i="10" s="1"/>
  <c r="C8" i="10" s="1"/>
  <c r="C26" i="10" s="1"/>
  <c r="N20" i="10"/>
  <c r="O20" i="10" s="1"/>
  <c r="P20" i="10" s="1"/>
  <c r="Q20" i="10" s="1"/>
  <c r="C9" i="10" s="1"/>
  <c r="C27" i="10" s="1"/>
  <c r="N21" i="10"/>
  <c r="O21" i="10" s="1"/>
  <c r="P21" i="10" s="1"/>
  <c r="Q21" i="10" s="1"/>
  <c r="C10" i="10" s="1"/>
  <c r="C28" i="10" s="1"/>
  <c r="N22" i="10"/>
  <c r="O22" i="10" s="1"/>
  <c r="P22" i="10" s="1"/>
  <c r="Q22" i="10" s="1"/>
  <c r="C11" i="10" s="1"/>
  <c r="C29" i="10" s="1"/>
  <c r="N23" i="10"/>
  <c r="O23" i="10" s="1"/>
  <c r="P23" i="10" s="1"/>
  <c r="Q23" i="10" s="1"/>
  <c r="C12" i="10" s="1"/>
  <c r="C30" i="10" s="1"/>
  <c r="N24" i="10"/>
  <c r="O24" i="10" s="1"/>
  <c r="P24" i="10" s="1"/>
  <c r="Q24" i="10" s="1"/>
  <c r="C13" i="10" s="1"/>
  <c r="C31" i="10" s="1"/>
  <c r="N25" i="10"/>
  <c r="O25" i="10" s="1"/>
  <c r="P25" i="10" s="1"/>
  <c r="Q25" i="10" s="1"/>
  <c r="C14" i="10" s="1"/>
  <c r="C32" i="10" s="1"/>
  <c r="N26" i="10"/>
  <c r="O26" i="10" s="1"/>
  <c r="P26" i="10" s="1"/>
  <c r="Q26" i="10" s="1"/>
  <c r="C15" i="10" s="1"/>
  <c r="C33" i="10" s="1"/>
  <c r="N27" i="10"/>
  <c r="O27" i="10" s="1"/>
  <c r="P27" i="10" s="1"/>
  <c r="Q27" i="10" s="1"/>
  <c r="C16" i="10" s="1"/>
  <c r="C34" i="10" s="1"/>
  <c r="N28" i="10"/>
  <c r="O28" i="10" s="1"/>
  <c r="P28" i="10" s="1"/>
  <c r="Q28" i="10" s="1"/>
  <c r="C17" i="10" s="1"/>
  <c r="C35" i="10" s="1"/>
  <c r="N29" i="10"/>
  <c r="O29" i="10" s="1"/>
  <c r="P29" i="10" s="1"/>
  <c r="Q29" i="10" s="1"/>
  <c r="C18" i="10" s="1"/>
  <c r="C36" i="10" s="1"/>
  <c r="N30" i="10"/>
  <c r="O30" i="10" s="1"/>
  <c r="P30" i="10" s="1"/>
  <c r="Q30" i="10" s="1"/>
  <c r="C19" i="10" s="1"/>
  <c r="C37" i="10" s="1"/>
  <c r="O3" i="10"/>
  <c r="P3" i="10" s="1"/>
  <c r="B9" i="10" s="1"/>
  <c r="O4" i="10"/>
  <c r="P4" i="10" s="1"/>
  <c r="B10" i="10" s="1"/>
  <c r="O5" i="10"/>
  <c r="P5" i="10" s="1"/>
  <c r="B11" i="10" s="1"/>
  <c r="O6" i="10"/>
  <c r="P6" i="10" s="1"/>
  <c r="B12" i="10" s="1"/>
  <c r="O7" i="10"/>
  <c r="P7" i="10" s="1"/>
  <c r="B13" i="10" s="1"/>
  <c r="O8" i="10"/>
  <c r="P8" i="10" s="1"/>
  <c r="B14" i="10" s="1"/>
  <c r="O9" i="10"/>
  <c r="P9" i="10" s="1"/>
  <c r="B15" i="10" s="1"/>
  <c r="O10" i="10"/>
  <c r="P10" i="10" s="1"/>
  <c r="B16" i="10" s="1"/>
  <c r="O11" i="10"/>
  <c r="P11" i="10" s="1"/>
  <c r="B17" i="10" s="1"/>
  <c r="O12" i="10"/>
  <c r="P12" i="10" s="1"/>
  <c r="B18" i="10" s="1"/>
  <c r="O13" i="10"/>
  <c r="P13" i="10" s="1"/>
  <c r="B19" i="10" s="1"/>
  <c r="O14" i="10"/>
  <c r="P14" i="10" s="1"/>
  <c r="B20" i="10" s="1"/>
  <c r="B38" i="10" s="1"/>
  <c r="N31" i="10"/>
  <c r="O31" i="10" s="1"/>
  <c r="P31" i="10" s="1"/>
  <c r="Q31" i="10" s="1"/>
  <c r="C20" i="10" s="1"/>
  <c r="C38" i="10" s="1"/>
  <c r="Q10" i="14" a="1"/>
  <c r="Q10" i="14" s="1"/>
  <c r="AH10" i="14" a="1"/>
  <c r="AH10" i="14" s="1"/>
  <c r="C657" i="9"/>
  <c r="C711" i="9"/>
  <c r="C18" i="9"/>
  <c r="C932" i="9"/>
  <c r="C21" i="9"/>
  <c r="C22" i="9"/>
  <c r="C23" i="9"/>
  <c r="C24" i="9"/>
  <c r="C25" i="9"/>
  <c r="C26" i="9"/>
  <c r="C27" i="9"/>
  <c r="C28" i="9"/>
  <c r="C29" i="9"/>
  <c r="C30" i="9"/>
  <c r="C31" i="9"/>
  <c r="C32" i="9"/>
  <c r="C33" i="9"/>
  <c r="C35" i="9"/>
  <c r="C36" i="9"/>
  <c r="C37" i="9"/>
  <c r="C38" i="9"/>
  <c r="C39" i="9"/>
  <c r="C41" i="9"/>
  <c r="C43" i="9"/>
  <c r="C45" i="9"/>
  <c r="C47" i="9"/>
  <c r="C706" i="9"/>
  <c r="C705" i="9"/>
  <c r="C701" i="9"/>
  <c r="C699" i="9"/>
  <c r="C697" i="9"/>
  <c r="C696" i="9"/>
  <c r="C694" i="9"/>
  <c r="C692" i="9"/>
  <c r="C357" i="9"/>
  <c r="C356" i="9"/>
  <c r="C355" i="9"/>
  <c r="C354" i="9"/>
  <c r="C353" i="9"/>
  <c r="C352" i="9"/>
  <c r="C351" i="9"/>
  <c r="C350" i="9"/>
  <c r="C349" i="9"/>
  <c r="C348" i="9"/>
  <c r="C347" i="9"/>
  <c r="C346" i="9"/>
  <c r="C345" i="9"/>
  <c r="C344" i="9"/>
  <c r="C343" i="9"/>
  <c r="C342" i="9"/>
  <c r="C341" i="9"/>
  <c r="C340" i="9"/>
  <c r="C49" i="9"/>
  <c r="C51" i="9"/>
  <c r="C54" i="9"/>
  <c r="C339" i="9"/>
  <c r="C55" i="9"/>
  <c r="C338" i="9"/>
  <c r="C57" i="9"/>
  <c r="C337" i="9"/>
  <c r="C59" i="9"/>
  <c r="C336" i="9"/>
  <c r="C62" i="9"/>
  <c r="C335" i="9"/>
  <c r="C64" i="9"/>
  <c r="C334" i="9"/>
  <c r="C332" i="9"/>
  <c r="C66" i="9"/>
  <c r="C67" i="9"/>
  <c r="C330" i="9"/>
  <c r="C69" i="9"/>
  <c r="C71" i="9"/>
  <c r="C327" i="9"/>
  <c r="C324" i="9"/>
  <c r="C322" i="9"/>
  <c r="C75" i="9"/>
  <c r="C320" i="9"/>
  <c r="C77" i="9"/>
  <c r="C319" i="9"/>
  <c r="C79" i="9"/>
  <c r="C317" i="9"/>
  <c r="C315" i="9"/>
  <c r="C82" i="9"/>
  <c r="C83" i="9"/>
  <c r="C312" i="9"/>
  <c r="C85" i="9"/>
  <c r="C94" i="9"/>
  <c r="C310" i="9"/>
  <c r="C96" i="9"/>
  <c r="C308" i="9"/>
  <c r="C98" i="9"/>
  <c r="C306" i="9"/>
  <c r="C303" i="9"/>
  <c r="C100" i="9"/>
  <c r="C301" i="9"/>
  <c r="C102" i="9"/>
  <c r="C300" i="9"/>
  <c r="C104" i="9"/>
  <c r="C299" i="9"/>
  <c r="C107" i="9"/>
  <c r="C297" i="9"/>
  <c r="C109" i="9"/>
  <c r="C294" i="9"/>
  <c r="C110" i="9"/>
  <c r="C293" i="9"/>
  <c r="C111" i="9"/>
  <c r="C291" i="9"/>
  <c r="C112" i="9"/>
  <c r="C290" i="9"/>
  <c r="C113" i="9"/>
  <c r="C115" i="9"/>
  <c r="C288" i="9"/>
  <c r="C117" i="9"/>
  <c r="C286" i="9"/>
  <c r="C119" i="9"/>
  <c r="C283" i="9"/>
  <c r="C122" i="9"/>
  <c r="C279" i="9"/>
  <c r="C277" i="9"/>
  <c r="C125" i="9"/>
  <c r="C274" i="9"/>
  <c r="C127" i="9"/>
  <c r="C128" i="9"/>
  <c r="C129" i="9"/>
  <c r="C131" i="9"/>
  <c r="C273" i="9"/>
  <c r="C133" i="9"/>
  <c r="C272" i="9"/>
  <c r="C135" i="9"/>
  <c r="C270" i="9"/>
  <c r="C137" i="9"/>
  <c r="C268" i="9"/>
  <c r="C139" i="9"/>
  <c r="C140" i="9"/>
  <c r="C266" i="9"/>
  <c r="C264" i="9"/>
  <c r="C143" i="9"/>
  <c r="C262" i="9"/>
  <c r="C146" i="9"/>
  <c r="C259" i="9"/>
  <c r="C148" i="9"/>
  <c r="C258" i="9"/>
  <c r="C150" i="9"/>
  <c r="C256" i="9"/>
  <c r="C152" i="9"/>
  <c r="C255" i="9"/>
  <c r="C154" i="9"/>
  <c r="C253" i="9"/>
  <c r="C156" i="9"/>
  <c r="C252" i="9"/>
  <c r="C158" i="9"/>
  <c r="C250" i="9"/>
  <c r="C161" i="9"/>
  <c r="C248" i="9"/>
  <c r="C163" i="9"/>
  <c r="C247" i="9"/>
  <c r="C165" i="9"/>
  <c r="C245" i="9"/>
  <c r="C167" i="9"/>
  <c r="C243" i="9"/>
  <c r="C168" i="9"/>
  <c r="C169" i="9"/>
  <c r="C241" i="9"/>
  <c r="C240" i="9"/>
  <c r="C238" i="9"/>
  <c r="C235" i="9"/>
  <c r="C233" i="9"/>
  <c r="C175" i="9"/>
  <c r="C231" i="9"/>
  <c r="C229" i="9"/>
  <c r="C178" i="9"/>
  <c r="C227" i="9"/>
  <c r="C187" i="9"/>
  <c r="C226" i="9"/>
  <c r="C188" i="9"/>
  <c r="C224" i="9"/>
  <c r="C189" i="9"/>
  <c r="C222" i="9"/>
  <c r="C190" i="9"/>
  <c r="C220" i="9"/>
  <c r="C191" i="9"/>
  <c r="C218" i="9"/>
  <c r="C192" i="9"/>
  <c r="C215" i="9"/>
  <c r="C193" i="9"/>
  <c r="C212" i="9"/>
  <c r="C194" i="9"/>
  <c r="C210" i="9"/>
  <c r="C195" i="9"/>
  <c r="C208" i="9"/>
  <c r="C196" i="9"/>
  <c r="C186" i="9"/>
  <c r="C197" i="9"/>
  <c r="C185" i="9"/>
  <c r="C198" i="9"/>
  <c r="C184" i="9"/>
  <c r="C199" i="9"/>
  <c r="C183" i="9"/>
  <c r="C200" i="9"/>
  <c r="C182" i="9"/>
  <c r="C201" i="9"/>
  <c r="C181" i="9"/>
  <c r="C202" i="9"/>
  <c r="C180" i="9"/>
  <c r="C203" i="9"/>
  <c r="C179" i="9"/>
  <c r="C204" i="9"/>
  <c r="C177" i="9"/>
  <c r="C205" i="9"/>
  <c r="C176" i="9"/>
  <c r="C206" i="9"/>
  <c r="C207" i="9"/>
  <c r="C174" i="9"/>
  <c r="C209" i="9"/>
  <c r="C173" i="9"/>
  <c r="C211" i="9"/>
  <c r="C172" i="9"/>
  <c r="C213" i="9"/>
  <c r="C171" i="9"/>
  <c r="C214" i="9"/>
  <c r="C170" i="9"/>
  <c r="C216" i="9"/>
  <c r="C217" i="9"/>
  <c r="C166" i="9"/>
  <c r="C219" i="9"/>
  <c r="C164" i="9"/>
  <c r="C221" i="9"/>
  <c r="C162" i="9"/>
  <c r="C223" i="9"/>
  <c r="C160" i="9"/>
  <c r="C225" i="9"/>
  <c r="C159" i="9"/>
  <c r="C157" i="9"/>
  <c r="C228" i="9"/>
  <c r="C155" i="9"/>
  <c r="C230" i="9"/>
  <c r="C153" i="9"/>
  <c r="C232" i="9"/>
  <c r="C151" i="9"/>
  <c r="C234" i="9"/>
  <c r="C149" i="9"/>
  <c r="C236" i="9"/>
  <c r="C237" i="9"/>
  <c r="C147" i="9"/>
  <c r="C239" i="9"/>
  <c r="C145" i="9"/>
  <c r="C144" i="9"/>
  <c r="C242" i="9"/>
  <c r="C142" i="9"/>
  <c r="C244" i="9"/>
  <c r="C141" i="9"/>
  <c r="C246" i="9"/>
  <c r="C138" i="9"/>
  <c r="C136" i="9"/>
  <c r="C249" i="9"/>
  <c r="C134" i="9"/>
  <c r="C251" i="9"/>
  <c r="C132" i="9"/>
  <c r="C130" i="9"/>
  <c r="C254" i="9"/>
  <c r="C126" i="9"/>
  <c r="C124" i="9"/>
  <c r="C257" i="9"/>
  <c r="C123" i="9"/>
  <c r="C121" i="9"/>
  <c r="C260" i="9"/>
  <c r="C261" i="9"/>
  <c r="C263" i="9"/>
  <c r="C120" i="9"/>
  <c r="C265" i="9"/>
  <c r="C118" i="9"/>
  <c r="C267" i="9"/>
  <c r="C269" i="9"/>
  <c r="C116" i="9"/>
  <c r="C271" i="9"/>
  <c r="C114" i="9"/>
  <c r="C108" i="9"/>
  <c r="C106" i="9"/>
  <c r="C275" i="9"/>
  <c r="C105" i="9"/>
  <c r="C276" i="9"/>
  <c r="C103" i="9"/>
  <c r="C278" i="9"/>
  <c r="C101" i="9"/>
  <c r="C280" i="9"/>
  <c r="C99" i="9"/>
  <c r="C281" i="9"/>
  <c r="C97" i="9"/>
  <c r="C282" i="9"/>
  <c r="C95" i="9"/>
  <c r="C284" i="9"/>
  <c r="C285" i="9"/>
  <c r="C93" i="9"/>
  <c r="C287" i="9"/>
  <c r="C92" i="9"/>
  <c r="C289" i="9"/>
  <c r="C91" i="9"/>
  <c r="C90" i="9"/>
  <c r="C292" i="9"/>
  <c r="C89" i="9"/>
  <c r="C88" i="9"/>
  <c r="C295" i="9"/>
  <c r="C296" i="9"/>
  <c r="C87" i="9"/>
  <c r="C298" i="9"/>
  <c r="C86" i="9"/>
  <c r="C84" i="9"/>
  <c r="C81" i="9"/>
  <c r="C302" i="9"/>
  <c r="C80" i="9"/>
  <c r="C304" i="9"/>
  <c r="C305" i="9"/>
  <c r="C307" i="9"/>
  <c r="C78" i="9"/>
  <c r="C309" i="9"/>
  <c r="C76" i="9"/>
  <c r="C311" i="9"/>
  <c r="C74" i="9"/>
  <c r="C313" i="9"/>
  <c r="C73" i="9"/>
  <c r="C314" i="9"/>
  <c r="C72" i="9"/>
  <c r="C316" i="9"/>
  <c r="C70" i="9"/>
  <c r="C68" i="9"/>
  <c r="C318" i="9"/>
  <c r="C65" i="9"/>
  <c r="C63" i="9"/>
  <c r="C321" i="9"/>
  <c r="C61" i="9"/>
  <c r="C323" i="9"/>
  <c r="C60" i="9"/>
  <c r="C325" i="9"/>
  <c r="C58" i="9"/>
  <c r="C326" i="9"/>
  <c r="C56" i="9"/>
  <c r="C328" i="9"/>
  <c r="C329" i="9"/>
  <c r="C53" i="9"/>
  <c r="C331" i="9"/>
  <c r="C52" i="9"/>
  <c r="C333" i="9"/>
  <c r="C50" i="9"/>
  <c r="C358" i="9"/>
  <c r="C48" i="9"/>
  <c r="C359" i="9"/>
  <c r="C46" i="9"/>
  <c r="C360" i="9"/>
  <c r="C44" i="9"/>
  <c r="C361" i="9"/>
  <c r="C42" i="9"/>
  <c r="C362" i="9"/>
  <c r="C40" i="9"/>
  <c r="C363" i="9"/>
  <c r="C34" i="9"/>
  <c r="C364" i="9"/>
  <c r="C16" i="9"/>
  <c r="C650" i="9"/>
  <c r="C1000" i="9"/>
  <c r="C652" i="9"/>
  <c r="C653" i="9"/>
  <c r="C999" i="9"/>
  <c r="C998" i="9"/>
  <c r="C658" i="9"/>
  <c r="C659" i="9"/>
  <c r="C997" i="9"/>
  <c r="C996" i="9"/>
  <c r="C662" i="9"/>
  <c r="C995" i="9"/>
  <c r="C664" i="9"/>
  <c r="C665" i="9"/>
  <c r="C994" i="9"/>
  <c r="C667" i="9"/>
  <c r="C993" i="9"/>
  <c r="C669" i="9"/>
  <c r="C670" i="9"/>
  <c r="C992" i="9"/>
  <c r="C671" i="9"/>
  <c r="C991" i="9"/>
  <c r="C673" i="9"/>
  <c r="C990" i="9"/>
  <c r="C675" i="9"/>
  <c r="C989" i="9"/>
  <c r="C676" i="9"/>
  <c r="C677" i="9"/>
  <c r="C678" i="9"/>
  <c r="C988" i="9"/>
  <c r="C681" i="9"/>
  <c r="C682" i="9"/>
  <c r="C987" i="9"/>
  <c r="C986" i="9"/>
  <c r="C687" i="9"/>
  <c r="C985" i="9"/>
  <c r="C984" i="9"/>
  <c r="C690" i="9"/>
  <c r="C983" i="9"/>
  <c r="C982" i="9"/>
  <c r="C700" i="9"/>
  <c r="C981" i="9"/>
  <c r="C704" i="9"/>
  <c r="C980" i="9"/>
  <c r="C708" i="9"/>
  <c r="C709" i="9"/>
  <c r="C979" i="9"/>
  <c r="C978" i="9"/>
  <c r="C977" i="9"/>
  <c r="C976" i="9"/>
  <c r="C365" i="9"/>
  <c r="C975" i="9"/>
  <c r="C366" i="9"/>
  <c r="C974" i="9"/>
  <c r="C367" i="9"/>
  <c r="C973" i="9"/>
  <c r="C368" i="9"/>
  <c r="C972" i="9"/>
  <c r="C369" i="9"/>
  <c r="C971" i="9"/>
  <c r="C370" i="9"/>
  <c r="C970" i="9"/>
  <c r="C371" i="9"/>
  <c r="C969" i="9"/>
  <c r="C372" i="9"/>
  <c r="C968" i="9"/>
  <c r="C373" i="9"/>
  <c r="C967" i="9"/>
  <c r="C374" i="9"/>
  <c r="C966" i="9"/>
  <c r="C375" i="9"/>
  <c r="C965" i="9"/>
  <c r="C376" i="9"/>
  <c r="C964" i="9"/>
  <c r="C377" i="9"/>
  <c r="C963" i="9"/>
  <c r="C378" i="9"/>
  <c r="C962" i="9"/>
  <c r="C379" i="9"/>
  <c r="C961" i="9"/>
  <c r="C380" i="9"/>
  <c r="C960" i="9"/>
  <c r="C381" i="9"/>
  <c r="C959" i="9"/>
  <c r="C382" i="9"/>
  <c r="C958" i="9"/>
  <c r="C383" i="9"/>
  <c r="C957" i="9"/>
  <c r="C384" i="9"/>
  <c r="C956" i="9"/>
  <c r="C385" i="9"/>
  <c r="C955" i="9"/>
  <c r="C386" i="9"/>
  <c r="C954" i="9"/>
  <c r="C387" i="9"/>
  <c r="C953" i="9"/>
  <c r="C388" i="9"/>
  <c r="C952" i="9"/>
  <c r="C389" i="9"/>
  <c r="C951" i="9"/>
  <c r="C390" i="9"/>
  <c r="C950" i="9"/>
  <c r="C391" i="9"/>
  <c r="C949" i="9"/>
  <c r="C392" i="9"/>
  <c r="C948" i="9"/>
  <c r="C393" i="9"/>
  <c r="C947" i="9"/>
  <c r="C394" i="9"/>
  <c r="C946" i="9"/>
  <c r="C395" i="9"/>
  <c r="C945" i="9"/>
  <c r="C396" i="9"/>
  <c r="C944" i="9"/>
  <c r="C397" i="9"/>
  <c r="C943" i="9"/>
  <c r="C398" i="9"/>
  <c r="C942" i="9"/>
  <c r="C399" i="9"/>
  <c r="C941" i="9"/>
  <c r="C400" i="9"/>
  <c r="C940" i="9"/>
  <c r="C401" i="9"/>
  <c r="C939" i="9"/>
  <c r="C402" i="9"/>
  <c r="C938" i="9"/>
  <c r="C403" i="9"/>
  <c r="C937" i="9"/>
  <c r="C404" i="9"/>
  <c r="C936" i="9"/>
  <c r="C405" i="9"/>
  <c r="C935" i="9"/>
  <c r="C406" i="9"/>
  <c r="C934" i="9"/>
  <c r="C407" i="9"/>
  <c r="C933" i="9"/>
  <c r="C408" i="9"/>
  <c r="C19" i="9"/>
  <c r="C409" i="9"/>
  <c r="C931" i="9"/>
  <c r="C410" i="9"/>
  <c r="C930" i="9"/>
  <c r="C411" i="9"/>
  <c r="C929" i="9"/>
  <c r="C412" i="9"/>
  <c r="C928" i="9"/>
  <c r="C413" i="9"/>
  <c r="C927" i="9"/>
  <c r="C414" i="9"/>
  <c r="C926" i="9"/>
  <c r="C415" i="9"/>
  <c r="C925" i="9"/>
  <c r="C416" i="9"/>
  <c r="C924" i="9"/>
  <c r="C417" i="9"/>
  <c r="C923" i="9"/>
  <c r="C418" i="9"/>
  <c r="C922" i="9"/>
  <c r="C419" i="9"/>
  <c r="C921" i="9"/>
  <c r="C420" i="9"/>
  <c r="C920" i="9"/>
  <c r="C421" i="9"/>
  <c r="C919" i="9"/>
  <c r="C422" i="9"/>
  <c r="C918" i="9"/>
  <c r="C423" i="9"/>
  <c r="C917" i="9"/>
  <c r="C424" i="9"/>
  <c r="C916" i="9"/>
  <c r="C425" i="9"/>
  <c r="C915" i="9"/>
  <c r="C426" i="9"/>
  <c r="C914" i="9"/>
  <c r="C427" i="9"/>
  <c r="C913" i="9"/>
  <c r="C428" i="9"/>
  <c r="C912" i="9"/>
  <c r="C429" i="9"/>
  <c r="C911" i="9"/>
  <c r="C430" i="9"/>
  <c r="C910" i="9"/>
  <c r="C431" i="9"/>
  <c r="C909" i="9"/>
  <c r="C432" i="9"/>
  <c r="C908" i="9"/>
  <c r="C433" i="9"/>
  <c r="C907" i="9"/>
  <c r="C434" i="9"/>
  <c r="C906" i="9"/>
  <c r="C435" i="9"/>
  <c r="C905" i="9"/>
  <c r="C436" i="9"/>
  <c r="C904" i="9"/>
  <c r="C437" i="9"/>
  <c r="C903" i="9"/>
  <c r="C438" i="9"/>
  <c r="C902" i="9"/>
  <c r="C439" i="9"/>
  <c r="C901" i="9"/>
  <c r="C440" i="9"/>
  <c r="C900" i="9"/>
  <c r="C441" i="9"/>
  <c r="C899" i="9"/>
  <c r="C442" i="9"/>
  <c r="C898" i="9"/>
  <c r="C443" i="9"/>
  <c r="C897" i="9"/>
  <c r="C444" i="9"/>
  <c r="C896" i="9"/>
  <c r="C445" i="9"/>
  <c r="C895" i="9"/>
  <c r="C446" i="9"/>
  <c r="C894" i="9"/>
  <c r="C447" i="9"/>
  <c r="C893" i="9"/>
  <c r="C448" i="9"/>
  <c r="C892" i="9"/>
  <c r="C449" i="9"/>
  <c r="C891" i="9"/>
  <c r="C450" i="9"/>
  <c r="C890" i="9"/>
  <c r="C451" i="9"/>
  <c r="C889" i="9"/>
  <c r="C452" i="9"/>
  <c r="C888" i="9"/>
  <c r="C453" i="9"/>
  <c r="C887" i="9"/>
  <c r="C454" i="9"/>
  <c r="C886" i="9"/>
  <c r="C455" i="9"/>
  <c r="C885" i="9"/>
  <c r="C456" i="9"/>
  <c r="C884" i="9"/>
  <c r="C457" i="9"/>
  <c r="C883" i="9"/>
  <c r="C458" i="9"/>
  <c r="C882" i="9"/>
  <c r="C459" i="9"/>
  <c r="C881" i="9"/>
  <c r="C460" i="9"/>
  <c r="C880" i="9"/>
  <c r="C461" i="9"/>
  <c r="C879" i="9"/>
  <c r="C462" i="9"/>
  <c r="C878" i="9"/>
  <c r="C463" i="9"/>
  <c r="C877" i="9"/>
  <c r="C464" i="9"/>
  <c r="C876" i="9"/>
  <c r="C465" i="9"/>
  <c r="C875" i="9"/>
  <c r="C466" i="9"/>
  <c r="C874" i="9"/>
  <c r="C467" i="9"/>
  <c r="C873" i="9"/>
  <c r="C468" i="9"/>
  <c r="C872" i="9"/>
  <c r="C469" i="9"/>
  <c r="C871" i="9"/>
  <c r="C470" i="9"/>
  <c r="C870" i="9"/>
  <c r="C471" i="9"/>
  <c r="C869" i="9"/>
  <c r="C472" i="9"/>
  <c r="C868" i="9"/>
  <c r="C473" i="9"/>
  <c r="C867" i="9"/>
  <c r="C474" i="9"/>
  <c r="C866" i="9"/>
  <c r="C475" i="9"/>
  <c r="C865" i="9"/>
  <c r="C476" i="9"/>
  <c r="C864" i="9"/>
  <c r="C477" i="9"/>
  <c r="C863" i="9"/>
  <c r="C478" i="9"/>
  <c r="C862" i="9"/>
  <c r="C479" i="9"/>
  <c r="C861" i="9"/>
  <c r="C480" i="9"/>
  <c r="C860" i="9"/>
  <c r="C481" i="9"/>
  <c r="C859" i="9"/>
  <c r="C482" i="9"/>
  <c r="C858" i="9"/>
  <c r="C483" i="9"/>
  <c r="C857" i="9"/>
  <c r="C484" i="9"/>
  <c r="C856" i="9"/>
  <c r="C485" i="9"/>
  <c r="C855" i="9"/>
  <c r="C486" i="9"/>
  <c r="C854" i="9"/>
  <c r="C487" i="9"/>
  <c r="C853" i="9"/>
  <c r="C488" i="9"/>
  <c r="C852" i="9"/>
  <c r="C489" i="9"/>
  <c r="C851" i="9"/>
  <c r="C490" i="9"/>
  <c r="C850" i="9"/>
  <c r="C491" i="9"/>
  <c r="C849" i="9"/>
  <c r="C492" i="9"/>
  <c r="C848" i="9"/>
  <c r="C493" i="9"/>
  <c r="C847" i="9"/>
  <c r="C494" i="9"/>
  <c r="C846" i="9"/>
  <c r="C495" i="9"/>
  <c r="C845" i="9"/>
  <c r="C496" i="9"/>
  <c r="C844" i="9"/>
  <c r="C497" i="9"/>
  <c r="C843" i="9"/>
  <c r="C498" i="9"/>
  <c r="C842" i="9"/>
  <c r="C499" i="9"/>
  <c r="C841" i="9"/>
  <c r="C500" i="9"/>
  <c r="C840" i="9"/>
  <c r="C501" i="9"/>
  <c r="C839" i="9"/>
  <c r="C502" i="9"/>
  <c r="C838" i="9"/>
  <c r="C503" i="9"/>
  <c r="C837" i="9"/>
  <c r="C504" i="9"/>
  <c r="C836" i="9"/>
  <c r="C505" i="9"/>
  <c r="C835" i="9"/>
  <c r="C506" i="9"/>
  <c r="C834" i="9"/>
  <c r="C507" i="9"/>
  <c r="C833" i="9"/>
  <c r="C508" i="9"/>
  <c r="C832" i="9"/>
  <c r="C509" i="9"/>
  <c r="C831" i="9"/>
  <c r="C510" i="9"/>
  <c r="C830" i="9"/>
  <c r="C511" i="9"/>
  <c r="C829" i="9"/>
  <c r="C512" i="9"/>
  <c r="C828" i="9"/>
  <c r="C513" i="9"/>
  <c r="C827" i="9"/>
  <c r="C514" i="9"/>
  <c r="C826" i="9"/>
  <c r="C515" i="9"/>
  <c r="C825" i="9"/>
  <c r="C516" i="9"/>
  <c r="C824" i="9"/>
  <c r="C517" i="9"/>
  <c r="C823" i="9"/>
  <c r="C518" i="9"/>
  <c r="C822" i="9"/>
  <c r="C519" i="9"/>
  <c r="C821" i="9"/>
  <c r="C520" i="9"/>
  <c r="C820" i="9"/>
  <c r="C521" i="9"/>
  <c r="C819" i="9"/>
  <c r="C522" i="9"/>
  <c r="C818" i="9"/>
  <c r="C523" i="9"/>
  <c r="C817" i="9"/>
  <c r="C524" i="9"/>
  <c r="C816" i="9"/>
  <c r="C525" i="9"/>
  <c r="C815" i="9"/>
  <c r="C526" i="9"/>
  <c r="C814" i="9"/>
  <c r="C527" i="9"/>
  <c r="C813" i="9"/>
  <c r="C528" i="9"/>
  <c r="C812" i="9"/>
  <c r="C529" i="9"/>
  <c r="C811" i="9"/>
  <c r="C530" i="9"/>
  <c r="C810" i="9"/>
  <c r="C531" i="9"/>
  <c r="C809" i="9"/>
  <c r="C532" i="9"/>
  <c r="C808" i="9"/>
  <c r="C533" i="9"/>
  <c r="C807" i="9"/>
  <c r="C534" i="9"/>
  <c r="C806" i="9"/>
  <c r="C535" i="9"/>
  <c r="C805" i="9"/>
  <c r="C536" i="9"/>
  <c r="C804" i="9"/>
  <c r="C537" i="9"/>
  <c r="C803" i="9"/>
  <c r="C538" i="9"/>
  <c r="C802" i="9"/>
  <c r="C539" i="9"/>
  <c r="C801" i="9"/>
  <c r="C540" i="9"/>
  <c r="C800" i="9"/>
  <c r="C541" i="9"/>
  <c r="C799" i="9"/>
  <c r="C542" i="9"/>
  <c r="C798" i="9"/>
  <c r="C543" i="9"/>
  <c r="C797" i="9"/>
  <c r="C544" i="9"/>
  <c r="C796" i="9"/>
  <c r="C545" i="9"/>
  <c r="C795" i="9"/>
  <c r="C546" i="9"/>
  <c r="C794" i="9"/>
  <c r="C547" i="9"/>
  <c r="C793" i="9"/>
  <c r="C548" i="9"/>
  <c r="C792" i="9"/>
  <c r="C549" i="9"/>
  <c r="C791" i="9"/>
  <c r="C550" i="9"/>
  <c r="C790" i="9"/>
  <c r="C551" i="9"/>
  <c r="C789" i="9"/>
  <c r="C552" i="9"/>
  <c r="C788" i="9"/>
  <c r="C553" i="9"/>
  <c r="C787" i="9"/>
  <c r="C554" i="9"/>
  <c r="C786" i="9"/>
  <c r="C555" i="9"/>
  <c r="C785" i="9"/>
  <c r="C556" i="9"/>
  <c r="C784" i="9"/>
  <c r="C557" i="9"/>
  <c r="C783" i="9"/>
  <c r="C558" i="9"/>
  <c r="C782" i="9"/>
  <c r="C559" i="9"/>
  <c r="C781" i="9"/>
  <c r="C560" i="9"/>
  <c r="C780" i="9"/>
  <c r="C561" i="9"/>
  <c r="C779" i="9"/>
  <c r="C562" i="9"/>
  <c r="C778" i="9"/>
  <c r="C563" i="9"/>
  <c r="C777" i="9"/>
  <c r="C564" i="9"/>
  <c r="C776" i="9"/>
  <c r="C565" i="9"/>
  <c r="C775" i="9"/>
  <c r="C566" i="9"/>
  <c r="C774" i="9"/>
  <c r="C567" i="9"/>
  <c r="C773" i="9"/>
  <c r="C568" i="9"/>
  <c r="C772" i="9"/>
  <c r="C569" i="9"/>
  <c r="C771" i="9"/>
  <c r="C570" i="9"/>
  <c r="C770" i="9"/>
  <c r="C571" i="9"/>
  <c r="C769" i="9"/>
  <c r="C572" i="9"/>
  <c r="C768" i="9"/>
  <c r="C573" i="9"/>
  <c r="C767" i="9"/>
  <c r="C574" i="9"/>
  <c r="C766" i="9"/>
  <c r="C575" i="9"/>
  <c r="C765" i="9"/>
  <c r="C576" i="9"/>
  <c r="C764" i="9"/>
  <c r="C577" i="9"/>
  <c r="C763" i="9"/>
  <c r="C578" i="9"/>
  <c r="C762" i="9"/>
  <c r="C579" i="9"/>
  <c r="C761" i="9"/>
  <c r="C580" i="9"/>
  <c r="C760" i="9"/>
  <c r="C581" i="9"/>
  <c r="C759" i="9"/>
  <c r="C582" i="9"/>
  <c r="C758" i="9"/>
  <c r="C583" i="9"/>
  <c r="C757" i="9"/>
  <c r="C584" i="9"/>
  <c r="C756" i="9"/>
  <c r="C585" i="9"/>
  <c r="C755" i="9"/>
  <c r="C586" i="9"/>
  <c r="C754" i="9"/>
  <c r="C587" i="9"/>
  <c r="C753" i="9"/>
  <c r="C588" i="9"/>
  <c r="C752" i="9"/>
  <c r="C589" i="9"/>
  <c r="C751" i="9"/>
  <c r="C590" i="9"/>
  <c r="C750" i="9"/>
  <c r="C591" i="9"/>
  <c r="C749" i="9"/>
  <c r="C592" i="9"/>
  <c r="C748" i="9"/>
  <c r="C593" i="9"/>
  <c r="C747" i="9"/>
  <c r="C594" i="9"/>
  <c r="C746" i="9"/>
  <c r="C595" i="9"/>
  <c r="C745" i="9"/>
  <c r="C596" i="9"/>
  <c r="C744" i="9"/>
  <c r="C597" i="9"/>
  <c r="C743" i="9"/>
  <c r="C598" i="9"/>
  <c r="C742" i="9"/>
  <c r="C599" i="9"/>
  <c r="C741" i="9"/>
  <c r="C600" i="9"/>
  <c r="C740" i="9"/>
  <c r="C601" i="9"/>
  <c r="C739" i="9"/>
  <c r="C602" i="9"/>
  <c r="C738" i="9"/>
  <c r="C603" i="9"/>
  <c r="C737" i="9"/>
  <c r="C604" i="9"/>
  <c r="C736" i="9"/>
  <c r="C605" i="9"/>
  <c r="C735" i="9"/>
  <c r="C606" i="9"/>
  <c r="C734" i="9"/>
  <c r="C607" i="9"/>
  <c r="C733" i="9"/>
  <c r="C608" i="9"/>
  <c r="C732" i="9"/>
  <c r="C609" i="9"/>
  <c r="C731" i="9"/>
  <c r="C610" i="9"/>
  <c r="C730" i="9"/>
  <c r="C611" i="9"/>
  <c r="C729" i="9"/>
  <c r="C612" i="9"/>
  <c r="C728" i="9"/>
  <c r="C613" i="9"/>
  <c r="C727" i="9"/>
  <c r="C614" i="9"/>
  <c r="C726" i="9"/>
  <c r="C615" i="9"/>
  <c r="C725" i="9"/>
  <c r="C616" i="9"/>
  <c r="C724" i="9"/>
  <c r="C617" i="9"/>
  <c r="C723" i="9"/>
  <c r="C618" i="9"/>
  <c r="C722" i="9"/>
  <c r="C619" i="9"/>
  <c r="C721" i="9"/>
  <c r="C620" i="9"/>
  <c r="C720" i="9"/>
  <c r="C621" i="9"/>
  <c r="C719" i="9"/>
  <c r="C622" i="9"/>
  <c r="C718" i="9"/>
  <c r="C623" i="9"/>
  <c r="C717" i="9"/>
  <c r="C624" i="9"/>
  <c r="C716" i="9"/>
  <c r="C625" i="9"/>
  <c r="C715" i="9"/>
  <c r="C626" i="9"/>
  <c r="C714" i="9"/>
  <c r="C627" i="9"/>
  <c r="C713" i="9"/>
  <c r="C628" i="9"/>
  <c r="C712" i="9"/>
  <c r="C629" i="9"/>
  <c r="C710" i="9"/>
  <c r="C630" i="9"/>
  <c r="C707" i="9"/>
  <c r="C631" i="9"/>
  <c r="C703" i="9"/>
  <c r="C632" i="9"/>
  <c r="C702" i="9"/>
  <c r="C633" i="9"/>
  <c r="C698" i="9"/>
  <c r="C634" i="9"/>
  <c r="C695" i="9"/>
  <c r="C635" i="9"/>
  <c r="C693" i="9"/>
  <c r="C636" i="9"/>
  <c r="C691" i="9"/>
  <c r="C637" i="9"/>
  <c r="C689" i="9"/>
  <c r="C638" i="9"/>
  <c r="C688" i="9"/>
  <c r="C639" i="9"/>
  <c r="C686" i="9"/>
  <c r="C640" i="9"/>
  <c r="C685" i="9"/>
  <c r="C641" i="9"/>
  <c r="C684" i="9"/>
  <c r="C642" i="9"/>
  <c r="C683" i="9"/>
  <c r="C643" i="9"/>
  <c r="C680" i="9"/>
  <c r="C644" i="9"/>
  <c r="C679" i="9"/>
  <c r="C645" i="9"/>
  <c r="C674" i="9"/>
  <c r="C646" i="9"/>
  <c r="C672" i="9"/>
  <c r="C647" i="9"/>
  <c r="C668" i="9"/>
  <c r="C648" i="9"/>
  <c r="C666" i="9"/>
  <c r="C649" i="9"/>
  <c r="C663" i="9"/>
  <c r="C651" i="9"/>
  <c r="C661" i="9"/>
  <c r="C660" i="9"/>
  <c r="C654" i="9"/>
  <c r="C20" i="9"/>
  <c r="C655" i="9"/>
  <c r="C656" i="9"/>
  <c r="C17" i="9"/>
  <c r="D16" i="9"/>
  <c r="D658" i="9"/>
  <c r="D655" i="9"/>
  <c r="D659" i="9"/>
  <c r="D653" i="9"/>
  <c r="D652" i="9"/>
  <c r="D662" i="9"/>
  <c r="D650" i="9"/>
  <c r="D664" i="9"/>
  <c r="D665" i="9"/>
  <c r="D648" i="9"/>
  <c r="D667" i="9"/>
  <c r="D647" i="9"/>
  <c r="D669" i="9"/>
  <c r="D671" i="9"/>
  <c r="D646" i="9"/>
  <c r="D673" i="9"/>
  <c r="D645" i="9"/>
  <c r="D676" i="9"/>
  <c r="D677" i="9"/>
  <c r="D678" i="9"/>
  <c r="D644" i="9"/>
  <c r="D679" i="9"/>
  <c r="D643" i="9"/>
  <c r="D681" i="9"/>
  <c r="D682" i="9"/>
  <c r="D642" i="9"/>
  <c r="D641" i="9"/>
  <c r="D640" i="9"/>
  <c r="D685" i="9"/>
  <c r="D639" i="9"/>
  <c r="D686" i="9"/>
  <c r="D687" i="9"/>
  <c r="D638" i="9"/>
  <c r="D637" i="9"/>
  <c r="D690" i="9"/>
  <c r="D636" i="9"/>
  <c r="D692" i="9"/>
  <c r="D635" i="9"/>
  <c r="D693" i="9"/>
  <c r="D694" i="9"/>
  <c r="D634" i="9"/>
  <c r="D697" i="9"/>
  <c r="D633" i="9"/>
  <c r="D701" i="9"/>
  <c r="D632" i="9"/>
  <c r="D631" i="9"/>
  <c r="D705" i="9"/>
  <c r="D706" i="9"/>
  <c r="D630" i="9"/>
  <c r="D629" i="9"/>
  <c r="D628" i="9"/>
  <c r="D627" i="9"/>
  <c r="D713" i="9"/>
  <c r="D626" i="9"/>
  <c r="D714" i="9"/>
  <c r="D625" i="9"/>
  <c r="D715" i="9"/>
  <c r="D624" i="9"/>
  <c r="D716" i="9"/>
  <c r="D623" i="9"/>
  <c r="D717" i="9"/>
  <c r="D622" i="9"/>
  <c r="D718" i="9"/>
  <c r="D621" i="9"/>
  <c r="D719" i="9"/>
  <c r="D620" i="9"/>
  <c r="D720" i="9"/>
  <c r="D619" i="9"/>
  <c r="D721" i="9"/>
  <c r="D618" i="9"/>
  <c r="D722" i="9"/>
  <c r="D617" i="9"/>
  <c r="D723" i="9"/>
  <c r="D616" i="9"/>
  <c r="D724" i="9"/>
  <c r="D615" i="9"/>
  <c r="D725" i="9"/>
  <c r="D614" i="9"/>
  <c r="D726" i="9"/>
  <c r="D613" i="9"/>
  <c r="D727" i="9"/>
  <c r="D612" i="9"/>
  <c r="D728" i="9"/>
  <c r="D611" i="9"/>
  <c r="D729" i="9"/>
  <c r="D610" i="9"/>
  <c r="D730" i="9"/>
  <c r="D609" i="9"/>
  <c r="D731" i="9"/>
  <c r="D608" i="9"/>
  <c r="D732" i="9"/>
  <c r="D607" i="9"/>
  <c r="D733" i="9"/>
  <c r="D606" i="9"/>
  <c r="D734" i="9"/>
  <c r="D605" i="9"/>
  <c r="D735" i="9"/>
  <c r="D604" i="9"/>
  <c r="D736" i="9"/>
  <c r="D603" i="9"/>
  <c r="D737" i="9"/>
  <c r="D602" i="9"/>
  <c r="D738" i="9"/>
  <c r="D601" i="9"/>
  <c r="D739" i="9"/>
  <c r="D600" i="9"/>
  <c r="D740" i="9"/>
  <c r="D599" i="9"/>
  <c r="D741" i="9"/>
  <c r="D598" i="9"/>
  <c r="D742" i="9"/>
  <c r="D597" i="9"/>
  <c r="D743" i="9"/>
  <c r="D596" i="9"/>
  <c r="D744" i="9"/>
  <c r="D595" i="9"/>
  <c r="D745" i="9"/>
  <c r="D594" i="9"/>
  <c r="D746" i="9"/>
  <c r="D593" i="9"/>
  <c r="D747" i="9"/>
  <c r="D592" i="9"/>
  <c r="D748" i="9"/>
  <c r="D591" i="9"/>
  <c r="D749" i="9"/>
  <c r="D590" i="9"/>
  <c r="D750" i="9"/>
  <c r="D589" i="9"/>
  <c r="D751" i="9"/>
  <c r="D588" i="9"/>
  <c r="D752" i="9"/>
  <c r="D587" i="9"/>
  <c r="D753" i="9"/>
  <c r="D586" i="9"/>
  <c r="D754" i="9"/>
  <c r="D585" i="9"/>
  <c r="D755" i="9"/>
  <c r="D584" i="9"/>
  <c r="D756" i="9"/>
  <c r="D583" i="9"/>
  <c r="D757" i="9"/>
  <c r="D582" i="9"/>
  <c r="D758" i="9"/>
  <c r="D581" i="9"/>
  <c r="D759" i="9"/>
  <c r="D580" i="9"/>
  <c r="D760" i="9"/>
  <c r="D579" i="9"/>
  <c r="D761" i="9"/>
  <c r="D578" i="9"/>
  <c r="D762" i="9"/>
  <c r="D577" i="9"/>
  <c r="D763" i="9"/>
  <c r="D576" i="9"/>
  <c r="D764" i="9"/>
  <c r="D575" i="9"/>
  <c r="D765" i="9"/>
  <c r="D574" i="9"/>
  <c r="D766" i="9"/>
  <c r="D573" i="9"/>
  <c r="D767" i="9"/>
  <c r="D572" i="9"/>
  <c r="D768" i="9"/>
  <c r="D571" i="9"/>
  <c r="D769" i="9"/>
  <c r="D570" i="9"/>
  <c r="D770" i="9"/>
  <c r="D569" i="9"/>
  <c r="D771" i="9"/>
  <c r="D568" i="9"/>
  <c r="D772" i="9"/>
  <c r="D567" i="9"/>
  <c r="D773" i="9"/>
  <c r="D566" i="9"/>
  <c r="D774" i="9"/>
  <c r="D565" i="9"/>
  <c r="D775" i="9"/>
  <c r="D564" i="9"/>
  <c r="D776" i="9"/>
  <c r="D563" i="9"/>
  <c r="D777" i="9"/>
  <c r="D562" i="9"/>
  <c r="D778" i="9"/>
  <c r="D561" i="9"/>
  <c r="D779" i="9"/>
  <c r="D560" i="9"/>
  <c r="D780" i="9"/>
  <c r="D559" i="9"/>
  <c r="D781" i="9"/>
  <c r="D558" i="9"/>
  <c r="D782" i="9"/>
  <c r="D557" i="9"/>
  <c r="D783" i="9"/>
  <c r="D556" i="9"/>
  <c r="D784" i="9"/>
  <c r="D555" i="9"/>
  <c r="D785" i="9"/>
  <c r="D554" i="9"/>
  <c r="D786" i="9"/>
  <c r="D553" i="9"/>
  <c r="D787" i="9"/>
  <c r="D552" i="9"/>
  <c r="D788" i="9"/>
  <c r="D551" i="9"/>
  <c r="D789" i="9"/>
  <c r="D550" i="9"/>
  <c r="D790" i="9"/>
  <c r="D549" i="9"/>
  <c r="D791" i="9"/>
  <c r="D548" i="9"/>
  <c r="D792" i="9"/>
  <c r="D547" i="9"/>
  <c r="D793" i="9"/>
  <c r="D546" i="9"/>
  <c r="D794" i="9"/>
  <c r="D545" i="9"/>
  <c r="D795" i="9"/>
  <c r="D544" i="9"/>
  <c r="D796" i="9"/>
  <c r="D543" i="9"/>
  <c r="D797" i="9"/>
  <c r="D542" i="9"/>
  <c r="D798" i="9"/>
  <c r="D541" i="9"/>
  <c r="D799" i="9"/>
  <c r="D540" i="9"/>
  <c r="D800" i="9"/>
  <c r="D539" i="9"/>
  <c r="D801" i="9"/>
  <c r="D538" i="9"/>
  <c r="D802" i="9"/>
  <c r="D537" i="9"/>
  <c r="D803" i="9"/>
  <c r="D536" i="9"/>
  <c r="D804" i="9"/>
  <c r="D535" i="9"/>
  <c r="D805" i="9"/>
  <c r="D534" i="9"/>
  <c r="D806" i="9"/>
  <c r="D533" i="9"/>
  <c r="D807" i="9"/>
  <c r="D532" i="9"/>
  <c r="D808" i="9"/>
  <c r="D531" i="9"/>
  <c r="D809" i="9"/>
  <c r="D530" i="9"/>
  <c r="D810" i="9"/>
  <c r="D529" i="9"/>
  <c r="D811" i="9"/>
  <c r="D528" i="9"/>
  <c r="D812" i="9"/>
  <c r="D527" i="9"/>
  <c r="D813" i="9"/>
  <c r="D526" i="9"/>
  <c r="D814" i="9"/>
  <c r="D525" i="9"/>
  <c r="D815" i="9"/>
  <c r="D524" i="9"/>
  <c r="D816" i="9"/>
  <c r="D523" i="9"/>
  <c r="D817" i="9"/>
  <c r="D522" i="9"/>
  <c r="D818" i="9"/>
  <c r="D521" i="9"/>
  <c r="D819" i="9"/>
  <c r="D520" i="9"/>
  <c r="D820" i="9"/>
  <c r="D519" i="9"/>
  <c r="D821" i="9"/>
  <c r="D518" i="9"/>
  <c r="D822" i="9"/>
  <c r="D517" i="9"/>
  <c r="D823" i="9"/>
  <c r="D516" i="9"/>
  <c r="D824" i="9"/>
  <c r="D515" i="9"/>
  <c r="D825" i="9"/>
  <c r="D514" i="9"/>
  <c r="D826" i="9"/>
  <c r="D513" i="9"/>
  <c r="D827" i="9"/>
  <c r="D512" i="9"/>
  <c r="D828" i="9"/>
  <c r="D511" i="9"/>
  <c r="D829" i="9"/>
  <c r="D510" i="9"/>
  <c r="D830" i="9"/>
  <c r="D509" i="9"/>
  <c r="D831" i="9"/>
  <c r="D508" i="9"/>
  <c r="D832" i="9"/>
  <c r="D507" i="9"/>
  <c r="D833" i="9"/>
  <c r="D506" i="9"/>
  <c r="D834" i="9"/>
  <c r="D505" i="9"/>
  <c r="D835" i="9"/>
  <c r="D504" i="9"/>
  <c r="D836" i="9"/>
  <c r="D503" i="9"/>
  <c r="D837" i="9"/>
  <c r="D502" i="9"/>
  <c r="D838" i="9"/>
  <c r="D501" i="9"/>
  <c r="D839" i="9"/>
  <c r="D500" i="9"/>
  <c r="D840" i="9"/>
  <c r="D499" i="9"/>
  <c r="D841" i="9"/>
  <c r="D498" i="9"/>
  <c r="D842" i="9"/>
  <c r="D497" i="9"/>
  <c r="D843" i="9"/>
  <c r="D496" i="9"/>
  <c r="D844" i="9"/>
  <c r="D495" i="9"/>
  <c r="D845" i="9"/>
  <c r="D494" i="9"/>
  <c r="D846" i="9"/>
  <c r="D493" i="9"/>
  <c r="D847" i="9"/>
  <c r="D492" i="9"/>
  <c r="D848" i="9"/>
  <c r="D491" i="9"/>
  <c r="D849" i="9"/>
  <c r="D490" i="9"/>
  <c r="D850" i="9"/>
  <c r="D489" i="9"/>
  <c r="D851" i="9"/>
  <c r="D488" i="9"/>
  <c r="D852" i="9"/>
  <c r="D487" i="9"/>
  <c r="D853" i="9"/>
  <c r="D486" i="9"/>
  <c r="D854" i="9"/>
  <c r="D485" i="9"/>
  <c r="D855" i="9"/>
  <c r="D484" i="9"/>
  <c r="D856" i="9"/>
  <c r="D483" i="9"/>
  <c r="D857" i="9"/>
  <c r="D482" i="9"/>
  <c r="D858" i="9"/>
  <c r="D481" i="9"/>
  <c r="D859" i="9"/>
  <c r="D480" i="9"/>
  <c r="D860" i="9"/>
  <c r="D479" i="9"/>
  <c r="D861" i="9"/>
  <c r="D478" i="9"/>
  <c r="D862" i="9"/>
  <c r="D477" i="9"/>
  <c r="D863" i="9"/>
  <c r="D476" i="9"/>
  <c r="D864" i="9"/>
  <c r="D475" i="9"/>
  <c r="D865" i="9"/>
  <c r="D474" i="9"/>
  <c r="D866" i="9"/>
  <c r="D473" i="9"/>
  <c r="D867" i="9"/>
  <c r="D472" i="9"/>
  <c r="D868" i="9"/>
  <c r="D471" i="9"/>
  <c r="D869" i="9"/>
  <c r="D470" i="9"/>
  <c r="D870" i="9"/>
  <c r="D469" i="9"/>
  <c r="D871" i="9"/>
  <c r="D468" i="9"/>
  <c r="D872" i="9"/>
  <c r="D467" i="9"/>
  <c r="D873" i="9"/>
  <c r="D466" i="9"/>
  <c r="D874" i="9"/>
  <c r="D465" i="9"/>
  <c r="D875" i="9"/>
  <c r="D464" i="9"/>
  <c r="D876" i="9"/>
  <c r="D463" i="9"/>
  <c r="D877" i="9"/>
  <c r="D462" i="9"/>
  <c r="D878" i="9"/>
  <c r="D461" i="9"/>
  <c r="D879" i="9"/>
  <c r="D460" i="9"/>
  <c r="D880" i="9"/>
  <c r="D459" i="9"/>
  <c r="D881" i="9"/>
  <c r="D458" i="9"/>
  <c r="D882" i="9"/>
  <c r="D457" i="9"/>
  <c r="D883" i="9"/>
  <c r="D456" i="9"/>
  <c r="D884" i="9"/>
  <c r="D455" i="9"/>
  <c r="D885" i="9"/>
  <c r="D454" i="9"/>
  <c r="D886" i="9"/>
  <c r="D453" i="9"/>
  <c r="D887" i="9"/>
  <c r="D452" i="9"/>
  <c r="D888" i="9"/>
  <c r="D451" i="9"/>
  <c r="D889" i="9"/>
  <c r="D450" i="9"/>
  <c r="D890" i="9"/>
  <c r="D449" i="9"/>
  <c r="D891" i="9"/>
  <c r="D448" i="9"/>
  <c r="D892" i="9"/>
  <c r="D447" i="9"/>
  <c r="D893" i="9"/>
  <c r="D446" i="9"/>
  <c r="D894" i="9"/>
  <c r="D445" i="9"/>
  <c r="D895" i="9"/>
  <c r="D444" i="9"/>
  <c r="D896" i="9"/>
  <c r="D443" i="9"/>
  <c r="D897" i="9"/>
  <c r="D442" i="9"/>
  <c r="D898" i="9"/>
  <c r="D441" i="9"/>
  <c r="D899" i="9"/>
  <c r="D440" i="9"/>
  <c r="D900" i="9"/>
  <c r="D439" i="9"/>
  <c r="D901" i="9"/>
  <c r="D438" i="9"/>
  <c r="D902" i="9"/>
  <c r="D437" i="9"/>
  <c r="D903" i="9"/>
  <c r="D436" i="9"/>
  <c r="D904" i="9"/>
  <c r="D435" i="9"/>
  <c r="D905" i="9"/>
  <c r="D434" i="9"/>
  <c r="D906" i="9"/>
  <c r="D433" i="9"/>
  <c r="D907" i="9"/>
  <c r="D432" i="9"/>
  <c r="D908" i="9"/>
  <c r="D431" i="9"/>
  <c r="D909" i="9"/>
  <c r="D430" i="9"/>
  <c r="D910" i="9"/>
  <c r="D429" i="9"/>
  <c r="D911" i="9"/>
  <c r="D428" i="9"/>
  <c r="D912" i="9"/>
  <c r="D427" i="9"/>
  <c r="D913" i="9"/>
  <c r="D426" i="9"/>
  <c r="D914" i="9"/>
  <c r="D425" i="9"/>
  <c r="D915" i="9"/>
  <c r="D424" i="9"/>
  <c r="D916" i="9"/>
  <c r="D423" i="9"/>
  <c r="D917" i="9"/>
  <c r="D422" i="9"/>
  <c r="D918" i="9"/>
  <c r="D421" i="9"/>
  <c r="D919" i="9"/>
  <c r="D420" i="9"/>
  <c r="D920" i="9"/>
  <c r="D419" i="9"/>
  <c r="D921" i="9"/>
  <c r="D418" i="9"/>
  <c r="D922" i="9"/>
  <c r="D417" i="9"/>
  <c r="D923" i="9"/>
  <c r="D416" i="9"/>
  <c r="D924" i="9"/>
  <c r="D415" i="9"/>
  <c r="D925" i="9"/>
  <c r="D414" i="9"/>
  <c r="D926" i="9"/>
  <c r="D413" i="9"/>
  <c r="D927" i="9"/>
  <c r="D412" i="9"/>
  <c r="D928" i="9"/>
  <c r="D411" i="9"/>
  <c r="D929" i="9"/>
  <c r="D410" i="9"/>
  <c r="D930" i="9"/>
  <c r="D409" i="9"/>
  <c r="D931" i="9"/>
  <c r="D408" i="9"/>
  <c r="D932" i="9"/>
  <c r="D407" i="9"/>
  <c r="D654" i="9"/>
  <c r="D406" i="9"/>
  <c r="D934" i="9"/>
  <c r="D405" i="9"/>
  <c r="D935" i="9"/>
  <c r="D404" i="9"/>
  <c r="D936" i="9"/>
  <c r="D403" i="9"/>
  <c r="D937" i="9"/>
  <c r="D402" i="9"/>
  <c r="D938" i="9"/>
  <c r="D401" i="9"/>
  <c r="D939" i="9"/>
  <c r="D400" i="9"/>
  <c r="D940" i="9"/>
  <c r="D399" i="9"/>
  <c r="D941" i="9"/>
  <c r="D398" i="9"/>
  <c r="D942" i="9"/>
  <c r="D397" i="9"/>
  <c r="D943" i="9"/>
  <c r="D396" i="9"/>
  <c r="D944" i="9"/>
  <c r="D395" i="9"/>
  <c r="D945" i="9"/>
  <c r="D394" i="9"/>
  <c r="D946" i="9"/>
  <c r="D393" i="9"/>
  <c r="D947" i="9"/>
  <c r="D392" i="9"/>
  <c r="D948" i="9"/>
  <c r="D391" i="9"/>
  <c r="D949" i="9"/>
  <c r="D390" i="9"/>
  <c r="D950" i="9"/>
  <c r="D389" i="9"/>
  <c r="D951" i="9"/>
  <c r="D388" i="9"/>
  <c r="D952" i="9"/>
  <c r="D387" i="9"/>
  <c r="D953" i="9"/>
  <c r="D386" i="9"/>
  <c r="D954" i="9"/>
  <c r="D385" i="9"/>
  <c r="D955" i="9"/>
  <c r="D384" i="9"/>
  <c r="D956" i="9"/>
  <c r="D383" i="9"/>
  <c r="D957" i="9"/>
  <c r="D382" i="9"/>
  <c r="D958" i="9"/>
  <c r="D381" i="9"/>
  <c r="D959" i="9"/>
  <c r="D380" i="9"/>
  <c r="D960" i="9"/>
  <c r="D379" i="9"/>
  <c r="D961" i="9"/>
  <c r="D378" i="9"/>
  <c r="D962" i="9"/>
  <c r="D377" i="9"/>
  <c r="D963" i="9"/>
  <c r="D376" i="9"/>
  <c r="D964" i="9"/>
  <c r="D375" i="9"/>
  <c r="D965" i="9"/>
  <c r="D374" i="9"/>
  <c r="D966" i="9"/>
  <c r="D373" i="9"/>
  <c r="D967" i="9"/>
  <c r="D372" i="9"/>
  <c r="D968" i="9"/>
  <c r="D371" i="9"/>
  <c r="D969" i="9"/>
  <c r="D370" i="9"/>
  <c r="D970" i="9"/>
  <c r="D369" i="9"/>
  <c r="D971" i="9"/>
  <c r="D368" i="9"/>
  <c r="D972" i="9"/>
  <c r="D367" i="9"/>
  <c r="D973" i="9"/>
  <c r="D366" i="9"/>
  <c r="D974" i="9"/>
  <c r="D365" i="9"/>
  <c r="D975" i="9"/>
  <c r="D364" i="9"/>
  <c r="D976" i="9"/>
  <c r="D712" i="9"/>
  <c r="D977" i="9"/>
  <c r="D711" i="9"/>
  <c r="D978" i="9"/>
  <c r="D710" i="9"/>
  <c r="D979" i="9"/>
  <c r="D707" i="9"/>
  <c r="D980" i="9"/>
  <c r="D703" i="9"/>
  <c r="D981" i="9"/>
  <c r="D699" i="9"/>
  <c r="D982" i="9"/>
  <c r="D696" i="9"/>
  <c r="D983" i="9"/>
  <c r="D689" i="9"/>
  <c r="D984" i="9"/>
  <c r="D688" i="9"/>
  <c r="D985" i="9"/>
  <c r="D684" i="9"/>
  <c r="D986" i="9"/>
  <c r="D683" i="9"/>
  <c r="D987" i="9"/>
  <c r="D680" i="9"/>
  <c r="D988" i="9"/>
  <c r="D675" i="9"/>
  <c r="D989" i="9"/>
  <c r="D674" i="9"/>
  <c r="D990" i="9"/>
  <c r="D672" i="9"/>
  <c r="D991" i="9"/>
  <c r="D670" i="9"/>
  <c r="D992" i="9"/>
  <c r="D668" i="9"/>
  <c r="D993" i="9"/>
  <c r="D666" i="9"/>
  <c r="D994" i="9"/>
  <c r="D663" i="9"/>
  <c r="D995" i="9"/>
  <c r="D661" i="9"/>
  <c r="D996" i="9"/>
  <c r="D660" i="9"/>
  <c r="D997" i="9"/>
  <c r="D657" i="9"/>
  <c r="D998" i="9"/>
  <c r="D656" i="9"/>
  <c r="D999" i="9"/>
  <c r="D651" i="9"/>
  <c r="D1000" i="9"/>
  <c r="D649" i="9"/>
  <c r="D29" i="9"/>
  <c r="D32" i="9"/>
  <c r="D33" i="9"/>
  <c r="D363" i="9"/>
  <c r="D362" i="9"/>
  <c r="D41" i="9"/>
  <c r="D361" i="9"/>
  <c r="D43" i="9"/>
  <c r="D360" i="9"/>
  <c r="D359" i="9"/>
  <c r="D47" i="9"/>
  <c r="D358" i="9"/>
  <c r="D49" i="9"/>
  <c r="D357" i="9"/>
  <c r="D50" i="9"/>
  <c r="D51" i="9"/>
  <c r="D332" i="9"/>
  <c r="D52" i="9"/>
  <c r="D330" i="9"/>
  <c r="D53" i="9"/>
  <c r="D55" i="9"/>
  <c r="D327" i="9"/>
  <c r="D57" i="9"/>
  <c r="D325" i="9"/>
  <c r="D59" i="9"/>
  <c r="D324" i="9"/>
  <c r="D60" i="9"/>
  <c r="D322" i="9"/>
  <c r="D62" i="9"/>
  <c r="D320" i="9"/>
  <c r="D319" i="9"/>
  <c r="D66" i="9"/>
  <c r="D67" i="9"/>
  <c r="D317" i="9"/>
  <c r="D69" i="9"/>
  <c r="D316" i="9"/>
  <c r="D70" i="9"/>
  <c r="D71" i="9"/>
  <c r="D315" i="9"/>
  <c r="D313" i="9"/>
  <c r="D312" i="9"/>
  <c r="D75" i="9"/>
  <c r="D310" i="9"/>
  <c r="D77" i="9"/>
  <c r="D308" i="9"/>
  <c r="D79" i="9"/>
  <c r="D303" i="9"/>
  <c r="D301" i="9"/>
  <c r="D82" i="9"/>
  <c r="D83" i="9"/>
  <c r="D300" i="9"/>
  <c r="D85" i="9"/>
  <c r="D299" i="9"/>
  <c r="D86" i="9"/>
  <c r="D297" i="9"/>
  <c r="D87" i="9"/>
  <c r="D294" i="9"/>
  <c r="D88" i="9"/>
  <c r="D293" i="9"/>
  <c r="D89" i="9"/>
  <c r="D291" i="9"/>
  <c r="D90" i="9"/>
  <c r="D290" i="9"/>
  <c r="D91" i="9"/>
  <c r="D288" i="9"/>
  <c r="D92" i="9"/>
  <c r="D286" i="9"/>
  <c r="D93" i="9"/>
  <c r="D94" i="9"/>
  <c r="D283" i="9"/>
  <c r="D96" i="9"/>
  <c r="D281" i="9"/>
  <c r="D280" i="9"/>
  <c r="D100" i="9"/>
  <c r="D279" i="9"/>
  <c r="D102" i="9"/>
  <c r="D277" i="9"/>
  <c r="D104" i="9"/>
  <c r="D275" i="9"/>
  <c r="D105" i="9"/>
  <c r="D274" i="9"/>
  <c r="D107" i="9"/>
  <c r="D273" i="9"/>
  <c r="D113" i="9"/>
  <c r="D272" i="9"/>
  <c r="D114" i="9"/>
  <c r="D115" i="9"/>
  <c r="D270" i="9"/>
  <c r="D117" i="9"/>
  <c r="D266" i="9"/>
  <c r="D119" i="9"/>
  <c r="D264" i="9"/>
  <c r="D120" i="9"/>
  <c r="D259" i="9"/>
  <c r="D122" i="9"/>
  <c r="D258" i="9"/>
  <c r="D256" i="9"/>
  <c r="D125" i="9"/>
  <c r="D255" i="9"/>
  <c r="D127" i="9"/>
  <c r="D128" i="9"/>
  <c r="D129" i="9"/>
  <c r="D253" i="9"/>
  <c r="D130" i="9"/>
  <c r="D131" i="9"/>
  <c r="D252" i="9"/>
  <c r="D133" i="9"/>
  <c r="D250" i="9"/>
  <c r="D135" i="9"/>
  <c r="D248" i="9"/>
  <c r="D137" i="9"/>
  <c r="D247" i="9"/>
  <c r="D139" i="9"/>
  <c r="D140" i="9"/>
  <c r="D245" i="9"/>
  <c r="D243" i="9"/>
  <c r="D143" i="9"/>
  <c r="D241" i="9"/>
  <c r="D144" i="9"/>
  <c r="D240" i="9"/>
  <c r="D146" i="9"/>
  <c r="D238" i="9"/>
  <c r="D148" i="9"/>
  <c r="D235" i="9"/>
  <c r="D150" i="9"/>
  <c r="D233" i="9"/>
  <c r="D152" i="9"/>
  <c r="D231" i="9"/>
  <c r="D154" i="9"/>
  <c r="D229" i="9"/>
  <c r="D156" i="9"/>
  <c r="D227" i="9"/>
  <c r="D158" i="9"/>
  <c r="D226" i="9"/>
  <c r="D159" i="9"/>
  <c r="D224" i="9"/>
  <c r="D161" i="9"/>
  <c r="D222" i="9"/>
  <c r="D163" i="9"/>
  <c r="D220" i="9"/>
  <c r="D165" i="9"/>
  <c r="D218" i="9"/>
  <c r="D168" i="9"/>
  <c r="D169" i="9"/>
  <c r="D215" i="9"/>
  <c r="D213" i="9"/>
  <c r="D212" i="9"/>
  <c r="D210" i="9"/>
  <c r="D208" i="9"/>
  <c r="D175" i="9"/>
  <c r="D205" i="9"/>
  <c r="D204" i="9"/>
  <c r="D178" i="9"/>
  <c r="D203" i="9"/>
  <c r="D179" i="9"/>
  <c r="D202" i="9"/>
  <c r="D180" i="9"/>
  <c r="D201" i="9"/>
  <c r="D181" i="9"/>
  <c r="D200" i="9"/>
  <c r="D182" i="9"/>
  <c r="D199" i="9"/>
  <c r="D183" i="9"/>
  <c r="D198" i="9"/>
  <c r="D184" i="9"/>
  <c r="D197" i="9"/>
  <c r="D185" i="9"/>
  <c r="D196" i="9"/>
  <c r="D206" i="9"/>
  <c r="D207" i="9"/>
  <c r="D195" i="9"/>
  <c r="D209" i="9"/>
  <c r="D194" i="9"/>
  <c r="D211" i="9"/>
  <c r="D193" i="9"/>
  <c r="D214" i="9"/>
  <c r="D192" i="9"/>
  <c r="D216" i="9"/>
  <c r="D217" i="9"/>
  <c r="D191" i="9"/>
  <c r="D219" i="9"/>
  <c r="D190" i="9"/>
  <c r="D221" i="9"/>
  <c r="D189" i="9"/>
  <c r="D223" i="9"/>
  <c r="D188" i="9"/>
  <c r="D225" i="9"/>
  <c r="D187" i="9"/>
  <c r="D186" i="9"/>
  <c r="D228" i="9"/>
  <c r="D177" i="9"/>
  <c r="D230" i="9"/>
  <c r="D176" i="9"/>
  <c r="D232" i="9"/>
  <c r="D174" i="9"/>
  <c r="D234" i="9"/>
  <c r="D173" i="9"/>
  <c r="D236" i="9"/>
  <c r="D237" i="9"/>
  <c r="D172" i="9"/>
  <c r="D239" i="9"/>
  <c r="D171" i="9"/>
  <c r="D170" i="9"/>
  <c r="D242" i="9"/>
  <c r="D167" i="9"/>
  <c r="D244" i="9"/>
  <c r="D166" i="9"/>
  <c r="D246" i="9"/>
  <c r="D164" i="9"/>
  <c r="D162" i="9"/>
  <c r="D249" i="9"/>
  <c r="D160" i="9"/>
  <c r="D251" i="9"/>
  <c r="D157" i="9"/>
  <c r="D155" i="9"/>
  <c r="D254" i="9"/>
  <c r="D153" i="9"/>
  <c r="D151" i="9"/>
  <c r="D257" i="9"/>
  <c r="D149" i="9"/>
  <c r="D147" i="9"/>
  <c r="D260" i="9"/>
  <c r="D261" i="9"/>
  <c r="D145" i="9"/>
  <c r="D262" i="9"/>
  <c r="D263" i="9"/>
  <c r="D142" i="9"/>
  <c r="D265" i="9"/>
  <c r="D141" i="9"/>
  <c r="D267" i="9"/>
  <c r="D138" i="9"/>
  <c r="D268" i="9"/>
  <c r="D269" i="9"/>
  <c r="D136" i="9"/>
  <c r="D271" i="9"/>
  <c r="D134" i="9"/>
  <c r="D132" i="9"/>
  <c r="D126" i="9"/>
  <c r="D276" i="9"/>
  <c r="D124" i="9"/>
  <c r="D278" i="9"/>
  <c r="D123" i="9"/>
  <c r="D282" i="9"/>
  <c r="D121" i="9"/>
  <c r="D284" i="9"/>
  <c r="D285" i="9"/>
  <c r="D118" i="9"/>
  <c r="D287" i="9"/>
  <c r="D116" i="9"/>
  <c r="D289" i="9"/>
  <c r="D112" i="9"/>
  <c r="D111" i="9"/>
  <c r="D292" i="9"/>
  <c r="D110" i="9"/>
  <c r="D109" i="9"/>
  <c r="D295" i="9"/>
  <c r="D296" i="9"/>
  <c r="D108" i="9"/>
  <c r="D298" i="9"/>
  <c r="D106" i="9"/>
  <c r="D103" i="9"/>
  <c r="D101" i="9"/>
  <c r="D302" i="9"/>
  <c r="D99" i="9"/>
  <c r="D304" i="9"/>
  <c r="D305" i="9"/>
  <c r="D98" i="9"/>
  <c r="D306" i="9"/>
  <c r="D307" i="9"/>
  <c r="D97" i="9"/>
  <c r="D309" i="9"/>
  <c r="D95" i="9"/>
  <c r="D311" i="9"/>
  <c r="D84" i="9"/>
  <c r="D314" i="9"/>
  <c r="D81" i="9"/>
  <c r="D80" i="9"/>
  <c r="D318" i="9"/>
  <c r="D78" i="9"/>
  <c r="D76" i="9"/>
  <c r="D321" i="9"/>
  <c r="D74" i="9"/>
  <c r="D323" i="9"/>
  <c r="D73" i="9"/>
  <c r="D326" i="9"/>
  <c r="D72" i="9"/>
  <c r="D328" i="9"/>
  <c r="D329" i="9"/>
  <c r="D68" i="9"/>
  <c r="D331" i="9"/>
  <c r="D65" i="9"/>
  <c r="D333" i="9"/>
  <c r="D64" i="9"/>
  <c r="D334" i="9"/>
  <c r="D63" i="9"/>
  <c r="D335" i="9"/>
  <c r="D61" i="9"/>
  <c r="D336" i="9"/>
  <c r="D58" i="9"/>
  <c r="D337" i="9"/>
  <c r="D56" i="9"/>
  <c r="D338" i="9"/>
  <c r="D54" i="9"/>
  <c r="D339" i="9"/>
  <c r="D48" i="9"/>
  <c r="D340" i="9"/>
  <c r="D46" i="9"/>
  <c r="D341" i="9"/>
  <c r="D45" i="9"/>
  <c r="D342" i="9"/>
  <c r="D44" i="9"/>
  <c r="D343" i="9"/>
  <c r="D42" i="9"/>
  <c r="D344" i="9"/>
  <c r="D40" i="9"/>
  <c r="D345" i="9"/>
  <c r="D39" i="9"/>
  <c r="D346" i="9"/>
  <c r="D38" i="9"/>
  <c r="D347" i="9"/>
  <c r="D37" i="9"/>
  <c r="D348" i="9"/>
  <c r="D36" i="9"/>
  <c r="D349" i="9"/>
  <c r="D35" i="9"/>
  <c r="D350" i="9"/>
  <c r="D34" i="9"/>
  <c r="D351" i="9"/>
  <c r="D31" i="9"/>
  <c r="D352" i="9"/>
  <c r="D30" i="9"/>
  <c r="D353" i="9"/>
  <c r="D28" i="9"/>
  <c r="D354" i="9"/>
  <c r="D27" i="9"/>
  <c r="D355" i="9"/>
  <c r="D26" i="9"/>
  <c r="D356" i="9"/>
  <c r="D25" i="9"/>
  <c r="D691" i="9"/>
  <c r="D24" i="9"/>
  <c r="D23" i="9"/>
  <c r="D695" i="9"/>
  <c r="D22" i="9"/>
  <c r="D21" i="9"/>
  <c r="D698" i="9"/>
  <c r="D20" i="9"/>
  <c r="D700" i="9"/>
  <c r="D19" i="9"/>
  <c r="D702" i="9"/>
  <c r="D704" i="9"/>
  <c r="D18" i="9"/>
  <c r="D17" i="9"/>
  <c r="D708" i="9"/>
  <c r="D709" i="9"/>
  <c r="D933" i="9"/>
  <c r="D24" i="8"/>
  <c r="D23" i="8"/>
  <c r="D22" i="8"/>
  <c r="D21" i="8"/>
  <c r="D20" i="8"/>
  <c r="D19" i="8"/>
  <c r="D18" i="8"/>
  <c r="D17" i="8"/>
  <c r="D16" i="8"/>
  <c r="D15" i="8"/>
  <c r="D14" i="8"/>
  <c r="D13" i="8"/>
  <c r="D12" i="8"/>
  <c r="D11" i="8"/>
  <c r="D10" i="8"/>
  <c r="D9" i="8"/>
  <c r="D8" i="8"/>
  <c r="D7" i="8"/>
  <c r="D6" i="8"/>
  <c r="D5" i="8"/>
  <c r="D4" i="8"/>
  <c r="D3" i="8"/>
  <c r="D39" i="10" l="1"/>
  <c r="E38" i="10"/>
  <c r="C39" i="10"/>
  <c r="D9" i="10"/>
  <c r="B27" i="10"/>
  <c r="E27" i="10" s="1"/>
  <c r="D10" i="10"/>
  <c r="B28" i="10"/>
  <c r="E28" i="10" s="1"/>
  <c r="D11" i="10"/>
  <c r="B29" i="10"/>
  <c r="E29" i="10" s="1"/>
  <c r="D12" i="10"/>
  <c r="B30" i="10"/>
  <c r="E30" i="10" s="1"/>
  <c r="D13" i="10"/>
  <c r="B31" i="10"/>
  <c r="E31" i="10" s="1"/>
  <c r="D14" i="10"/>
  <c r="B32" i="10"/>
  <c r="E32" i="10" s="1"/>
  <c r="D15" i="10"/>
  <c r="B33" i="10"/>
  <c r="E33" i="10" s="1"/>
  <c r="D16" i="10"/>
  <c r="B34" i="10"/>
  <c r="E34" i="10" s="1"/>
  <c r="D17" i="10"/>
  <c r="B35" i="10"/>
  <c r="E35" i="10" s="1"/>
  <c r="D18" i="10"/>
  <c r="B36" i="10"/>
  <c r="E36" i="10" s="1"/>
  <c r="D19" i="10"/>
  <c r="B37" i="10"/>
  <c r="E37" i="10" s="1"/>
  <c r="D20" i="10"/>
  <c r="P22" i="16"/>
  <c r="J12" i="17"/>
  <c r="I9" i="16" s="1"/>
  <c r="B6" i="18" s="1"/>
  <c r="D9" i="16" a="1"/>
  <c r="D9" i="16" s="1"/>
  <c r="E215" i="18"/>
  <c r="E199" i="18"/>
  <c r="E197" i="18"/>
  <c r="E196" i="18"/>
  <c r="E194" i="18"/>
  <c r="E193" i="18"/>
  <c r="E192" i="18"/>
  <c r="E191" i="18"/>
  <c r="E189" i="18"/>
  <c r="E186" i="18"/>
  <c r="E185" i="18"/>
  <c r="E181" i="18"/>
  <c r="E180" i="18"/>
  <c r="E178" i="18"/>
  <c r="E177" i="18"/>
  <c r="E174" i="18"/>
  <c r="E173" i="18"/>
  <c r="E107" i="18"/>
  <c r="E401" i="18"/>
  <c r="E402" i="18"/>
  <c r="E403" i="18"/>
  <c r="E405" i="18"/>
  <c r="E406" i="18"/>
  <c r="E408" i="18"/>
  <c r="E416" i="18"/>
  <c r="E427" i="18"/>
  <c r="E438" i="18"/>
  <c r="E439" i="18"/>
  <c r="E440" i="18"/>
  <c r="E443" i="18"/>
  <c r="E444" i="18"/>
  <c r="E447" i="18"/>
  <c r="E454" i="18"/>
  <c r="E455" i="18"/>
  <c r="E456" i="18"/>
  <c r="E461" i="18"/>
  <c r="E463" i="18"/>
  <c r="E464" i="18"/>
  <c r="E468" i="18"/>
  <c r="E469" i="18"/>
  <c r="E470" i="18"/>
  <c r="E471" i="18"/>
  <c r="E476" i="18"/>
  <c r="E477" i="18"/>
  <c r="E479" i="18"/>
  <c r="E481" i="18"/>
  <c r="E482" i="18"/>
  <c r="E484" i="18"/>
  <c r="E400" i="18"/>
  <c r="E404" i="18"/>
  <c r="E413" i="18"/>
  <c r="E414" i="18"/>
  <c r="E417" i="18"/>
  <c r="E418" i="18"/>
  <c r="E424" i="18"/>
  <c r="E429" i="18"/>
  <c r="E430" i="18"/>
  <c r="E431" i="18"/>
  <c r="E432" i="18"/>
  <c r="E433" i="18"/>
  <c r="E434" i="18"/>
  <c r="E435" i="18"/>
  <c r="E436" i="18"/>
  <c r="E442" i="18"/>
  <c r="E446" i="18"/>
  <c r="E449" i="18"/>
  <c r="E450" i="18"/>
  <c r="E452" i="18"/>
  <c r="E457" i="18"/>
  <c r="E458" i="18"/>
  <c r="E459" i="18"/>
  <c r="E462" i="18"/>
  <c r="E465" i="18"/>
  <c r="E466" i="18"/>
  <c r="E467" i="18"/>
  <c r="E473" i="18"/>
  <c r="E475" i="18"/>
  <c r="E485" i="18"/>
  <c r="E487" i="18"/>
  <c r="E489" i="18"/>
  <c r="E490" i="18"/>
  <c r="E491" i="18"/>
  <c r="E12" i="18"/>
  <c r="E407" i="18"/>
  <c r="E437" i="18"/>
  <c r="E441" i="18"/>
  <c r="E445" i="18"/>
  <c r="E448" i="18"/>
  <c r="E451" i="18"/>
  <c r="E453" i="18"/>
  <c r="E460" i="18"/>
  <c r="E472" i="18"/>
  <c r="E474" i="18"/>
  <c r="E478" i="18"/>
  <c r="E480" i="18"/>
  <c r="E483" i="18"/>
  <c r="E486" i="18"/>
  <c r="E488" i="18"/>
  <c r="E895" i="14"/>
  <c r="G895" i="14" s="1"/>
  <c r="H895" i="14" s="1"/>
  <c r="I895" i="14" s="1"/>
  <c r="C895" i="14"/>
  <c r="E889" i="14"/>
  <c r="G889" i="14" s="1"/>
  <c r="H889" i="14" s="1"/>
  <c r="I889" i="14" s="1"/>
  <c r="C889" i="14"/>
  <c r="E887" i="14"/>
  <c r="G887" i="14" s="1"/>
  <c r="H887" i="14" s="1"/>
  <c r="I887" i="14" s="1"/>
  <c r="C887" i="14"/>
  <c r="E883" i="14"/>
  <c r="G883" i="14" s="1"/>
  <c r="H883" i="14" s="1"/>
  <c r="I883" i="14" s="1"/>
  <c r="C883" i="14"/>
  <c r="E876" i="14"/>
  <c r="G876" i="14" s="1"/>
  <c r="H876" i="14" s="1"/>
  <c r="I876" i="14" s="1"/>
  <c r="C876" i="14"/>
  <c r="E871" i="14"/>
  <c r="G871" i="14" s="1"/>
  <c r="H871" i="14" s="1"/>
  <c r="I871" i="14" s="1"/>
  <c r="C871" i="14"/>
  <c r="E854" i="14"/>
  <c r="G854" i="14" s="1"/>
  <c r="H854" i="14" s="1"/>
  <c r="I854" i="14" s="1"/>
  <c r="C854" i="14"/>
  <c r="E842" i="14"/>
  <c r="G842" i="14" s="1"/>
  <c r="H842" i="14" s="1"/>
  <c r="I842" i="14" s="1"/>
  <c r="C842" i="14"/>
  <c r="E840" i="14"/>
  <c r="G840" i="14" s="1"/>
  <c r="H840" i="14" s="1"/>
  <c r="I840" i="14" s="1"/>
  <c r="C840" i="14"/>
  <c r="C829" i="14"/>
  <c r="E829" i="14"/>
  <c r="G829" i="14" s="1"/>
  <c r="H829" i="14" s="1"/>
  <c r="I829" i="14" s="1"/>
  <c r="C828" i="14"/>
  <c r="E828" i="14"/>
  <c r="G828" i="14" s="1"/>
  <c r="H828" i="14" s="1"/>
  <c r="I828" i="14" s="1"/>
  <c r="C827" i="14"/>
  <c r="E827" i="14"/>
  <c r="G827" i="14" s="1"/>
  <c r="H827" i="14" s="1"/>
  <c r="I827" i="14" s="1"/>
  <c r="C821" i="14"/>
  <c r="E821" i="14"/>
  <c r="G821" i="14" s="1"/>
  <c r="H821" i="14" s="1"/>
  <c r="I821" i="14" s="1"/>
  <c r="C809" i="14"/>
  <c r="E809" i="14"/>
  <c r="G809" i="14" s="1"/>
  <c r="H809" i="14" s="1"/>
  <c r="I809" i="14" s="1"/>
  <c r="C807" i="14"/>
  <c r="E807" i="14"/>
  <c r="G807" i="14" s="1"/>
  <c r="H807" i="14" s="1"/>
  <c r="I807" i="14" s="1"/>
  <c r="C800" i="14"/>
  <c r="E800" i="14"/>
  <c r="G800" i="14" s="1"/>
  <c r="H800" i="14" s="1"/>
  <c r="I800" i="14" s="1"/>
  <c r="C795" i="14"/>
  <c r="E795" i="14"/>
  <c r="G795" i="14" s="1"/>
  <c r="H795" i="14" s="1"/>
  <c r="I795" i="14" s="1"/>
  <c r="C782" i="14"/>
  <c r="E782" i="14"/>
  <c r="G782" i="14" s="1"/>
  <c r="H782" i="14" s="1"/>
  <c r="I782" i="14" s="1"/>
  <c r="C781" i="14"/>
  <c r="E781" i="14"/>
  <c r="G781" i="14" s="1"/>
  <c r="H781" i="14" s="1"/>
  <c r="I781" i="14" s="1"/>
  <c r="C764" i="14"/>
  <c r="E764" i="14"/>
  <c r="G764" i="14" s="1"/>
  <c r="H764" i="14" s="1"/>
  <c r="I764" i="14" s="1"/>
  <c r="C761" i="14"/>
  <c r="E761" i="14"/>
  <c r="G761" i="14" s="1"/>
  <c r="H761" i="14" s="1"/>
  <c r="I761" i="14" s="1"/>
  <c r="C759" i="14"/>
  <c r="E759" i="14"/>
  <c r="G759" i="14" s="1"/>
  <c r="H759" i="14" s="1"/>
  <c r="I759" i="14" s="1"/>
  <c r="C757" i="14"/>
  <c r="E757" i="14"/>
  <c r="G757" i="14" s="1"/>
  <c r="H757" i="14" s="1"/>
  <c r="I757" i="14" s="1"/>
  <c r="E756" i="14"/>
  <c r="G756" i="14" s="1"/>
  <c r="H756" i="14" s="1"/>
  <c r="I756" i="14" s="1"/>
  <c r="C756" i="14"/>
  <c r="C754" i="14"/>
  <c r="E754" i="14"/>
  <c r="G754" i="14" s="1"/>
  <c r="H754" i="14" s="1"/>
  <c r="I754" i="14" s="1"/>
  <c r="C753" i="14"/>
  <c r="E753" i="14"/>
  <c r="G753" i="14" s="1"/>
  <c r="H753" i="14" s="1"/>
  <c r="I753" i="14" s="1"/>
  <c r="C751" i="14"/>
  <c r="E751" i="14"/>
  <c r="G751" i="14" s="1"/>
  <c r="H751" i="14" s="1"/>
  <c r="I751" i="14" s="1"/>
  <c r="C749" i="14"/>
  <c r="E749" i="14"/>
  <c r="G749" i="14" s="1"/>
  <c r="H749" i="14" s="1"/>
  <c r="I749" i="14" s="1"/>
  <c r="C748" i="14"/>
  <c r="E748" i="14"/>
  <c r="G748" i="14" s="1"/>
  <c r="H748" i="14" s="1"/>
  <c r="I748" i="14" s="1"/>
  <c r="C747" i="14"/>
  <c r="E747" i="14"/>
  <c r="G747" i="14" s="1"/>
  <c r="H747" i="14" s="1"/>
  <c r="I747" i="14" s="1"/>
  <c r="C746" i="14"/>
  <c r="E746" i="14"/>
  <c r="G746" i="14" s="1"/>
  <c r="H746" i="14" s="1"/>
  <c r="I746" i="14" s="1"/>
  <c r="C745" i="14"/>
  <c r="E745" i="14"/>
  <c r="G745" i="14" s="1"/>
  <c r="H745" i="14" s="1"/>
  <c r="I745" i="14" s="1"/>
  <c r="C27" i="14"/>
  <c r="E27" i="14"/>
  <c r="G27" i="14" s="1"/>
  <c r="H27" i="14" s="1"/>
  <c r="I27" i="14" s="1"/>
  <c r="C26" i="14"/>
  <c r="E26" i="14"/>
  <c r="G26" i="14" s="1"/>
  <c r="H26" i="14" s="1"/>
  <c r="I26" i="14" s="1"/>
  <c r="C24" i="14"/>
  <c r="E24" i="14"/>
  <c r="G24" i="14" s="1"/>
  <c r="H24" i="14" s="1"/>
  <c r="I24" i="14" s="1"/>
  <c r="C23" i="14"/>
  <c r="E23" i="14"/>
  <c r="G23" i="14" s="1"/>
  <c r="H23" i="14" s="1"/>
  <c r="I23" i="14" s="1"/>
  <c r="C21" i="14"/>
  <c r="E21" i="14"/>
  <c r="G21" i="14" s="1"/>
  <c r="H21" i="14" s="1"/>
  <c r="I21" i="14" s="1"/>
  <c r="E18" i="14"/>
  <c r="G18" i="14" s="1"/>
  <c r="H18" i="14" s="1"/>
  <c r="I18" i="14" s="1"/>
  <c r="C16" i="14"/>
  <c r="E16" i="14"/>
  <c r="G16" i="14" s="1"/>
  <c r="H16" i="14" s="1"/>
  <c r="I16" i="14" s="1"/>
  <c r="E744" i="14"/>
  <c r="G744" i="14" s="1"/>
  <c r="H744" i="14" s="1"/>
  <c r="I744" i="14" s="1"/>
  <c r="C744" i="14"/>
  <c r="C743" i="14"/>
  <c r="E743" i="14"/>
  <c r="G743" i="14" s="1"/>
  <c r="H743" i="14" s="1"/>
  <c r="I743" i="14" s="1"/>
  <c r="C742" i="14"/>
  <c r="E742" i="14"/>
  <c r="G742" i="14" s="1"/>
  <c r="H742" i="14" s="1"/>
  <c r="I742" i="14" s="1"/>
  <c r="C741" i="14"/>
  <c r="E741" i="14"/>
  <c r="G741" i="14" s="1"/>
  <c r="H741" i="14" s="1"/>
  <c r="I741" i="14" s="1"/>
  <c r="C740" i="14"/>
  <c r="E740" i="14"/>
  <c r="G740" i="14" s="1"/>
  <c r="H740" i="14" s="1"/>
  <c r="I740" i="14" s="1"/>
  <c r="C739" i="14"/>
  <c r="E739" i="14"/>
  <c r="G739" i="14" s="1"/>
  <c r="H739" i="14" s="1"/>
  <c r="I739" i="14" s="1"/>
  <c r="C1016" i="14"/>
  <c r="E1016" i="14"/>
  <c r="G1016" i="14" s="1"/>
  <c r="H1016" i="14" s="1"/>
  <c r="I1016" i="14" s="1"/>
  <c r="C1015" i="14"/>
  <c r="E1015" i="14"/>
  <c r="G1015" i="14" s="1"/>
  <c r="H1015" i="14" s="1"/>
  <c r="I1015" i="14" s="1"/>
  <c r="E1014" i="14"/>
  <c r="G1014" i="14" s="1"/>
  <c r="H1014" i="14" s="1"/>
  <c r="I1014" i="14" s="1"/>
  <c r="C1014" i="14"/>
  <c r="E1011" i="14"/>
  <c r="G1011" i="14" s="1"/>
  <c r="H1011" i="14" s="1"/>
  <c r="I1011" i="14" s="1"/>
  <c r="C1011" i="14"/>
  <c r="E1008" i="14"/>
  <c r="G1008" i="14" s="1"/>
  <c r="H1008" i="14" s="1"/>
  <c r="I1008" i="14" s="1"/>
  <c r="C1008" i="14"/>
  <c r="C1006" i="14"/>
  <c r="E1006" i="14"/>
  <c r="G1006" i="14" s="1"/>
  <c r="H1006" i="14" s="1"/>
  <c r="I1006" i="14" s="1"/>
  <c r="E1005" i="14"/>
  <c r="G1005" i="14" s="1"/>
  <c r="H1005" i="14" s="1"/>
  <c r="I1005" i="14" s="1"/>
  <c r="C1005" i="14"/>
  <c r="C1004" i="14"/>
  <c r="E1004" i="14"/>
  <c r="G1004" i="14" s="1"/>
  <c r="H1004" i="14" s="1"/>
  <c r="I1004" i="14" s="1"/>
  <c r="E1003" i="14"/>
  <c r="G1003" i="14" s="1"/>
  <c r="H1003" i="14" s="1"/>
  <c r="I1003" i="14" s="1"/>
  <c r="C1003" i="14"/>
  <c r="C1002" i="14"/>
  <c r="E1002" i="14"/>
  <c r="G1002" i="14" s="1"/>
  <c r="H1002" i="14" s="1"/>
  <c r="I1002" i="14" s="1"/>
  <c r="C998" i="14"/>
  <c r="E998" i="14"/>
  <c r="G998" i="14" s="1"/>
  <c r="H998" i="14" s="1"/>
  <c r="I998" i="14" s="1"/>
  <c r="C997" i="14"/>
  <c r="E997" i="14"/>
  <c r="G997" i="14" s="1"/>
  <c r="H997" i="14" s="1"/>
  <c r="I997" i="14" s="1"/>
  <c r="C996" i="14"/>
  <c r="E996" i="14"/>
  <c r="G996" i="14" s="1"/>
  <c r="H996" i="14" s="1"/>
  <c r="I996" i="14" s="1"/>
  <c r="C995" i="14"/>
  <c r="E995" i="14"/>
  <c r="G995" i="14" s="1"/>
  <c r="H995" i="14" s="1"/>
  <c r="I995" i="14" s="1"/>
  <c r="E994" i="14"/>
  <c r="G994" i="14" s="1"/>
  <c r="H994" i="14" s="1"/>
  <c r="I994" i="14" s="1"/>
  <c r="C994" i="14"/>
  <c r="E993" i="14"/>
  <c r="G993" i="14" s="1"/>
  <c r="H993" i="14" s="1"/>
  <c r="I993" i="14" s="1"/>
  <c r="C993" i="14"/>
  <c r="C991" i="14"/>
  <c r="E991" i="14"/>
  <c r="G991" i="14" s="1"/>
  <c r="H991" i="14" s="1"/>
  <c r="I991" i="14" s="1"/>
  <c r="C989" i="14"/>
  <c r="E989" i="14"/>
  <c r="G989" i="14" s="1"/>
  <c r="H989" i="14" s="1"/>
  <c r="I989" i="14" s="1"/>
  <c r="C988" i="14"/>
  <c r="E988" i="14"/>
  <c r="G988" i="14" s="1"/>
  <c r="H988" i="14" s="1"/>
  <c r="I988" i="14" s="1"/>
  <c r="C985" i="14"/>
  <c r="E985" i="14"/>
  <c r="G985" i="14" s="1"/>
  <c r="H985" i="14" s="1"/>
  <c r="I985" i="14" s="1"/>
  <c r="E983" i="14"/>
  <c r="G983" i="14" s="1"/>
  <c r="H983" i="14" s="1"/>
  <c r="I983" i="14" s="1"/>
  <c r="C983" i="14"/>
  <c r="E982" i="14"/>
  <c r="G982" i="14" s="1"/>
  <c r="H982" i="14" s="1"/>
  <c r="I982" i="14" s="1"/>
  <c r="C982" i="14"/>
  <c r="C980" i="14"/>
  <c r="E980" i="14"/>
  <c r="G980" i="14" s="1"/>
  <c r="H980" i="14" s="1"/>
  <c r="I980" i="14" s="1"/>
  <c r="C978" i="14"/>
  <c r="E978" i="14"/>
  <c r="G978" i="14" s="1"/>
  <c r="H978" i="14" s="1"/>
  <c r="I978" i="14" s="1"/>
  <c r="C977" i="14"/>
  <c r="E977" i="14"/>
  <c r="G977" i="14" s="1"/>
  <c r="H977" i="14" s="1"/>
  <c r="I977" i="14" s="1"/>
  <c r="E973" i="14"/>
  <c r="G973" i="14" s="1"/>
  <c r="H973" i="14" s="1"/>
  <c r="I973" i="14" s="1"/>
  <c r="C973" i="14"/>
  <c r="E972" i="14"/>
  <c r="G972" i="14" s="1"/>
  <c r="H972" i="14" s="1"/>
  <c r="I972" i="14" s="1"/>
  <c r="C972" i="14"/>
  <c r="E971" i="14"/>
  <c r="G971" i="14" s="1"/>
  <c r="H971" i="14" s="1"/>
  <c r="I971" i="14" s="1"/>
  <c r="C971" i="14"/>
  <c r="C970" i="14"/>
  <c r="E970" i="14"/>
  <c r="G970" i="14" s="1"/>
  <c r="H970" i="14" s="1"/>
  <c r="I970" i="14" s="1"/>
  <c r="C968" i="14"/>
  <c r="E968" i="14"/>
  <c r="G968" i="14" s="1"/>
  <c r="H968" i="14" s="1"/>
  <c r="I968" i="14" s="1"/>
  <c r="C967" i="14"/>
  <c r="E967" i="14"/>
  <c r="G967" i="14" s="1"/>
  <c r="H967" i="14" s="1"/>
  <c r="I967" i="14" s="1"/>
  <c r="C966" i="14"/>
  <c r="E966" i="14"/>
  <c r="G966" i="14" s="1"/>
  <c r="H966" i="14" s="1"/>
  <c r="I966" i="14" s="1"/>
  <c r="C960" i="14"/>
  <c r="E960" i="14"/>
  <c r="G960" i="14" s="1"/>
  <c r="H960" i="14" s="1"/>
  <c r="I960" i="14" s="1"/>
  <c r="C958" i="14"/>
  <c r="E958" i="14"/>
  <c r="G958" i="14" s="1"/>
  <c r="H958" i="14" s="1"/>
  <c r="I958" i="14" s="1"/>
  <c r="E955" i="14"/>
  <c r="G955" i="14" s="1"/>
  <c r="H955" i="14" s="1"/>
  <c r="I955" i="14" s="1"/>
  <c r="C955" i="14"/>
  <c r="C954" i="14"/>
  <c r="E954" i="14"/>
  <c r="G954" i="14" s="1"/>
  <c r="H954" i="14" s="1"/>
  <c r="I954" i="14" s="1"/>
  <c r="C952" i="14"/>
  <c r="E952" i="14"/>
  <c r="G952" i="14" s="1"/>
  <c r="H952" i="14" s="1"/>
  <c r="I952" i="14" s="1"/>
  <c r="C948" i="14"/>
  <c r="E948" i="14"/>
  <c r="G948" i="14" s="1"/>
  <c r="H948" i="14" s="1"/>
  <c r="I948" i="14" s="1"/>
  <c r="C943" i="14"/>
  <c r="E943" i="14"/>
  <c r="G943" i="14" s="1"/>
  <c r="H943" i="14" s="1"/>
  <c r="I943" i="14" s="1"/>
  <c r="C942" i="14"/>
  <c r="E942" i="14"/>
  <c r="G942" i="14" s="1"/>
  <c r="H942" i="14" s="1"/>
  <c r="I942" i="14" s="1"/>
  <c r="C939" i="14"/>
  <c r="E939" i="14"/>
  <c r="G939" i="14" s="1"/>
  <c r="H939" i="14" s="1"/>
  <c r="I939" i="14" s="1"/>
  <c r="C938" i="14"/>
  <c r="E938" i="14"/>
  <c r="G938" i="14" s="1"/>
  <c r="H938" i="14" s="1"/>
  <c r="I938" i="14" s="1"/>
  <c r="E937" i="14"/>
  <c r="G937" i="14" s="1"/>
  <c r="H937" i="14" s="1"/>
  <c r="I937" i="14" s="1"/>
  <c r="C937" i="14"/>
  <c r="E936" i="14"/>
  <c r="G936" i="14" s="1"/>
  <c r="H936" i="14" s="1"/>
  <c r="I936" i="14" s="1"/>
  <c r="C936" i="14"/>
  <c r="C931" i="14"/>
  <c r="E931" i="14"/>
  <c r="G931" i="14" s="1"/>
  <c r="H931" i="14" s="1"/>
  <c r="I931" i="14" s="1"/>
  <c r="C929" i="14"/>
  <c r="E929" i="14"/>
  <c r="G929" i="14" s="1"/>
  <c r="H929" i="14" s="1"/>
  <c r="I929" i="14" s="1"/>
  <c r="C928" i="14"/>
  <c r="E928" i="14"/>
  <c r="G928" i="14" s="1"/>
  <c r="H928" i="14" s="1"/>
  <c r="I928" i="14" s="1"/>
  <c r="C923" i="14"/>
  <c r="E923" i="14"/>
  <c r="G923" i="14" s="1"/>
  <c r="H923" i="14" s="1"/>
  <c r="I923" i="14" s="1"/>
  <c r="C922" i="14"/>
  <c r="E922" i="14"/>
  <c r="G922" i="14" s="1"/>
  <c r="H922" i="14" s="1"/>
  <c r="I922" i="14" s="1"/>
  <c r="C920" i="14"/>
  <c r="E920" i="14"/>
  <c r="G920" i="14" s="1"/>
  <c r="H920" i="14" s="1"/>
  <c r="I920" i="14" s="1"/>
  <c r="C918" i="14"/>
  <c r="E918" i="14"/>
  <c r="G918" i="14" s="1"/>
  <c r="H918" i="14" s="1"/>
  <c r="I918" i="14" s="1"/>
  <c r="C914" i="14"/>
  <c r="E914" i="14"/>
  <c r="G914" i="14" s="1"/>
  <c r="H914" i="14" s="1"/>
  <c r="I914" i="14" s="1"/>
  <c r="C913" i="14"/>
  <c r="E913" i="14"/>
  <c r="G913" i="14" s="1"/>
  <c r="H913" i="14" s="1"/>
  <c r="I913" i="14" s="1"/>
  <c r="C907" i="14"/>
  <c r="E907" i="14"/>
  <c r="G907" i="14" s="1"/>
  <c r="H907" i="14" s="1"/>
  <c r="I907" i="14" s="1"/>
  <c r="E902" i="14"/>
  <c r="G902" i="14" s="1"/>
  <c r="H902" i="14" s="1"/>
  <c r="I902" i="14" s="1"/>
  <c r="C902" i="14"/>
  <c r="E901" i="14"/>
  <c r="G901" i="14" s="1"/>
  <c r="H901" i="14" s="1"/>
  <c r="I901" i="14" s="1"/>
  <c r="C901" i="14"/>
  <c r="C900" i="14"/>
  <c r="E900" i="14"/>
  <c r="G900" i="14" s="1"/>
  <c r="H900" i="14" s="1"/>
  <c r="I900" i="14" s="1"/>
  <c r="C899" i="14"/>
  <c r="E899" i="14"/>
  <c r="G899" i="14" s="1"/>
  <c r="H899" i="14" s="1"/>
  <c r="I899" i="14" s="1"/>
  <c r="C898" i="14"/>
  <c r="E898" i="14"/>
  <c r="G898" i="14" s="1"/>
  <c r="H898" i="14" s="1"/>
  <c r="I898" i="14" s="1"/>
  <c r="C897" i="14"/>
  <c r="E897" i="14"/>
  <c r="G897" i="14" s="1"/>
  <c r="H897" i="14" s="1"/>
  <c r="I897" i="14" s="1"/>
  <c r="C896" i="14"/>
  <c r="E896" i="14"/>
  <c r="G896" i="14" s="1"/>
  <c r="H896" i="14" s="1"/>
  <c r="I896" i="14" s="1"/>
  <c r="E894" i="14"/>
  <c r="G894" i="14" s="1"/>
  <c r="H894" i="14" s="1"/>
  <c r="I894" i="14" s="1"/>
  <c r="C894" i="14"/>
  <c r="C893" i="14"/>
  <c r="E893" i="14"/>
  <c r="G893" i="14" s="1"/>
  <c r="H893" i="14" s="1"/>
  <c r="I893" i="14" s="1"/>
  <c r="C892" i="14"/>
  <c r="E892" i="14"/>
  <c r="G892" i="14" s="1"/>
  <c r="H892" i="14" s="1"/>
  <c r="I892" i="14" s="1"/>
  <c r="C891" i="14"/>
  <c r="E891" i="14"/>
  <c r="G891" i="14" s="1"/>
  <c r="H891" i="14" s="1"/>
  <c r="I891" i="14" s="1"/>
  <c r="C886" i="14"/>
  <c r="E886" i="14"/>
  <c r="G886" i="14" s="1"/>
  <c r="H886" i="14" s="1"/>
  <c r="I886" i="14" s="1"/>
  <c r="E885" i="14"/>
  <c r="G885" i="14" s="1"/>
  <c r="H885" i="14" s="1"/>
  <c r="I885" i="14" s="1"/>
  <c r="C885" i="14"/>
  <c r="C884" i="14"/>
  <c r="E884" i="14"/>
  <c r="G884" i="14" s="1"/>
  <c r="H884" i="14" s="1"/>
  <c r="I884" i="14" s="1"/>
  <c r="C882" i="14"/>
  <c r="E882" i="14"/>
  <c r="G882" i="14" s="1"/>
  <c r="H882" i="14" s="1"/>
  <c r="I882" i="14" s="1"/>
  <c r="C880" i="14"/>
  <c r="E880" i="14"/>
  <c r="G880" i="14" s="1"/>
  <c r="H880" i="14" s="1"/>
  <c r="I880" i="14" s="1"/>
  <c r="E879" i="14"/>
  <c r="G879" i="14" s="1"/>
  <c r="H879" i="14" s="1"/>
  <c r="I879" i="14" s="1"/>
  <c r="C879" i="14"/>
  <c r="E878" i="14"/>
  <c r="G878" i="14" s="1"/>
  <c r="H878" i="14" s="1"/>
  <c r="I878" i="14" s="1"/>
  <c r="C878" i="14"/>
  <c r="E877" i="14"/>
  <c r="G877" i="14" s="1"/>
  <c r="H877" i="14" s="1"/>
  <c r="I877" i="14" s="1"/>
  <c r="C877" i="14"/>
  <c r="C875" i="14"/>
  <c r="E875" i="14"/>
  <c r="G875" i="14" s="1"/>
  <c r="H875" i="14" s="1"/>
  <c r="I875" i="14" s="1"/>
  <c r="C874" i="14"/>
  <c r="E874" i="14"/>
  <c r="G874" i="14" s="1"/>
  <c r="H874" i="14" s="1"/>
  <c r="I874" i="14" s="1"/>
  <c r="C873" i="14"/>
  <c r="E873" i="14"/>
  <c r="G873" i="14" s="1"/>
  <c r="H873" i="14" s="1"/>
  <c r="I873" i="14" s="1"/>
  <c r="C872" i="14"/>
  <c r="E872" i="14"/>
  <c r="G872" i="14" s="1"/>
  <c r="H872" i="14" s="1"/>
  <c r="I872" i="14" s="1"/>
  <c r="E870" i="14"/>
  <c r="G870" i="14" s="1"/>
  <c r="H870" i="14" s="1"/>
  <c r="I870" i="14" s="1"/>
  <c r="C870" i="14"/>
  <c r="C868" i="14"/>
  <c r="E868" i="14"/>
  <c r="G868" i="14" s="1"/>
  <c r="H868" i="14" s="1"/>
  <c r="I868" i="14" s="1"/>
  <c r="E867" i="14"/>
  <c r="G867" i="14" s="1"/>
  <c r="H867" i="14" s="1"/>
  <c r="I867" i="14" s="1"/>
  <c r="C867" i="14"/>
  <c r="E866" i="14"/>
  <c r="G866" i="14" s="1"/>
  <c r="H866" i="14" s="1"/>
  <c r="I866" i="14" s="1"/>
  <c r="C866" i="14"/>
  <c r="E865" i="14"/>
  <c r="G865" i="14" s="1"/>
  <c r="H865" i="14" s="1"/>
  <c r="I865" i="14" s="1"/>
  <c r="C865" i="14"/>
  <c r="E863" i="14"/>
  <c r="G863" i="14" s="1"/>
  <c r="H863" i="14" s="1"/>
  <c r="I863" i="14" s="1"/>
  <c r="C863" i="14"/>
  <c r="E862" i="14"/>
  <c r="G862" i="14" s="1"/>
  <c r="H862" i="14" s="1"/>
  <c r="I862" i="14" s="1"/>
  <c r="C862" i="14"/>
  <c r="C860" i="14"/>
  <c r="E860" i="14"/>
  <c r="G860" i="14" s="1"/>
  <c r="H860" i="14" s="1"/>
  <c r="I860" i="14" s="1"/>
  <c r="C859" i="14"/>
  <c r="E859" i="14"/>
  <c r="G859" i="14" s="1"/>
  <c r="H859" i="14" s="1"/>
  <c r="I859" i="14" s="1"/>
  <c r="C858" i="14"/>
  <c r="E858" i="14"/>
  <c r="G858" i="14" s="1"/>
  <c r="H858" i="14" s="1"/>
  <c r="I858" i="14" s="1"/>
  <c r="C857" i="14"/>
  <c r="E857" i="14"/>
  <c r="G857" i="14" s="1"/>
  <c r="H857" i="14" s="1"/>
  <c r="I857" i="14" s="1"/>
  <c r="C856" i="14"/>
  <c r="E856" i="14"/>
  <c r="G856" i="14" s="1"/>
  <c r="H856" i="14" s="1"/>
  <c r="I856" i="14" s="1"/>
  <c r="E855" i="14"/>
  <c r="G855" i="14" s="1"/>
  <c r="H855" i="14" s="1"/>
  <c r="I855" i="14" s="1"/>
  <c r="C855" i="14"/>
  <c r="E852" i="14"/>
  <c r="G852" i="14" s="1"/>
  <c r="H852" i="14" s="1"/>
  <c r="I852" i="14" s="1"/>
  <c r="C852" i="14"/>
  <c r="E850" i="14"/>
  <c r="G850" i="14" s="1"/>
  <c r="H850" i="14" s="1"/>
  <c r="I850" i="14" s="1"/>
  <c r="C850" i="14"/>
  <c r="E849" i="14"/>
  <c r="G849" i="14" s="1"/>
  <c r="H849" i="14" s="1"/>
  <c r="I849" i="14" s="1"/>
  <c r="C849" i="14"/>
  <c r="C847" i="14"/>
  <c r="E847" i="14"/>
  <c r="G847" i="14" s="1"/>
  <c r="H847" i="14" s="1"/>
  <c r="I847" i="14" s="1"/>
  <c r="C845" i="14"/>
  <c r="E845" i="14"/>
  <c r="G845" i="14" s="1"/>
  <c r="H845" i="14" s="1"/>
  <c r="I845" i="14" s="1"/>
  <c r="C843" i="14"/>
  <c r="E843" i="14"/>
  <c r="G843" i="14" s="1"/>
  <c r="H843" i="14" s="1"/>
  <c r="I843" i="14" s="1"/>
  <c r="C838" i="14"/>
  <c r="E838" i="14"/>
  <c r="G838" i="14" s="1"/>
  <c r="H838" i="14" s="1"/>
  <c r="I838" i="14" s="1"/>
  <c r="C836" i="14"/>
  <c r="E836" i="14"/>
  <c r="G836" i="14" s="1"/>
  <c r="H836" i="14" s="1"/>
  <c r="I836" i="14" s="1"/>
  <c r="C835" i="14"/>
  <c r="E835" i="14"/>
  <c r="G835" i="14" s="1"/>
  <c r="H835" i="14" s="1"/>
  <c r="I835" i="14" s="1"/>
  <c r="C832" i="14"/>
  <c r="E832" i="14"/>
  <c r="G832" i="14" s="1"/>
  <c r="H832" i="14" s="1"/>
  <c r="I832" i="14" s="1"/>
  <c r="C831" i="14"/>
  <c r="E831" i="14"/>
  <c r="G831" i="14" s="1"/>
  <c r="H831" i="14" s="1"/>
  <c r="I831" i="14" s="1"/>
  <c r="E817" i="14"/>
  <c r="G817" i="14" s="1"/>
  <c r="H817" i="14" s="1"/>
  <c r="I817" i="14" s="1"/>
  <c r="C817" i="14"/>
  <c r="C815" i="14"/>
  <c r="E815" i="14"/>
  <c r="G815" i="14" s="1"/>
  <c r="H815" i="14" s="1"/>
  <c r="I815" i="14" s="1"/>
  <c r="C813" i="14"/>
  <c r="E813" i="14"/>
  <c r="G813" i="14" s="1"/>
  <c r="H813" i="14" s="1"/>
  <c r="I813" i="14" s="1"/>
  <c r="E812" i="14"/>
  <c r="G812" i="14" s="1"/>
  <c r="H812" i="14" s="1"/>
  <c r="I812" i="14" s="1"/>
  <c r="C812" i="14"/>
  <c r="E811" i="14"/>
  <c r="G811" i="14" s="1"/>
  <c r="H811" i="14" s="1"/>
  <c r="I811" i="14" s="1"/>
  <c r="C811" i="14"/>
  <c r="C808" i="14"/>
  <c r="E808" i="14"/>
  <c r="G808" i="14" s="1"/>
  <c r="H808" i="14" s="1"/>
  <c r="I808" i="14" s="1"/>
  <c r="E806" i="14"/>
  <c r="G806" i="14" s="1"/>
  <c r="H806" i="14" s="1"/>
  <c r="I806" i="14" s="1"/>
  <c r="C806" i="14"/>
  <c r="E805" i="14"/>
  <c r="G805" i="14" s="1"/>
  <c r="H805" i="14" s="1"/>
  <c r="I805" i="14" s="1"/>
  <c r="C805" i="14"/>
  <c r="C803" i="14"/>
  <c r="E803" i="14"/>
  <c r="G803" i="14" s="1"/>
  <c r="H803" i="14" s="1"/>
  <c r="I803" i="14" s="1"/>
  <c r="E802" i="14"/>
  <c r="G802" i="14" s="1"/>
  <c r="H802" i="14" s="1"/>
  <c r="I802" i="14" s="1"/>
  <c r="C802" i="14"/>
  <c r="C801" i="14"/>
  <c r="E801" i="14"/>
  <c r="G801" i="14" s="1"/>
  <c r="H801" i="14" s="1"/>
  <c r="I801" i="14" s="1"/>
  <c r="C798" i="14"/>
  <c r="E798" i="14"/>
  <c r="G798" i="14" s="1"/>
  <c r="H798" i="14" s="1"/>
  <c r="I798" i="14" s="1"/>
  <c r="C794" i="14"/>
  <c r="E794" i="14"/>
  <c r="G794" i="14" s="1"/>
  <c r="H794" i="14" s="1"/>
  <c r="I794" i="14" s="1"/>
  <c r="C793" i="14"/>
  <c r="E793" i="14"/>
  <c r="G793" i="14" s="1"/>
  <c r="H793" i="14" s="1"/>
  <c r="I793" i="14" s="1"/>
  <c r="C791" i="14"/>
  <c r="E791" i="14"/>
  <c r="G791" i="14" s="1"/>
  <c r="H791" i="14" s="1"/>
  <c r="I791" i="14" s="1"/>
  <c r="C787" i="14"/>
  <c r="E787" i="14"/>
  <c r="G787" i="14" s="1"/>
  <c r="H787" i="14" s="1"/>
  <c r="I787" i="14" s="1"/>
  <c r="C786" i="14"/>
  <c r="E786" i="14"/>
  <c r="G786" i="14" s="1"/>
  <c r="H786" i="14" s="1"/>
  <c r="I786" i="14" s="1"/>
  <c r="C784" i="14"/>
  <c r="E784" i="14"/>
  <c r="G784" i="14" s="1"/>
  <c r="H784" i="14" s="1"/>
  <c r="I784" i="14" s="1"/>
  <c r="E778" i="14"/>
  <c r="G778" i="14" s="1"/>
  <c r="H778" i="14" s="1"/>
  <c r="I778" i="14" s="1"/>
  <c r="C778" i="14"/>
  <c r="E777" i="14"/>
  <c r="G777" i="14" s="1"/>
  <c r="H777" i="14" s="1"/>
  <c r="I777" i="14" s="1"/>
  <c r="C777" i="14"/>
  <c r="C776" i="14"/>
  <c r="E776" i="14"/>
  <c r="G776" i="14" s="1"/>
  <c r="H776" i="14" s="1"/>
  <c r="I776" i="14" s="1"/>
  <c r="E775" i="14"/>
  <c r="G775" i="14" s="1"/>
  <c r="H775" i="14" s="1"/>
  <c r="I775" i="14" s="1"/>
  <c r="C775" i="14"/>
  <c r="E773" i="14"/>
  <c r="G773" i="14" s="1"/>
  <c r="H773" i="14" s="1"/>
  <c r="I773" i="14" s="1"/>
  <c r="C773" i="14"/>
  <c r="E771" i="14"/>
  <c r="G771" i="14" s="1"/>
  <c r="H771" i="14" s="1"/>
  <c r="I771" i="14" s="1"/>
  <c r="C771" i="14"/>
  <c r="C768" i="14"/>
  <c r="E768" i="14"/>
  <c r="G768" i="14" s="1"/>
  <c r="H768" i="14" s="1"/>
  <c r="I768" i="14" s="1"/>
  <c r="C767" i="14"/>
  <c r="E767" i="14"/>
  <c r="G767" i="14" s="1"/>
  <c r="H767" i="14" s="1"/>
  <c r="I767" i="14" s="1"/>
  <c r="C762" i="14"/>
  <c r="E762" i="14"/>
  <c r="G762" i="14" s="1"/>
  <c r="H762" i="14" s="1"/>
  <c r="I762" i="14" s="1"/>
  <c r="C727" i="14"/>
  <c r="E727" i="14"/>
  <c r="G727" i="14" s="1"/>
  <c r="H727" i="14" s="1"/>
  <c r="I727" i="14" s="1"/>
  <c r="E725" i="14"/>
  <c r="G725" i="14" s="1"/>
  <c r="H725" i="14" s="1"/>
  <c r="I725" i="14" s="1"/>
  <c r="C725" i="14"/>
  <c r="E720" i="14"/>
  <c r="G720" i="14" s="1"/>
  <c r="H720" i="14" s="1"/>
  <c r="I720" i="14" s="1"/>
  <c r="C720" i="14"/>
  <c r="E718" i="14"/>
  <c r="G718" i="14" s="1"/>
  <c r="H718" i="14" s="1"/>
  <c r="I718" i="14" s="1"/>
  <c r="C718" i="14"/>
  <c r="E714" i="14"/>
  <c r="G714" i="14" s="1"/>
  <c r="H714" i="14" s="1"/>
  <c r="I714" i="14" s="1"/>
  <c r="C714" i="14"/>
  <c r="E713" i="14"/>
  <c r="G713" i="14" s="1"/>
  <c r="H713" i="14" s="1"/>
  <c r="I713" i="14" s="1"/>
  <c r="C713" i="14"/>
  <c r="E709" i="14"/>
  <c r="G709" i="14" s="1"/>
  <c r="H709" i="14" s="1"/>
  <c r="I709" i="14" s="1"/>
  <c r="C709" i="14"/>
  <c r="C702" i="14"/>
  <c r="E702" i="14"/>
  <c r="G702" i="14" s="1"/>
  <c r="H702" i="14" s="1"/>
  <c r="I702" i="14" s="1"/>
  <c r="C701" i="14"/>
  <c r="E701" i="14"/>
  <c r="G701" i="14" s="1"/>
  <c r="H701" i="14" s="1"/>
  <c r="I701" i="14" s="1"/>
  <c r="C700" i="14"/>
  <c r="E700" i="14"/>
  <c r="G700" i="14" s="1"/>
  <c r="H700" i="14" s="1"/>
  <c r="I700" i="14" s="1"/>
  <c r="C695" i="14"/>
  <c r="E695" i="14"/>
  <c r="G695" i="14" s="1"/>
  <c r="H695" i="14" s="1"/>
  <c r="I695" i="14" s="1"/>
  <c r="C693" i="14"/>
  <c r="E693" i="14"/>
  <c r="G693" i="14" s="1"/>
  <c r="H693" i="14" s="1"/>
  <c r="I693" i="14" s="1"/>
  <c r="E692" i="14"/>
  <c r="G692" i="14" s="1"/>
  <c r="H692" i="14" s="1"/>
  <c r="I692" i="14" s="1"/>
  <c r="C692" i="14"/>
  <c r="E691" i="14"/>
  <c r="G691" i="14" s="1"/>
  <c r="H691" i="14" s="1"/>
  <c r="I691" i="14" s="1"/>
  <c r="C691" i="14"/>
  <c r="E688" i="14"/>
  <c r="G688" i="14" s="1"/>
  <c r="H688" i="14" s="1"/>
  <c r="I688" i="14" s="1"/>
  <c r="C688" i="14"/>
  <c r="C687" i="14"/>
  <c r="E687" i="14"/>
  <c r="G687" i="14" s="1"/>
  <c r="H687" i="14" s="1"/>
  <c r="I687" i="14" s="1"/>
  <c r="E686" i="14"/>
  <c r="G686" i="14" s="1"/>
  <c r="H686" i="14" s="1"/>
  <c r="I686" i="14" s="1"/>
  <c r="C686" i="14"/>
  <c r="C684" i="14"/>
  <c r="E684" i="14"/>
  <c r="G684" i="14" s="1"/>
  <c r="H684" i="14" s="1"/>
  <c r="I684" i="14" s="1"/>
  <c r="E683" i="14"/>
  <c r="G683" i="14" s="1"/>
  <c r="H683" i="14" s="1"/>
  <c r="I683" i="14" s="1"/>
  <c r="C683" i="14"/>
  <c r="E682" i="14"/>
  <c r="G682" i="14" s="1"/>
  <c r="H682" i="14" s="1"/>
  <c r="I682" i="14" s="1"/>
  <c r="C682" i="14"/>
  <c r="E678" i="14"/>
  <c r="G678" i="14" s="1"/>
  <c r="H678" i="14" s="1"/>
  <c r="I678" i="14" s="1"/>
  <c r="C678" i="14"/>
  <c r="C675" i="14"/>
  <c r="E675" i="14"/>
  <c r="G675" i="14" s="1"/>
  <c r="H675" i="14" s="1"/>
  <c r="I675" i="14" s="1"/>
  <c r="C673" i="14"/>
  <c r="E673" i="14"/>
  <c r="G673" i="14" s="1"/>
  <c r="H673" i="14" s="1"/>
  <c r="I673" i="14" s="1"/>
  <c r="C672" i="14"/>
  <c r="E672" i="14"/>
  <c r="G672" i="14" s="1"/>
  <c r="H672" i="14" s="1"/>
  <c r="I672" i="14" s="1"/>
  <c r="C671" i="14"/>
  <c r="E671" i="14"/>
  <c r="G671" i="14" s="1"/>
  <c r="H671" i="14" s="1"/>
  <c r="I671" i="14" s="1"/>
  <c r="C670" i="14"/>
  <c r="E670" i="14"/>
  <c r="G670" i="14" s="1"/>
  <c r="H670" i="14" s="1"/>
  <c r="I670" i="14" s="1"/>
  <c r="C665" i="14"/>
  <c r="E665" i="14"/>
  <c r="G665" i="14" s="1"/>
  <c r="H665" i="14" s="1"/>
  <c r="I665" i="14" s="1"/>
  <c r="C664" i="14"/>
  <c r="E664" i="14"/>
  <c r="G664" i="14" s="1"/>
  <c r="H664" i="14" s="1"/>
  <c r="I664" i="14" s="1"/>
  <c r="E660" i="14"/>
  <c r="G660" i="14" s="1"/>
  <c r="H660" i="14" s="1"/>
  <c r="I660" i="14" s="1"/>
  <c r="C660" i="14"/>
  <c r="E659" i="14"/>
  <c r="G659" i="14" s="1"/>
  <c r="H659" i="14" s="1"/>
  <c r="I659" i="14" s="1"/>
  <c r="C659" i="14"/>
  <c r="E657" i="14"/>
  <c r="G657" i="14" s="1"/>
  <c r="H657" i="14" s="1"/>
  <c r="I657" i="14" s="1"/>
  <c r="C657" i="14"/>
  <c r="E656" i="14"/>
  <c r="G656" i="14" s="1"/>
  <c r="H656" i="14" s="1"/>
  <c r="I656" i="14" s="1"/>
  <c r="C656" i="14"/>
  <c r="C633" i="14"/>
  <c r="E633" i="14"/>
  <c r="G633" i="14" s="1"/>
  <c r="H633" i="14" s="1"/>
  <c r="I633" i="14" s="1"/>
  <c r="C630" i="14"/>
  <c r="E630" i="14"/>
  <c r="G630" i="14" s="1"/>
  <c r="H630" i="14" s="1"/>
  <c r="I630" i="14" s="1"/>
  <c r="C629" i="14"/>
  <c r="E629" i="14"/>
  <c r="G629" i="14" s="1"/>
  <c r="H629" i="14" s="1"/>
  <c r="I629" i="14" s="1"/>
  <c r="E628" i="14"/>
  <c r="G628" i="14" s="1"/>
  <c r="H628" i="14" s="1"/>
  <c r="I628" i="14" s="1"/>
  <c r="C628" i="14"/>
  <c r="E625" i="14"/>
  <c r="G625" i="14" s="1"/>
  <c r="H625" i="14" s="1"/>
  <c r="I625" i="14" s="1"/>
  <c r="C625" i="14"/>
  <c r="E624" i="14"/>
  <c r="G624" i="14" s="1"/>
  <c r="H624" i="14" s="1"/>
  <c r="I624" i="14" s="1"/>
  <c r="C624" i="14"/>
  <c r="E618" i="14"/>
  <c r="G618" i="14" s="1"/>
  <c r="H618" i="14" s="1"/>
  <c r="I618" i="14" s="1"/>
  <c r="C618" i="14"/>
  <c r="E615" i="14"/>
  <c r="G615" i="14" s="1"/>
  <c r="H615" i="14" s="1"/>
  <c r="I615" i="14" s="1"/>
  <c r="C615" i="14"/>
  <c r="C612" i="14"/>
  <c r="E612" i="14"/>
  <c r="G612" i="14" s="1"/>
  <c r="H612" i="14" s="1"/>
  <c r="I612" i="14" s="1"/>
  <c r="E611" i="14"/>
  <c r="G611" i="14" s="1"/>
  <c r="H611" i="14" s="1"/>
  <c r="I611" i="14" s="1"/>
  <c r="C611" i="14"/>
  <c r="C605" i="14"/>
  <c r="E605" i="14"/>
  <c r="G605" i="14" s="1"/>
  <c r="H605" i="14" s="1"/>
  <c r="I605" i="14" s="1"/>
  <c r="C604" i="14"/>
  <c r="E604" i="14"/>
  <c r="G604" i="14" s="1"/>
  <c r="H604" i="14" s="1"/>
  <c r="I604" i="14" s="1"/>
  <c r="E603" i="14"/>
  <c r="G603" i="14" s="1"/>
  <c r="H603" i="14" s="1"/>
  <c r="I603" i="14" s="1"/>
  <c r="C603" i="14"/>
  <c r="E602" i="14"/>
  <c r="G602" i="14" s="1"/>
  <c r="H602" i="14" s="1"/>
  <c r="I602" i="14" s="1"/>
  <c r="C602" i="14"/>
  <c r="E601" i="14"/>
  <c r="G601" i="14" s="1"/>
  <c r="H601" i="14" s="1"/>
  <c r="I601" i="14" s="1"/>
  <c r="C601" i="14"/>
  <c r="E600" i="14"/>
  <c r="G600" i="14" s="1"/>
  <c r="H600" i="14" s="1"/>
  <c r="I600" i="14" s="1"/>
  <c r="C600" i="14"/>
  <c r="E599" i="14"/>
  <c r="G599" i="14" s="1"/>
  <c r="H599" i="14" s="1"/>
  <c r="I599" i="14" s="1"/>
  <c r="C599" i="14"/>
  <c r="C532" i="14"/>
  <c r="E532" i="14"/>
  <c r="G532" i="14" s="1"/>
  <c r="H532" i="14" s="1"/>
  <c r="I532" i="14" s="1"/>
  <c r="C531" i="14"/>
  <c r="E531" i="14"/>
  <c r="G531" i="14" s="1"/>
  <c r="H531" i="14" s="1"/>
  <c r="I531" i="14" s="1"/>
  <c r="E530" i="14"/>
  <c r="G530" i="14" s="1"/>
  <c r="H530" i="14" s="1"/>
  <c r="I530" i="14" s="1"/>
  <c r="C530" i="14"/>
  <c r="E529" i="14"/>
  <c r="G529" i="14" s="1"/>
  <c r="H529" i="14" s="1"/>
  <c r="I529" i="14" s="1"/>
  <c r="C529" i="14"/>
  <c r="E528" i="14"/>
  <c r="G528" i="14" s="1"/>
  <c r="H528" i="14" s="1"/>
  <c r="I528" i="14" s="1"/>
  <c r="C528" i="14"/>
  <c r="C527" i="14"/>
  <c r="E527" i="14"/>
  <c r="G527" i="14" s="1"/>
  <c r="H527" i="14" s="1"/>
  <c r="I527" i="14" s="1"/>
  <c r="E526" i="14"/>
  <c r="G526" i="14" s="1"/>
  <c r="H526" i="14" s="1"/>
  <c r="I526" i="14" s="1"/>
  <c r="C526" i="14"/>
  <c r="C525" i="14"/>
  <c r="E525" i="14"/>
  <c r="G525" i="14" s="1"/>
  <c r="H525" i="14" s="1"/>
  <c r="I525" i="14" s="1"/>
  <c r="E524" i="14"/>
  <c r="G524" i="14" s="1"/>
  <c r="H524" i="14" s="1"/>
  <c r="I524" i="14" s="1"/>
  <c r="C524" i="14"/>
  <c r="E523" i="14"/>
  <c r="G523" i="14" s="1"/>
  <c r="H523" i="14" s="1"/>
  <c r="I523" i="14" s="1"/>
  <c r="C523" i="14"/>
  <c r="E522" i="14"/>
  <c r="G522" i="14" s="1"/>
  <c r="H522" i="14" s="1"/>
  <c r="I522" i="14" s="1"/>
  <c r="C522" i="14"/>
  <c r="E521" i="14"/>
  <c r="G521" i="14" s="1"/>
  <c r="H521" i="14" s="1"/>
  <c r="I521" i="14" s="1"/>
  <c r="C521" i="14"/>
  <c r="E520" i="14"/>
  <c r="G520" i="14" s="1"/>
  <c r="H520" i="14" s="1"/>
  <c r="I520" i="14" s="1"/>
  <c r="C520" i="14"/>
  <c r="C519" i="14"/>
  <c r="E519" i="14"/>
  <c r="G519" i="14" s="1"/>
  <c r="H519" i="14" s="1"/>
  <c r="I519" i="14" s="1"/>
  <c r="E518" i="14"/>
  <c r="G518" i="14" s="1"/>
  <c r="H518" i="14" s="1"/>
  <c r="I518" i="14" s="1"/>
  <c r="C518" i="14"/>
  <c r="E517" i="14"/>
  <c r="G517" i="14" s="1"/>
  <c r="H517" i="14" s="1"/>
  <c r="I517" i="14" s="1"/>
  <c r="C517" i="14"/>
  <c r="E516" i="14"/>
  <c r="G516" i="14" s="1"/>
  <c r="H516" i="14" s="1"/>
  <c r="I516" i="14" s="1"/>
  <c r="C516" i="14"/>
  <c r="E515" i="14"/>
  <c r="G515" i="14" s="1"/>
  <c r="H515" i="14" s="1"/>
  <c r="I515" i="14" s="1"/>
  <c r="C515" i="14"/>
  <c r="C514" i="14"/>
  <c r="E514" i="14"/>
  <c r="G514" i="14" s="1"/>
  <c r="H514" i="14" s="1"/>
  <c r="I514" i="14" s="1"/>
  <c r="C513" i="14"/>
  <c r="E513" i="14"/>
  <c r="G513" i="14" s="1"/>
  <c r="H513" i="14" s="1"/>
  <c r="I513" i="14" s="1"/>
  <c r="C512" i="14"/>
  <c r="E512" i="14"/>
  <c r="G512" i="14" s="1"/>
  <c r="H512" i="14" s="1"/>
  <c r="I512" i="14" s="1"/>
  <c r="C511" i="14"/>
  <c r="E511" i="14"/>
  <c r="G511" i="14" s="1"/>
  <c r="H511" i="14" s="1"/>
  <c r="I511" i="14" s="1"/>
  <c r="C510" i="14"/>
  <c r="E510" i="14"/>
  <c r="G510" i="14" s="1"/>
  <c r="H510" i="14" s="1"/>
  <c r="I510" i="14" s="1"/>
  <c r="E509" i="14"/>
  <c r="G509" i="14" s="1"/>
  <c r="H509" i="14" s="1"/>
  <c r="I509" i="14" s="1"/>
  <c r="C509" i="14"/>
  <c r="E508" i="14"/>
  <c r="G508" i="14" s="1"/>
  <c r="H508" i="14" s="1"/>
  <c r="I508" i="14" s="1"/>
  <c r="C508" i="14"/>
  <c r="E507" i="14"/>
  <c r="G507" i="14" s="1"/>
  <c r="H507" i="14" s="1"/>
  <c r="I507" i="14" s="1"/>
  <c r="C507" i="14"/>
  <c r="E506" i="14"/>
  <c r="G506" i="14" s="1"/>
  <c r="H506" i="14" s="1"/>
  <c r="I506" i="14" s="1"/>
  <c r="C506" i="14"/>
  <c r="E505" i="14"/>
  <c r="G505" i="14" s="1"/>
  <c r="H505" i="14" s="1"/>
  <c r="I505" i="14" s="1"/>
  <c r="C505" i="14"/>
  <c r="E504" i="14"/>
  <c r="G504" i="14" s="1"/>
  <c r="H504" i="14" s="1"/>
  <c r="I504" i="14" s="1"/>
  <c r="C504" i="14"/>
  <c r="C503" i="14"/>
  <c r="E503" i="14"/>
  <c r="G503" i="14" s="1"/>
  <c r="H503" i="14" s="1"/>
  <c r="I503" i="14" s="1"/>
  <c r="C502" i="14"/>
  <c r="E502" i="14"/>
  <c r="G502" i="14" s="1"/>
  <c r="H502" i="14" s="1"/>
  <c r="I502" i="14" s="1"/>
  <c r="C501" i="14"/>
  <c r="E501" i="14"/>
  <c r="G501" i="14" s="1"/>
  <c r="H501" i="14" s="1"/>
  <c r="I501" i="14" s="1"/>
  <c r="C500" i="14"/>
  <c r="E500" i="14"/>
  <c r="G500" i="14" s="1"/>
  <c r="H500" i="14" s="1"/>
  <c r="I500" i="14" s="1"/>
  <c r="C499" i="14"/>
  <c r="E499" i="14"/>
  <c r="G499" i="14" s="1"/>
  <c r="H499" i="14" s="1"/>
  <c r="I499" i="14" s="1"/>
  <c r="C498" i="14"/>
  <c r="E498" i="14"/>
  <c r="G498" i="14" s="1"/>
  <c r="H498" i="14" s="1"/>
  <c r="I498" i="14" s="1"/>
  <c r="E905" i="14"/>
  <c r="G905" i="14" s="1"/>
  <c r="H905" i="14" s="1"/>
  <c r="I905" i="14" s="1"/>
  <c r="C905" i="14"/>
  <c r="C890" i="14"/>
  <c r="E890" i="14"/>
  <c r="G890" i="14" s="1"/>
  <c r="H890" i="14" s="1"/>
  <c r="I890" i="14" s="1"/>
  <c r="C888" i="14"/>
  <c r="E888" i="14"/>
  <c r="G888" i="14" s="1"/>
  <c r="H888" i="14" s="1"/>
  <c r="I888" i="14" s="1"/>
  <c r="C497" i="14"/>
  <c r="E497" i="14"/>
  <c r="G497" i="14" s="1"/>
  <c r="H497" i="14" s="1"/>
  <c r="I497" i="14" s="1"/>
  <c r="E496" i="14"/>
  <c r="G496" i="14" s="1"/>
  <c r="H496" i="14" s="1"/>
  <c r="I496" i="14" s="1"/>
  <c r="C496" i="14"/>
  <c r="E495" i="14"/>
  <c r="G495" i="14" s="1"/>
  <c r="H495" i="14" s="1"/>
  <c r="I495" i="14" s="1"/>
  <c r="C495" i="14"/>
  <c r="C494" i="14"/>
  <c r="E494" i="14"/>
  <c r="G494" i="14" s="1"/>
  <c r="H494" i="14" s="1"/>
  <c r="I494" i="14" s="1"/>
  <c r="C493" i="14"/>
  <c r="E493" i="14"/>
  <c r="G493" i="14" s="1"/>
  <c r="H493" i="14" s="1"/>
  <c r="I493" i="14" s="1"/>
  <c r="C492" i="14"/>
  <c r="E492" i="14"/>
  <c r="G492" i="14" s="1"/>
  <c r="H492" i="14" s="1"/>
  <c r="I492" i="14" s="1"/>
  <c r="C491" i="14"/>
  <c r="E491" i="14"/>
  <c r="G491" i="14" s="1"/>
  <c r="H491" i="14" s="1"/>
  <c r="I491" i="14" s="1"/>
  <c r="C490" i="14"/>
  <c r="E490" i="14"/>
  <c r="G490" i="14" s="1"/>
  <c r="H490" i="14" s="1"/>
  <c r="I490" i="14" s="1"/>
  <c r="C489" i="14"/>
  <c r="E489" i="14"/>
  <c r="G489" i="14" s="1"/>
  <c r="H489" i="14" s="1"/>
  <c r="I489" i="14" s="1"/>
  <c r="C488" i="14"/>
  <c r="E488" i="14"/>
  <c r="G488" i="14" s="1"/>
  <c r="H488" i="14" s="1"/>
  <c r="I488" i="14" s="1"/>
  <c r="C487" i="14"/>
  <c r="E487" i="14"/>
  <c r="G487" i="14" s="1"/>
  <c r="H487" i="14" s="1"/>
  <c r="I487" i="14" s="1"/>
  <c r="C486" i="14"/>
  <c r="E486" i="14"/>
  <c r="G486" i="14" s="1"/>
  <c r="H486" i="14" s="1"/>
  <c r="I486" i="14" s="1"/>
  <c r="C485" i="14"/>
  <c r="E485" i="14"/>
  <c r="G485" i="14" s="1"/>
  <c r="H485" i="14" s="1"/>
  <c r="I485" i="14" s="1"/>
  <c r="C484" i="14"/>
  <c r="E484" i="14"/>
  <c r="G484" i="14" s="1"/>
  <c r="H484" i="14" s="1"/>
  <c r="I484" i="14" s="1"/>
  <c r="C483" i="14"/>
  <c r="E483" i="14"/>
  <c r="G483" i="14" s="1"/>
  <c r="H483" i="14" s="1"/>
  <c r="I483" i="14" s="1"/>
  <c r="C482" i="14"/>
  <c r="E482" i="14"/>
  <c r="G482" i="14" s="1"/>
  <c r="H482" i="14" s="1"/>
  <c r="I482" i="14" s="1"/>
  <c r="C481" i="14"/>
  <c r="E481" i="14"/>
  <c r="G481" i="14" s="1"/>
  <c r="H481" i="14" s="1"/>
  <c r="I481" i="14" s="1"/>
  <c r="C480" i="14"/>
  <c r="E480" i="14"/>
  <c r="G480" i="14" s="1"/>
  <c r="H480" i="14" s="1"/>
  <c r="I480" i="14" s="1"/>
  <c r="C479" i="14"/>
  <c r="E479" i="14"/>
  <c r="G479" i="14" s="1"/>
  <c r="H479" i="14" s="1"/>
  <c r="I479" i="14" s="1"/>
  <c r="C478" i="14"/>
  <c r="E478" i="14"/>
  <c r="G478" i="14" s="1"/>
  <c r="H478" i="14" s="1"/>
  <c r="I478" i="14" s="1"/>
  <c r="C477" i="14"/>
  <c r="E477" i="14"/>
  <c r="G477" i="14" s="1"/>
  <c r="H477" i="14" s="1"/>
  <c r="I477" i="14" s="1"/>
  <c r="C476" i="14"/>
  <c r="E476" i="14"/>
  <c r="G476" i="14" s="1"/>
  <c r="H476" i="14" s="1"/>
  <c r="I476" i="14" s="1"/>
  <c r="C475" i="14"/>
  <c r="E475" i="14"/>
  <c r="G475" i="14" s="1"/>
  <c r="H475" i="14" s="1"/>
  <c r="I475" i="14" s="1"/>
  <c r="C474" i="14"/>
  <c r="E474" i="14"/>
  <c r="G474" i="14" s="1"/>
  <c r="H474" i="14" s="1"/>
  <c r="I474" i="14" s="1"/>
  <c r="E473" i="14"/>
  <c r="G473" i="14" s="1"/>
  <c r="H473" i="14" s="1"/>
  <c r="I473" i="14" s="1"/>
  <c r="C473" i="14"/>
  <c r="C472" i="14"/>
  <c r="E472" i="14"/>
  <c r="G472" i="14" s="1"/>
  <c r="H472" i="14" s="1"/>
  <c r="I472" i="14" s="1"/>
  <c r="C471" i="14"/>
  <c r="E471" i="14"/>
  <c r="G471" i="14" s="1"/>
  <c r="H471" i="14" s="1"/>
  <c r="I471" i="14" s="1"/>
  <c r="C470" i="14"/>
  <c r="E470" i="14"/>
  <c r="G470" i="14" s="1"/>
  <c r="H470" i="14" s="1"/>
  <c r="I470" i="14" s="1"/>
  <c r="C469" i="14"/>
  <c r="E469" i="14"/>
  <c r="G469" i="14" s="1"/>
  <c r="H469" i="14" s="1"/>
  <c r="I469" i="14" s="1"/>
  <c r="C468" i="14"/>
  <c r="E468" i="14"/>
  <c r="G468" i="14" s="1"/>
  <c r="H468" i="14" s="1"/>
  <c r="I468" i="14" s="1"/>
  <c r="C467" i="14"/>
  <c r="E467" i="14"/>
  <c r="G467" i="14" s="1"/>
  <c r="H467" i="14" s="1"/>
  <c r="I467" i="14" s="1"/>
  <c r="C466" i="14"/>
  <c r="E466" i="14"/>
  <c r="G466" i="14" s="1"/>
  <c r="H466" i="14" s="1"/>
  <c r="I466" i="14" s="1"/>
  <c r="C465" i="14"/>
  <c r="E465" i="14"/>
  <c r="G465" i="14" s="1"/>
  <c r="H465" i="14" s="1"/>
  <c r="I465" i="14" s="1"/>
  <c r="C464" i="14"/>
  <c r="E464" i="14"/>
  <c r="G464" i="14" s="1"/>
  <c r="H464" i="14" s="1"/>
  <c r="I464" i="14" s="1"/>
  <c r="C463" i="14"/>
  <c r="E463" i="14"/>
  <c r="G463" i="14" s="1"/>
  <c r="H463" i="14" s="1"/>
  <c r="I463" i="14" s="1"/>
  <c r="C462" i="14"/>
  <c r="E462" i="14"/>
  <c r="G462" i="14" s="1"/>
  <c r="H462" i="14" s="1"/>
  <c r="I462" i="14" s="1"/>
  <c r="C461" i="14"/>
  <c r="E461" i="14"/>
  <c r="G461" i="14" s="1"/>
  <c r="H461" i="14" s="1"/>
  <c r="I461" i="14" s="1"/>
  <c r="C460" i="14"/>
  <c r="E460" i="14"/>
  <c r="G460" i="14" s="1"/>
  <c r="H460" i="14" s="1"/>
  <c r="I460" i="14" s="1"/>
  <c r="C459" i="14"/>
  <c r="E459" i="14"/>
  <c r="G459" i="14" s="1"/>
  <c r="H459" i="14" s="1"/>
  <c r="I459" i="14" s="1"/>
  <c r="C458" i="14"/>
  <c r="E458" i="14"/>
  <c r="G458" i="14" s="1"/>
  <c r="H458" i="14" s="1"/>
  <c r="I458" i="14" s="1"/>
  <c r="C457" i="14"/>
  <c r="E457" i="14"/>
  <c r="G457" i="14" s="1"/>
  <c r="H457" i="14" s="1"/>
  <c r="I457" i="14" s="1"/>
  <c r="C456" i="14"/>
  <c r="E456" i="14"/>
  <c r="G456" i="14" s="1"/>
  <c r="H456" i="14" s="1"/>
  <c r="I456" i="14" s="1"/>
  <c r="C455" i="14"/>
  <c r="E455" i="14"/>
  <c r="G455" i="14" s="1"/>
  <c r="H455" i="14" s="1"/>
  <c r="I455" i="14" s="1"/>
  <c r="C454" i="14"/>
  <c r="E454" i="14"/>
  <c r="G454" i="14" s="1"/>
  <c r="H454" i="14" s="1"/>
  <c r="I454" i="14" s="1"/>
  <c r="C453" i="14"/>
  <c r="E453" i="14"/>
  <c r="G453" i="14" s="1"/>
  <c r="H453" i="14" s="1"/>
  <c r="I453" i="14" s="1"/>
  <c r="C452" i="14"/>
  <c r="E452" i="14"/>
  <c r="G452" i="14" s="1"/>
  <c r="H452" i="14" s="1"/>
  <c r="I452" i="14" s="1"/>
  <c r="C451" i="14"/>
  <c r="E451" i="14"/>
  <c r="G451" i="14" s="1"/>
  <c r="H451" i="14" s="1"/>
  <c r="I451" i="14" s="1"/>
  <c r="C450" i="14"/>
  <c r="E450" i="14"/>
  <c r="G450" i="14" s="1"/>
  <c r="H450" i="14" s="1"/>
  <c r="I450" i="14" s="1"/>
  <c r="C449" i="14"/>
  <c r="E449" i="14"/>
  <c r="G449" i="14" s="1"/>
  <c r="H449" i="14" s="1"/>
  <c r="I449" i="14" s="1"/>
  <c r="C448" i="14"/>
  <c r="E448" i="14"/>
  <c r="G448" i="14" s="1"/>
  <c r="H448" i="14" s="1"/>
  <c r="I448" i="14" s="1"/>
  <c r="E447" i="14"/>
  <c r="G447" i="14" s="1"/>
  <c r="H447" i="14" s="1"/>
  <c r="I447" i="14" s="1"/>
  <c r="C447" i="14"/>
  <c r="C446" i="14"/>
  <c r="E446" i="14"/>
  <c r="G446" i="14" s="1"/>
  <c r="H446" i="14" s="1"/>
  <c r="I446" i="14" s="1"/>
  <c r="C445" i="14"/>
  <c r="E445" i="14"/>
  <c r="G445" i="14" s="1"/>
  <c r="H445" i="14" s="1"/>
  <c r="I445" i="14" s="1"/>
  <c r="E444" i="14"/>
  <c r="G444" i="14" s="1"/>
  <c r="H444" i="14" s="1"/>
  <c r="I444" i="14" s="1"/>
  <c r="C444" i="14"/>
  <c r="E443" i="14"/>
  <c r="G443" i="14" s="1"/>
  <c r="H443" i="14" s="1"/>
  <c r="I443" i="14" s="1"/>
  <c r="C443" i="14"/>
  <c r="E442" i="14"/>
  <c r="G442" i="14" s="1"/>
  <c r="H442" i="14" s="1"/>
  <c r="I442" i="14" s="1"/>
  <c r="C442" i="14"/>
  <c r="C441" i="14"/>
  <c r="E441" i="14"/>
  <c r="G441" i="14" s="1"/>
  <c r="H441" i="14" s="1"/>
  <c r="I441" i="14" s="1"/>
  <c r="E440" i="14"/>
  <c r="G440" i="14" s="1"/>
  <c r="H440" i="14" s="1"/>
  <c r="I440" i="14" s="1"/>
  <c r="C440" i="14"/>
  <c r="C439" i="14"/>
  <c r="E439" i="14"/>
  <c r="G439" i="14" s="1"/>
  <c r="H439" i="14" s="1"/>
  <c r="I439" i="14" s="1"/>
  <c r="C438" i="14"/>
  <c r="E438" i="14"/>
  <c r="G438" i="14" s="1"/>
  <c r="H438" i="14" s="1"/>
  <c r="I438" i="14" s="1"/>
  <c r="C437" i="14"/>
  <c r="E437" i="14"/>
  <c r="G437" i="14" s="1"/>
  <c r="H437" i="14" s="1"/>
  <c r="I437" i="14" s="1"/>
  <c r="C436" i="14"/>
  <c r="E436" i="14"/>
  <c r="G436" i="14" s="1"/>
  <c r="H436" i="14" s="1"/>
  <c r="I436" i="14" s="1"/>
  <c r="C435" i="14"/>
  <c r="E435" i="14"/>
  <c r="G435" i="14" s="1"/>
  <c r="H435" i="14" s="1"/>
  <c r="I435" i="14" s="1"/>
  <c r="C434" i="14"/>
  <c r="E434" i="14"/>
  <c r="G434" i="14" s="1"/>
  <c r="H434" i="14" s="1"/>
  <c r="I434" i="14" s="1"/>
  <c r="C433" i="14"/>
  <c r="E433" i="14"/>
  <c r="G433" i="14" s="1"/>
  <c r="H433" i="14" s="1"/>
  <c r="I433" i="14" s="1"/>
  <c r="C432" i="14"/>
  <c r="E432" i="14"/>
  <c r="G432" i="14" s="1"/>
  <c r="H432" i="14" s="1"/>
  <c r="I432" i="14" s="1"/>
  <c r="E431" i="14"/>
  <c r="G431" i="14" s="1"/>
  <c r="H431" i="14" s="1"/>
  <c r="I431" i="14" s="1"/>
  <c r="C431" i="14"/>
  <c r="C430" i="14"/>
  <c r="E430" i="14"/>
  <c r="G430" i="14" s="1"/>
  <c r="H430" i="14" s="1"/>
  <c r="I430" i="14" s="1"/>
  <c r="C429" i="14"/>
  <c r="E429" i="14"/>
  <c r="G429" i="14" s="1"/>
  <c r="H429" i="14" s="1"/>
  <c r="I429" i="14" s="1"/>
  <c r="C428" i="14"/>
  <c r="E428" i="14"/>
  <c r="G428" i="14" s="1"/>
  <c r="H428" i="14" s="1"/>
  <c r="I428" i="14" s="1"/>
  <c r="C427" i="14"/>
  <c r="E427" i="14"/>
  <c r="G427" i="14" s="1"/>
  <c r="H427" i="14" s="1"/>
  <c r="I427" i="14" s="1"/>
  <c r="C426" i="14"/>
  <c r="E426" i="14"/>
  <c r="G426" i="14" s="1"/>
  <c r="H426" i="14" s="1"/>
  <c r="I426" i="14" s="1"/>
  <c r="C425" i="14"/>
  <c r="E425" i="14"/>
  <c r="G425" i="14" s="1"/>
  <c r="H425" i="14" s="1"/>
  <c r="I425" i="14" s="1"/>
  <c r="C424" i="14"/>
  <c r="E424" i="14"/>
  <c r="G424" i="14" s="1"/>
  <c r="H424" i="14" s="1"/>
  <c r="I424" i="14" s="1"/>
  <c r="C423" i="14"/>
  <c r="E423" i="14"/>
  <c r="G423" i="14" s="1"/>
  <c r="H423" i="14" s="1"/>
  <c r="I423" i="14" s="1"/>
  <c r="E422" i="14"/>
  <c r="G422" i="14" s="1"/>
  <c r="H422" i="14" s="1"/>
  <c r="I422" i="14" s="1"/>
  <c r="C422" i="14"/>
  <c r="C421" i="14"/>
  <c r="E421" i="14"/>
  <c r="G421" i="14" s="1"/>
  <c r="H421" i="14" s="1"/>
  <c r="I421" i="14" s="1"/>
  <c r="C420" i="14"/>
  <c r="E420" i="14"/>
  <c r="G420" i="14" s="1"/>
  <c r="H420" i="14" s="1"/>
  <c r="I420" i="14" s="1"/>
  <c r="C419" i="14"/>
  <c r="E419" i="14"/>
  <c r="G419" i="14" s="1"/>
  <c r="H419" i="14" s="1"/>
  <c r="I419" i="14" s="1"/>
  <c r="C418" i="14"/>
  <c r="E418" i="14"/>
  <c r="G418" i="14" s="1"/>
  <c r="H418" i="14" s="1"/>
  <c r="I418" i="14" s="1"/>
  <c r="C417" i="14"/>
  <c r="E417" i="14"/>
  <c r="G417" i="14" s="1"/>
  <c r="H417" i="14" s="1"/>
  <c r="I417" i="14" s="1"/>
  <c r="C416" i="14"/>
  <c r="E416" i="14"/>
  <c r="G416" i="14" s="1"/>
  <c r="H416" i="14" s="1"/>
  <c r="I416" i="14" s="1"/>
  <c r="C415" i="14"/>
  <c r="E415" i="14"/>
  <c r="G415" i="14" s="1"/>
  <c r="H415" i="14" s="1"/>
  <c r="I415" i="14" s="1"/>
  <c r="C414" i="14"/>
  <c r="E414" i="14"/>
  <c r="G414" i="14" s="1"/>
  <c r="H414" i="14" s="1"/>
  <c r="I414" i="14" s="1"/>
  <c r="C413" i="14"/>
  <c r="E413" i="14"/>
  <c r="G413" i="14" s="1"/>
  <c r="H413" i="14" s="1"/>
  <c r="I413" i="14" s="1"/>
  <c r="C412" i="14"/>
  <c r="E412" i="14"/>
  <c r="G412" i="14" s="1"/>
  <c r="H412" i="14" s="1"/>
  <c r="I412" i="14" s="1"/>
  <c r="C411" i="14"/>
  <c r="E411" i="14"/>
  <c r="G411" i="14" s="1"/>
  <c r="H411" i="14" s="1"/>
  <c r="I411" i="14" s="1"/>
  <c r="C410" i="14"/>
  <c r="E410" i="14"/>
  <c r="G410" i="14" s="1"/>
  <c r="H410" i="14" s="1"/>
  <c r="I410" i="14" s="1"/>
  <c r="C409" i="14"/>
  <c r="E409" i="14"/>
  <c r="G409" i="14" s="1"/>
  <c r="H409" i="14" s="1"/>
  <c r="I409" i="14" s="1"/>
  <c r="C408" i="14"/>
  <c r="E408" i="14"/>
  <c r="G408" i="14" s="1"/>
  <c r="H408" i="14" s="1"/>
  <c r="I408" i="14" s="1"/>
  <c r="C407" i="14"/>
  <c r="E407" i="14"/>
  <c r="G407" i="14" s="1"/>
  <c r="H407" i="14" s="1"/>
  <c r="I407" i="14" s="1"/>
  <c r="C406" i="14"/>
  <c r="E406" i="14"/>
  <c r="G406" i="14" s="1"/>
  <c r="H406" i="14" s="1"/>
  <c r="I406" i="14" s="1"/>
  <c r="C405" i="14"/>
  <c r="E405" i="14"/>
  <c r="G405" i="14" s="1"/>
  <c r="H405" i="14" s="1"/>
  <c r="I405" i="14" s="1"/>
  <c r="E404" i="14"/>
  <c r="G404" i="14" s="1"/>
  <c r="H404" i="14" s="1"/>
  <c r="I404" i="14" s="1"/>
  <c r="C404" i="14"/>
  <c r="C403" i="14"/>
  <c r="E403" i="14"/>
  <c r="G403" i="14" s="1"/>
  <c r="H403" i="14" s="1"/>
  <c r="I403" i="14" s="1"/>
  <c r="C402" i="14"/>
  <c r="E402" i="14"/>
  <c r="G402" i="14" s="1"/>
  <c r="H402" i="14" s="1"/>
  <c r="I402" i="14" s="1"/>
  <c r="C401" i="14"/>
  <c r="E401" i="14"/>
  <c r="G401" i="14" s="1"/>
  <c r="H401" i="14" s="1"/>
  <c r="I401" i="14" s="1"/>
  <c r="C400" i="14"/>
  <c r="E400" i="14"/>
  <c r="G400" i="14" s="1"/>
  <c r="H400" i="14" s="1"/>
  <c r="I400" i="14" s="1"/>
  <c r="C399" i="14"/>
  <c r="E399" i="14"/>
  <c r="G399" i="14" s="1"/>
  <c r="H399" i="14" s="1"/>
  <c r="I399" i="14" s="1"/>
  <c r="C398" i="14"/>
  <c r="E398" i="14"/>
  <c r="G398" i="14" s="1"/>
  <c r="H398" i="14" s="1"/>
  <c r="I398" i="14" s="1"/>
  <c r="C397" i="14"/>
  <c r="E397" i="14"/>
  <c r="G397" i="14" s="1"/>
  <c r="H397" i="14" s="1"/>
  <c r="I397" i="14" s="1"/>
  <c r="C396" i="14"/>
  <c r="E396" i="14"/>
  <c r="G396" i="14" s="1"/>
  <c r="H396" i="14" s="1"/>
  <c r="I396" i="14" s="1"/>
  <c r="C395" i="14"/>
  <c r="E395" i="14"/>
  <c r="G395" i="14" s="1"/>
  <c r="H395" i="14" s="1"/>
  <c r="I395" i="14" s="1"/>
  <c r="C394" i="14"/>
  <c r="E394" i="14"/>
  <c r="G394" i="14" s="1"/>
  <c r="H394" i="14" s="1"/>
  <c r="I394" i="14" s="1"/>
  <c r="C393" i="14"/>
  <c r="E393" i="14"/>
  <c r="G393" i="14" s="1"/>
  <c r="H393" i="14" s="1"/>
  <c r="I393" i="14" s="1"/>
  <c r="C392" i="14"/>
  <c r="E392" i="14"/>
  <c r="G392" i="14" s="1"/>
  <c r="H392" i="14" s="1"/>
  <c r="I392" i="14" s="1"/>
  <c r="C391" i="14"/>
  <c r="E391" i="14"/>
  <c r="G391" i="14" s="1"/>
  <c r="H391" i="14" s="1"/>
  <c r="I391" i="14" s="1"/>
  <c r="C390" i="14"/>
  <c r="E390" i="14"/>
  <c r="G390" i="14" s="1"/>
  <c r="H390" i="14" s="1"/>
  <c r="I390" i="14" s="1"/>
  <c r="C389" i="14"/>
  <c r="E389" i="14"/>
  <c r="G389" i="14" s="1"/>
  <c r="H389" i="14" s="1"/>
  <c r="I389" i="14" s="1"/>
  <c r="C388" i="14"/>
  <c r="E388" i="14"/>
  <c r="G388" i="14" s="1"/>
  <c r="H388" i="14" s="1"/>
  <c r="I388" i="14" s="1"/>
  <c r="C387" i="14"/>
  <c r="E387" i="14"/>
  <c r="G387" i="14" s="1"/>
  <c r="H387" i="14" s="1"/>
  <c r="I387" i="14" s="1"/>
  <c r="C386" i="14"/>
  <c r="E386" i="14"/>
  <c r="G386" i="14" s="1"/>
  <c r="H386" i="14" s="1"/>
  <c r="I386" i="14" s="1"/>
  <c r="C385" i="14"/>
  <c r="E385" i="14"/>
  <c r="G385" i="14" s="1"/>
  <c r="H385" i="14" s="1"/>
  <c r="I385" i="14" s="1"/>
  <c r="C384" i="14"/>
  <c r="E384" i="14"/>
  <c r="G384" i="14" s="1"/>
  <c r="H384" i="14" s="1"/>
  <c r="I384" i="14" s="1"/>
  <c r="C14" i="14"/>
  <c r="D14" i="14" s="1"/>
  <c r="E14" i="14"/>
  <c r="G14" i="14" s="1"/>
  <c r="H14" i="14" s="1"/>
  <c r="I14" i="14" s="1"/>
  <c r="C1013" i="14"/>
  <c r="E1013" i="14"/>
  <c r="G1013" i="14" s="1"/>
  <c r="H1013" i="14" s="1"/>
  <c r="I1013" i="14" s="1"/>
  <c r="C1012" i="14"/>
  <c r="E1012" i="14"/>
  <c r="G1012" i="14" s="1"/>
  <c r="H1012" i="14" s="1"/>
  <c r="I1012" i="14" s="1"/>
  <c r="C1010" i="14"/>
  <c r="E1010" i="14"/>
  <c r="G1010" i="14" s="1"/>
  <c r="H1010" i="14" s="1"/>
  <c r="I1010" i="14" s="1"/>
  <c r="C1009" i="14"/>
  <c r="E1009" i="14"/>
  <c r="G1009" i="14" s="1"/>
  <c r="H1009" i="14" s="1"/>
  <c r="I1009" i="14" s="1"/>
  <c r="C1007" i="14"/>
  <c r="E1007" i="14"/>
  <c r="G1007" i="14" s="1"/>
  <c r="H1007" i="14" s="1"/>
  <c r="I1007" i="14" s="1"/>
  <c r="C1001" i="14"/>
  <c r="E1001" i="14"/>
  <c r="G1001" i="14" s="1"/>
  <c r="H1001" i="14" s="1"/>
  <c r="I1001" i="14" s="1"/>
  <c r="C1000" i="14"/>
  <c r="E1000" i="14"/>
  <c r="G1000" i="14" s="1"/>
  <c r="H1000" i="14" s="1"/>
  <c r="I1000" i="14" s="1"/>
  <c r="C999" i="14"/>
  <c r="E999" i="14"/>
  <c r="G999" i="14" s="1"/>
  <c r="H999" i="14" s="1"/>
  <c r="I999" i="14" s="1"/>
  <c r="C992" i="14"/>
  <c r="E992" i="14"/>
  <c r="G992" i="14" s="1"/>
  <c r="H992" i="14" s="1"/>
  <c r="I992" i="14" s="1"/>
  <c r="C990" i="14"/>
  <c r="E990" i="14"/>
  <c r="G990" i="14" s="1"/>
  <c r="H990" i="14" s="1"/>
  <c r="I990" i="14" s="1"/>
  <c r="C987" i="14"/>
  <c r="E987" i="14"/>
  <c r="G987" i="14" s="1"/>
  <c r="H987" i="14" s="1"/>
  <c r="I987" i="14" s="1"/>
  <c r="C986" i="14"/>
  <c r="E986" i="14"/>
  <c r="G986" i="14" s="1"/>
  <c r="H986" i="14" s="1"/>
  <c r="I986" i="14" s="1"/>
  <c r="C984" i="14"/>
  <c r="E984" i="14"/>
  <c r="G984" i="14" s="1"/>
  <c r="H984" i="14" s="1"/>
  <c r="I984" i="14" s="1"/>
  <c r="C981" i="14"/>
  <c r="E981" i="14"/>
  <c r="G981" i="14" s="1"/>
  <c r="H981" i="14" s="1"/>
  <c r="I981" i="14" s="1"/>
  <c r="E979" i="14"/>
  <c r="G979" i="14" s="1"/>
  <c r="H979" i="14" s="1"/>
  <c r="I979" i="14" s="1"/>
  <c r="C979" i="14"/>
  <c r="C976" i="14"/>
  <c r="E976" i="14"/>
  <c r="G976" i="14" s="1"/>
  <c r="H976" i="14" s="1"/>
  <c r="I976" i="14" s="1"/>
  <c r="C975" i="14"/>
  <c r="E975" i="14"/>
  <c r="G975" i="14" s="1"/>
  <c r="H975" i="14" s="1"/>
  <c r="I975" i="14" s="1"/>
  <c r="C974" i="14"/>
  <c r="E974" i="14"/>
  <c r="G974" i="14" s="1"/>
  <c r="H974" i="14" s="1"/>
  <c r="I974" i="14" s="1"/>
  <c r="C969" i="14"/>
  <c r="E969" i="14"/>
  <c r="G969" i="14" s="1"/>
  <c r="H969" i="14" s="1"/>
  <c r="I969" i="14" s="1"/>
  <c r="C965" i="14"/>
  <c r="E965" i="14"/>
  <c r="G965" i="14" s="1"/>
  <c r="H965" i="14" s="1"/>
  <c r="I965" i="14" s="1"/>
  <c r="C964" i="14"/>
  <c r="E964" i="14"/>
  <c r="G964" i="14" s="1"/>
  <c r="H964" i="14" s="1"/>
  <c r="I964" i="14" s="1"/>
  <c r="C963" i="14"/>
  <c r="E963" i="14"/>
  <c r="G963" i="14" s="1"/>
  <c r="H963" i="14" s="1"/>
  <c r="I963" i="14" s="1"/>
  <c r="C962" i="14"/>
  <c r="E962" i="14"/>
  <c r="G962" i="14" s="1"/>
  <c r="H962" i="14" s="1"/>
  <c r="I962" i="14" s="1"/>
  <c r="C961" i="14"/>
  <c r="E961" i="14"/>
  <c r="G961" i="14" s="1"/>
  <c r="H961" i="14" s="1"/>
  <c r="I961" i="14" s="1"/>
  <c r="C959" i="14"/>
  <c r="E959" i="14"/>
  <c r="G959" i="14" s="1"/>
  <c r="H959" i="14" s="1"/>
  <c r="I959" i="14" s="1"/>
  <c r="C957" i="14"/>
  <c r="E957" i="14"/>
  <c r="G957" i="14" s="1"/>
  <c r="H957" i="14" s="1"/>
  <c r="I957" i="14" s="1"/>
  <c r="C956" i="14"/>
  <c r="E956" i="14"/>
  <c r="G956" i="14" s="1"/>
  <c r="H956" i="14" s="1"/>
  <c r="I956" i="14" s="1"/>
  <c r="C953" i="14"/>
  <c r="E953" i="14"/>
  <c r="G953" i="14" s="1"/>
  <c r="H953" i="14" s="1"/>
  <c r="I953" i="14" s="1"/>
  <c r="C951" i="14"/>
  <c r="E951" i="14"/>
  <c r="G951" i="14" s="1"/>
  <c r="H951" i="14" s="1"/>
  <c r="I951" i="14" s="1"/>
  <c r="C950" i="14"/>
  <c r="E950" i="14"/>
  <c r="G950" i="14" s="1"/>
  <c r="H950" i="14" s="1"/>
  <c r="I950" i="14" s="1"/>
  <c r="C949" i="14"/>
  <c r="E949" i="14"/>
  <c r="G949" i="14" s="1"/>
  <c r="H949" i="14" s="1"/>
  <c r="I949" i="14" s="1"/>
  <c r="C947" i="14"/>
  <c r="E947" i="14"/>
  <c r="G947" i="14" s="1"/>
  <c r="H947" i="14" s="1"/>
  <c r="I947" i="14" s="1"/>
  <c r="C946" i="14"/>
  <c r="E946" i="14"/>
  <c r="G946" i="14" s="1"/>
  <c r="H946" i="14" s="1"/>
  <c r="I946" i="14" s="1"/>
  <c r="C945" i="14"/>
  <c r="E945" i="14"/>
  <c r="G945" i="14" s="1"/>
  <c r="H945" i="14" s="1"/>
  <c r="I945" i="14" s="1"/>
  <c r="C944" i="14"/>
  <c r="E944" i="14"/>
  <c r="G944" i="14" s="1"/>
  <c r="H944" i="14" s="1"/>
  <c r="I944" i="14" s="1"/>
  <c r="C941" i="14"/>
  <c r="E941" i="14"/>
  <c r="G941" i="14" s="1"/>
  <c r="H941" i="14" s="1"/>
  <c r="I941" i="14" s="1"/>
  <c r="C940" i="14"/>
  <c r="E940" i="14"/>
  <c r="G940" i="14" s="1"/>
  <c r="H940" i="14" s="1"/>
  <c r="I940" i="14" s="1"/>
  <c r="C935" i="14"/>
  <c r="E935" i="14"/>
  <c r="G935" i="14" s="1"/>
  <c r="H935" i="14" s="1"/>
  <c r="I935" i="14" s="1"/>
  <c r="C934" i="14"/>
  <c r="E934" i="14"/>
  <c r="G934" i="14" s="1"/>
  <c r="H934" i="14" s="1"/>
  <c r="I934" i="14" s="1"/>
  <c r="C933" i="14"/>
  <c r="E933" i="14"/>
  <c r="G933" i="14" s="1"/>
  <c r="H933" i="14" s="1"/>
  <c r="I933" i="14" s="1"/>
  <c r="C932" i="14"/>
  <c r="E932" i="14"/>
  <c r="G932" i="14" s="1"/>
  <c r="H932" i="14" s="1"/>
  <c r="I932" i="14" s="1"/>
  <c r="C930" i="14"/>
  <c r="E930" i="14"/>
  <c r="G930" i="14" s="1"/>
  <c r="H930" i="14" s="1"/>
  <c r="I930" i="14" s="1"/>
  <c r="C927" i="14"/>
  <c r="E927" i="14"/>
  <c r="G927" i="14" s="1"/>
  <c r="H927" i="14" s="1"/>
  <c r="I927" i="14" s="1"/>
  <c r="C926" i="14"/>
  <c r="E926" i="14"/>
  <c r="G926" i="14" s="1"/>
  <c r="H926" i="14" s="1"/>
  <c r="I926" i="14" s="1"/>
  <c r="C925" i="14"/>
  <c r="E925" i="14"/>
  <c r="G925" i="14" s="1"/>
  <c r="H925" i="14" s="1"/>
  <c r="I925" i="14" s="1"/>
  <c r="C924" i="14"/>
  <c r="E924" i="14"/>
  <c r="G924" i="14" s="1"/>
  <c r="H924" i="14" s="1"/>
  <c r="I924" i="14" s="1"/>
  <c r="C921" i="14"/>
  <c r="E921" i="14"/>
  <c r="G921" i="14" s="1"/>
  <c r="H921" i="14" s="1"/>
  <c r="I921" i="14" s="1"/>
  <c r="C919" i="14"/>
  <c r="E919" i="14"/>
  <c r="G919" i="14" s="1"/>
  <c r="H919" i="14" s="1"/>
  <c r="I919" i="14" s="1"/>
  <c r="C917" i="14"/>
  <c r="E917" i="14"/>
  <c r="G917" i="14" s="1"/>
  <c r="H917" i="14" s="1"/>
  <c r="I917" i="14" s="1"/>
  <c r="C916" i="14"/>
  <c r="E916" i="14"/>
  <c r="G916" i="14" s="1"/>
  <c r="H916" i="14" s="1"/>
  <c r="I916" i="14" s="1"/>
  <c r="C915" i="14"/>
  <c r="E915" i="14"/>
  <c r="G915" i="14" s="1"/>
  <c r="H915" i="14" s="1"/>
  <c r="I915" i="14" s="1"/>
  <c r="C912" i="14"/>
  <c r="E912" i="14"/>
  <c r="G912" i="14" s="1"/>
  <c r="H912" i="14" s="1"/>
  <c r="I912" i="14" s="1"/>
  <c r="C911" i="14"/>
  <c r="E911" i="14"/>
  <c r="G911" i="14" s="1"/>
  <c r="H911" i="14" s="1"/>
  <c r="I911" i="14" s="1"/>
  <c r="C910" i="14"/>
  <c r="E910" i="14"/>
  <c r="G910" i="14" s="1"/>
  <c r="H910" i="14" s="1"/>
  <c r="I910" i="14" s="1"/>
  <c r="C908" i="14"/>
  <c r="E908" i="14"/>
  <c r="G908" i="14" s="1"/>
  <c r="H908" i="14" s="1"/>
  <c r="I908" i="14" s="1"/>
  <c r="C15" i="14"/>
  <c r="D15" i="14" s="1"/>
  <c r="E15" i="14"/>
  <c r="G15" i="14" s="1"/>
  <c r="H15" i="14" s="1"/>
  <c r="I15" i="14" s="1"/>
  <c r="C904" i="14"/>
  <c r="E904" i="14"/>
  <c r="G904" i="14" s="1"/>
  <c r="H904" i="14" s="1"/>
  <c r="I904" i="14" s="1"/>
  <c r="C903" i="14"/>
  <c r="E903" i="14"/>
  <c r="G903" i="14" s="1"/>
  <c r="H903" i="14" s="1"/>
  <c r="I903" i="14" s="1"/>
  <c r="C853" i="14"/>
  <c r="E853" i="14"/>
  <c r="G853" i="14" s="1"/>
  <c r="H853" i="14" s="1"/>
  <c r="I853" i="14" s="1"/>
  <c r="C851" i="14"/>
  <c r="E851" i="14"/>
  <c r="G851" i="14" s="1"/>
  <c r="H851" i="14" s="1"/>
  <c r="I851" i="14" s="1"/>
  <c r="C848" i="14"/>
  <c r="E848" i="14"/>
  <c r="G848" i="14" s="1"/>
  <c r="H848" i="14" s="1"/>
  <c r="I848" i="14" s="1"/>
  <c r="C846" i="14"/>
  <c r="E846" i="14"/>
  <c r="G846" i="14" s="1"/>
  <c r="H846" i="14" s="1"/>
  <c r="I846" i="14" s="1"/>
  <c r="C844" i="14"/>
  <c r="E844" i="14"/>
  <c r="G844" i="14" s="1"/>
  <c r="H844" i="14" s="1"/>
  <c r="I844" i="14" s="1"/>
  <c r="C841" i="14"/>
  <c r="E841" i="14"/>
  <c r="G841" i="14" s="1"/>
  <c r="H841" i="14" s="1"/>
  <c r="I841" i="14" s="1"/>
  <c r="C839" i="14"/>
  <c r="E839" i="14"/>
  <c r="G839" i="14" s="1"/>
  <c r="H839" i="14" s="1"/>
  <c r="I839" i="14" s="1"/>
  <c r="C837" i="14"/>
  <c r="E837" i="14"/>
  <c r="G837" i="14" s="1"/>
  <c r="H837" i="14" s="1"/>
  <c r="I837" i="14" s="1"/>
  <c r="C834" i="14"/>
  <c r="E834" i="14"/>
  <c r="G834" i="14" s="1"/>
  <c r="H834" i="14" s="1"/>
  <c r="I834" i="14" s="1"/>
  <c r="C833" i="14"/>
  <c r="E833" i="14"/>
  <c r="G833" i="14" s="1"/>
  <c r="H833" i="14" s="1"/>
  <c r="I833" i="14" s="1"/>
  <c r="C830" i="14"/>
  <c r="E830" i="14"/>
  <c r="G830" i="14" s="1"/>
  <c r="H830" i="14" s="1"/>
  <c r="I830" i="14" s="1"/>
  <c r="C826" i="14"/>
  <c r="E826" i="14"/>
  <c r="G826" i="14" s="1"/>
  <c r="H826" i="14" s="1"/>
  <c r="I826" i="14" s="1"/>
  <c r="C825" i="14"/>
  <c r="E825" i="14"/>
  <c r="G825" i="14" s="1"/>
  <c r="H825" i="14" s="1"/>
  <c r="I825" i="14" s="1"/>
  <c r="C824" i="14"/>
  <c r="E824" i="14"/>
  <c r="G824" i="14" s="1"/>
  <c r="H824" i="14" s="1"/>
  <c r="I824" i="14" s="1"/>
  <c r="C823" i="14"/>
  <c r="E823" i="14"/>
  <c r="G823" i="14" s="1"/>
  <c r="H823" i="14" s="1"/>
  <c r="I823" i="14" s="1"/>
  <c r="C822" i="14"/>
  <c r="E822" i="14"/>
  <c r="G822" i="14" s="1"/>
  <c r="H822" i="14" s="1"/>
  <c r="I822" i="14" s="1"/>
  <c r="C820" i="14"/>
  <c r="E820" i="14"/>
  <c r="G820" i="14" s="1"/>
  <c r="H820" i="14" s="1"/>
  <c r="I820" i="14" s="1"/>
  <c r="C819" i="14"/>
  <c r="E819" i="14"/>
  <c r="G819" i="14" s="1"/>
  <c r="H819" i="14" s="1"/>
  <c r="I819" i="14" s="1"/>
  <c r="C818" i="14"/>
  <c r="E818" i="14"/>
  <c r="G818" i="14" s="1"/>
  <c r="H818" i="14" s="1"/>
  <c r="I818" i="14" s="1"/>
  <c r="C816" i="14"/>
  <c r="E816" i="14"/>
  <c r="G816" i="14" s="1"/>
  <c r="H816" i="14" s="1"/>
  <c r="I816" i="14" s="1"/>
  <c r="C814" i="14"/>
  <c r="E814" i="14"/>
  <c r="G814" i="14" s="1"/>
  <c r="H814" i="14" s="1"/>
  <c r="I814" i="14" s="1"/>
  <c r="C25" i="14"/>
  <c r="E25" i="14"/>
  <c r="G25" i="14" s="1"/>
  <c r="H25" i="14" s="1"/>
  <c r="I25" i="14" s="1"/>
  <c r="C22" i="14"/>
  <c r="E22" i="14"/>
  <c r="G22" i="14" s="1"/>
  <c r="H22" i="14" s="1"/>
  <c r="I22" i="14" s="1"/>
  <c r="C20" i="14"/>
  <c r="E20" i="14"/>
  <c r="G20" i="14" s="1"/>
  <c r="H20" i="14" s="1"/>
  <c r="I20" i="14" s="1"/>
  <c r="C19" i="14"/>
  <c r="E19" i="14"/>
  <c r="G19" i="14" s="1"/>
  <c r="H19" i="14" s="1"/>
  <c r="I19" i="14" s="1"/>
  <c r="C17" i="14"/>
  <c r="E17" i="14"/>
  <c r="G17" i="14" s="1"/>
  <c r="H17" i="14" s="1"/>
  <c r="I17" i="14" s="1"/>
  <c r="C906" i="14"/>
  <c r="E906" i="14"/>
  <c r="G906" i="14" s="1"/>
  <c r="H906" i="14" s="1"/>
  <c r="I906" i="14" s="1"/>
  <c r="E909" i="14"/>
  <c r="G909" i="14" s="1"/>
  <c r="H909" i="14" s="1"/>
  <c r="I909" i="14" s="1"/>
  <c r="C909" i="14"/>
  <c r="C598" i="14"/>
  <c r="E598" i="14"/>
  <c r="G598" i="14" s="1"/>
  <c r="H598" i="14" s="1"/>
  <c r="I598" i="14" s="1"/>
  <c r="E597" i="14"/>
  <c r="G597" i="14" s="1"/>
  <c r="H597" i="14" s="1"/>
  <c r="I597" i="14" s="1"/>
  <c r="C597" i="14"/>
  <c r="C596" i="14"/>
  <c r="E596" i="14"/>
  <c r="G596" i="14" s="1"/>
  <c r="H596" i="14" s="1"/>
  <c r="I596" i="14" s="1"/>
  <c r="E595" i="14"/>
  <c r="G595" i="14" s="1"/>
  <c r="H595" i="14" s="1"/>
  <c r="I595" i="14" s="1"/>
  <c r="C595" i="14"/>
  <c r="E594" i="14"/>
  <c r="G594" i="14" s="1"/>
  <c r="H594" i="14" s="1"/>
  <c r="I594" i="14" s="1"/>
  <c r="C594" i="14"/>
  <c r="E593" i="14"/>
  <c r="G593" i="14" s="1"/>
  <c r="H593" i="14" s="1"/>
  <c r="I593" i="14" s="1"/>
  <c r="C593" i="14"/>
  <c r="E592" i="14"/>
  <c r="G592" i="14" s="1"/>
  <c r="H592" i="14" s="1"/>
  <c r="I592" i="14" s="1"/>
  <c r="C592" i="14"/>
  <c r="E591" i="14"/>
  <c r="G591" i="14" s="1"/>
  <c r="H591" i="14" s="1"/>
  <c r="I591" i="14" s="1"/>
  <c r="C591" i="14"/>
  <c r="E590" i="14"/>
  <c r="G590" i="14" s="1"/>
  <c r="H590" i="14" s="1"/>
  <c r="I590" i="14" s="1"/>
  <c r="C590" i="14"/>
  <c r="C589" i="14"/>
  <c r="E589" i="14"/>
  <c r="G589" i="14" s="1"/>
  <c r="H589" i="14" s="1"/>
  <c r="I589" i="14" s="1"/>
  <c r="E588" i="14"/>
  <c r="G588" i="14" s="1"/>
  <c r="H588" i="14" s="1"/>
  <c r="I588" i="14" s="1"/>
  <c r="C588" i="14"/>
  <c r="E587" i="14"/>
  <c r="G587" i="14" s="1"/>
  <c r="H587" i="14" s="1"/>
  <c r="I587" i="14" s="1"/>
  <c r="C587" i="14"/>
  <c r="C586" i="14"/>
  <c r="E586" i="14"/>
  <c r="G586" i="14" s="1"/>
  <c r="H586" i="14" s="1"/>
  <c r="I586" i="14" s="1"/>
  <c r="C585" i="14"/>
  <c r="E585" i="14"/>
  <c r="G585" i="14" s="1"/>
  <c r="H585" i="14" s="1"/>
  <c r="I585" i="14" s="1"/>
  <c r="C584" i="14"/>
  <c r="E584" i="14"/>
  <c r="G584" i="14" s="1"/>
  <c r="H584" i="14" s="1"/>
  <c r="I584" i="14" s="1"/>
  <c r="C583" i="14"/>
  <c r="E583" i="14"/>
  <c r="G583" i="14" s="1"/>
  <c r="H583" i="14" s="1"/>
  <c r="I583" i="14" s="1"/>
  <c r="E582" i="14"/>
  <c r="G582" i="14" s="1"/>
  <c r="H582" i="14" s="1"/>
  <c r="I582" i="14" s="1"/>
  <c r="C582" i="14"/>
  <c r="C581" i="14"/>
  <c r="E581" i="14"/>
  <c r="G581" i="14" s="1"/>
  <c r="H581" i="14" s="1"/>
  <c r="I581" i="14" s="1"/>
  <c r="C580" i="14"/>
  <c r="E580" i="14"/>
  <c r="G580" i="14" s="1"/>
  <c r="H580" i="14" s="1"/>
  <c r="I580" i="14" s="1"/>
  <c r="E579" i="14"/>
  <c r="G579" i="14" s="1"/>
  <c r="H579" i="14" s="1"/>
  <c r="I579" i="14" s="1"/>
  <c r="C579" i="14"/>
  <c r="E578" i="14"/>
  <c r="G578" i="14" s="1"/>
  <c r="H578" i="14" s="1"/>
  <c r="I578" i="14" s="1"/>
  <c r="C578" i="14"/>
  <c r="E577" i="14"/>
  <c r="G577" i="14" s="1"/>
  <c r="H577" i="14" s="1"/>
  <c r="I577" i="14" s="1"/>
  <c r="C577" i="14"/>
  <c r="E576" i="14"/>
  <c r="G576" i="14" s="1"/>
  <c r="H576" i="14" s="1"/>
  <c r="I576" i="14" s="1"/>
  <c r="C576" i="14"/>
  <c r="C575" i="14"/>
  <c r="E575" i="14"/>
  <c r="G575" i="14" s="1"/>
  <c r="H575" i="14" s="1"/>
  <c r="I575" i="14" s="1"/>
  <c r="E574" i="14"/>
  <c r="G574" i="14" s="1"/>
  <c r="H574" i="14" s="1"/>
  <c r="I574" i="14" s="1"/>
  <c r="C574" i="14"/>
  <c r="C573" i="14"/>
  <c r="E573" i="14"/>
  <c r="G573" i="14" s="1"/>
  <c r="H573" i="14" s="1"/>
  <c r="I573" i="14" s="1"/>
  <c r="C572" i="14"/>
  <c r="E572" i="14"/>
  <c r="G572" i="14" s="1"/>
  <c r="H572" i="14" s="1"/>
  <c r="I572" i="14" s="1"/>
  <c r="C571" i="14"/>
  <c r="E571" i="14"/>
  <c r="G571" i="14" s="1"/>
  <c r="H571" i="14" s="1"/>
  <c r="I571" i="14" s="1"/>
  <c r="C570" i="14"/>
  <c r="E570" i="14"/>
  <c r="G570" i="14" s="1"/>
  <c r="H570" i="14" s="1"/>
  <c r="I570" i="14" s="1"/>
  <c r="C569" i="14"/>
  <c r="E569" i="14"/>
  <c r="G569" i="14" s="1"/>
  <c r="H569" i="14" s="1"/>
  <c r="I569" i="14" s="1"/>
  <c r="C568" i="14"/>
  <c r="E568" i="14"/>
  <c r="G568" i="14" s="1"/>
  <c r="H568" i="14" s="1"/>
  <c r="I568" i="14" s="1"/>
  <c r="C567" i="14"/>
  <c r="E567" i="14"/>
  <c r="G567" i="14" s="1"/>
  <c r="H567" i="14" s="1"/>
  <c r="I567" i="14" s="1"/>
  <c r="C566" i="14"/>
  <c r="E566" i="14"/>
  <c r="G566" i="14" s="1"/>
  <c r="H566" i="14" s="1"/>
  <c r="I566" i="14" s="1"/>
  <c r="C565" i="14"/>
  <c r="E565" i="14"/>
  <c r="G565" i="14" s="1"/>
  <c r="H565" i="14" s="1"/>
  <c r="I565" i="14" s="1"/>
  <c r="C564" i="14"/>
  <c r="E564" i="14"/>
  <c r="G564" i="14" s="1"/>
  <c r="H564" i="14" s="1"/>
  <c r="I564" i="14" s="1"/>
  <c r="C563" i="14"/>
  <c r="E563" i="14"/>
  <c r="G563" i="14" s="1"/>
  <c r="H563" i="14" s="1"/>
  <c r="I563" i="14" s="1"/>
  <c r="C562" i="14"/>
  <c r="E562" i="14"/>
  <c r="G562" i="14" s="1"/>
  <c r="H562" i="14" s="1"/>
  <c r="I562" i="14" s="1"/>
  <c r="C561" i="14"/>
  <c r="E561" i="14"/>
  <c r="G561" i="14" s="1"/>
  <c r="H561" i="14" s="1"/>
  <c r="I561" i="14" s="1"/>
  <c r="C560" i="14"/>
  <c r="E560" i="14"/>
  <c r="G560" i="14" s="1"/>
  <c r="H560" i="14" s="1"/>
  <c r="I560" i="14" s="1"/>
  <c r="C559" i="14"/>
  <c r="E559" i="14"/>
  <c r="G559" i="14" s="1"/>
  <c r="H559" i="14" s="1"/>
  <c r="I559" i="14" s="1"/>
  <c r="C558" i="14"/>
  <c r="E558" i="14"/>
  <c r="G558" i="14" s="1"/>
  <c r="H558" i="14" s="1"/>
  <c r="I558" i="14" s="1"/>
  <c r="C557" i="14"/>
  <c r="E557" i="14"/>
  <c r="G557" i="14" s="1"/>
  <c r="H557" i="14" s="1"/>
  <c r="I557" i="14" s="1"/>
  <c r="C556" i="14"/>
  <c r="E556" i="14"/>
  <c r="G556" i="14" s="1"/>
  <c r="H556" i="14" s="1"/>
  <c r="I556" i="14" s="1"/>
  <c r="C555" i="14"/>
  <c r="E555" i="14"/>
  <c r="G555" i="14" s="1"/>
  <c r="H555" i="14" s="1"/>
  <c r="I555" i="14" s="1"/>
  <c r="C554" i="14"/>
  <c r="E554" i="14"/>
  <c r="G554" i="14" s="1"/>
  <c r="H554" i="14" s="1"/>
  <c r="I554" i="14" s="1"/>
  <c r="C553" i="14"/>
  <c r="E553" i="14"/>
  <c r="G553" i="14" s="1"/>
  <c r="H553" i="14" s="1"/>
  <c r="I553" i="14" s="1"/>
  <c r="E552" i="14"/>
  <c r="G552" i="14" s="1"/>
  <c r="H552" i="14" s="1"/>
  <c r="I552" i="14" s="1"/>
  <c r="C552" i="14"/>
  <c r="E551" i="14"/>
  <c r="G551" i="14" s="1"/>
  <c r="H551" i="14" s="1"/>
  <c r="I551" i="14" s="1"/>
  <c r="C551" i="14"/>
  <c r="C550" i="14"/>
  <c r="E550" i="14"/>
  <c r="G550" i="14" s="1"/>
  <c r="H550" i="14" s="1"/>
  <c r="I550" i="14" s="1"/>
  <c r="C549" i="14"/>
  <c r="E549" i="14"/>
  <c r="G549" i="14" s="1"/>
  <c r="H549" i="14" s="1"/>
  <c r="I549" i="14" s="1"/>
  <c r="C548" i="14"/>
  <c r="E548" i="14"/>
  <c r="G548" i="14" s="1"/>
  <c r="H548" i="14" s="1"/>
  <c r="I548" i="14" s="1"/>
  <c r="C547" i="14"/>
  <c r="E547" i="14"/>
  <c r="G547" i="14" s="1"/>
  <c r="H547" i="14" s="1"/>
  <c r="I547" i="14" s="1"/>
  <c r="C546" i="14"/>
  <c r="E546" i="14"/>
  <c r="G546" i="14" s="1"/>
  <c r="H546" i="14" s="1"/>
  <c r="I546" i="14" s="1"/>
  <c r="C545" i="14"/>
  <c r="E545" i="14"/>
  <c r="G545" i="14" s="1"/>
  <c r="H545" i="14" s="1"/>
  <c r="I545" i="14" s="1"/>
  <c r="C544" i="14"/>
  <c r="E544" i="14"/>
  <c r="G544" i="14" s="1"/>
  <c r="H544" i="14" s="1"/>
  <c r="I544" i="14" s="1"/>
  <c r="C543" i="14"/>
  <c r="E543" i="14"/>
  <c r="G543" i="14" s="1"/>
  <c r="H543" i="14" s="1"/>
  <c r="I543" i="14" s="1"/>
  <c r="C542" i="14"/>
  <c r="E542" i="14"/>
  <c r="G542" i="14" s="1"/>
  <c r="H542" i="14" s="1"/>
  <c r="I542" i="14" s="1"/>
  <c r="E541" i="14"/>
  <c r="G541" i="14" s="1"/>
  <c r="H541" i="14" s="1"/>
  <c r="I541" i="14" s="1"/>
  <c r="C541" i="14"/>
  <c r="C540" i="14"/>
  <c r="E540" i="14"/>
  <c r="G540" i="14" s="1"/>
  <c r="H540" i="14" s="1"/>
  <c r="I540" i="14" s="1"/>
  <c r="C539" i="14"/>
  <c r="E539" i="14"/>
  <c r="G539" i="14" s="1"/>
  <c r="H539" i="14" s="1"/>
  <c r="I539" i="14" s="1"/>
  <c r="E538" i="14"/>
  <c r="G538" i="14" s="1"/>
  <c r="H538" i="14" s="1"/>
  <c r="I538" i="14" s="1"/>
  <c r="C538" i="14"/>
  <c r="E537" i="14"/>
  <c r="G537" i="14" s="1"/>
  <c r="H537" i="14" s="1"/>
  <c r="I537" i="14" s="1"/>
  <c r="C537" i="14"/>
  <c r="C536" i="14"/>
  <c r="E536" i="14"/>
  <c r="G536" i="14" s="1"/>
  <c r="H536" i="14" s="1"/>
  <c r="I536" i="14" s="1"/>
  <c r="C535" i="14"/>
  <c r="E535" i="14"/>
  <c r="G535" i="14" s="1"/>
  <c r="H535" i="14" s="1"/>
  <c r="I535" i="14" s="1"/>
  <c r="C534" i="14"/>
  <c r="E534" i="14"/>
  <c r="G534" i="14" s="1"/>
  <c r="H534" i="14" s="1"/>
  <c r="I534" i="14" s="1"/>
  <c r="E533" i="14"/>
  <c r="G533" i="14" s="1"/>
  <c r="H533" i="14" s="1"/>
  <c r="I533" i="14" s="1"/>
  <c r="C533" i="14"/>
  <c r="E881" i="14"/>
  <c r="G881" i="14" s="1"/>
  <c r="H881" i="14" s="1"/>
  <c r="I881" i="14" s="1"/>
  <c r="C881" i="14"/>
  <c r="C869" i="14"/>
  <c r="E869" i="14"/>
  <c r="G869" i="14" s="1"/>
  <c r="H869" i="14" s="1"/>
  <c r="I869" i="14" s="1"/>
  <c r="E864" i="14"/>
  <c r="G864" i="14" s="1"/>
  <c r="H864" i="14" s="1"/>
  <c r="I864" i="14" s="1"/>
  <c r="C864" i="14"/>
  <c r="E861" i="14"/>
  <c r="G861" i="14" s="1"/>
  <c r="H861" i="14" s="1"/>
  <c r="I861" i="14" s="1"/>
  <c r="C861" i="14"/>
  <c r="C779" i="14"/>
  <c r="E779" i="14"/>
  <c r="G779" i="14" s="1"/>
  <c r="H779" i="14" s="1"/>
  <c r="I779" i="14" s="1"/>
  <c r="C760" i="14"/>
  <c r="E760" i="14"/>
  <c r="G760" i="14" s="1"/>
  <c r="H760" i="14" s="1"/>
  <c r="I760" i="14" s="1"/>
  <c r="E758" i="14"/>
  <c r="G758" i="14" s="1"/>
  <c r="H758" i="14" s="1"/>
  <c r="I758" i="14" s="1"/>
  <c r="C758" i="14"/>
  <c r="E755" i="14"/>
  <c r="G755" i="14" s="1"/>
  <c r="H755" i="14" s="1"/>
  <c r="I755" i="14" s="1"/>
  <c r="C755" i="14"/>
  <c r="C752" i="14"/>
  <c r="E752" i="14"/>
  <c r="G752" i="14" s="1"/>
  <c r="H752" i="14" s="1"/>
  <c r="I752" i="14" s="1"/>
  <c r="C750" i="14"/>
  <c r="E750" i="14"/>
  <c r="G750" i="14" s="1"/>
  <c r="H750" i="14" s="1"/>
  <c r="I750" i="14" s="1"/>
  <c r="C12" i="14"/>
  <c r="D12" i="14" s="1"/>
  <c r="E12" i="14"/>
  <c r="G12" i="14" s="1"/>
  <c r="H12" i="14" s="1"/>
  <c r="I12" i="14" s="1"/>
  <c r="C13" i="14"/>
  <c r="D13" i="14" s="1"/>
  <c r="E13" i="14"/>
  <c r="G13" i="14" s="1"/>
  <c r="H13" i="14" s="1"/>
  <c r="I13" i="14" s="1"/>
  <c r="E810" i="14"/>
  <c r="G810" i="14" s="1"/>
  <c r="H810" i="14" s="1"/>
  <c r="I810" i="14" s="1"/>
  <c r="C810" i="14"/>
  <c r="E804" i="14"/>
  <c r="G804" i="14" s="1"/>
  <c r="H804" i="14" s="1"/>
  <c r="I804" i="14" s="1"/>
  <c r="C804" i="14"/>
  <c r="C799" i="14"/>
  <c r="E799" i="14"/>
  <c r="G799" i="14" s="1"/>
  <c r="H799" i="14" s="1"/>
  <c r="I799" i="14" s="1"/>
  <c r="C797" i="14"/>
  <c r="E797" i="14"/>
  <c r="G797" i="14" s="1"/>
  <c r="H797" i="14" s="1"/>
  <c r="I797" i="14" s="1"/>
  <c r="E796" i="14"/>
  <c r="G796" i="14" s="1"/>
  <c r="H796" i="14" s="1"/>
  <c r="I796" i="14" s="1"/>
  <c r="C796" i="14"/>
  <c r="C792" i="14"/>
  <c r="E792" i="14"/>
  <c r="G792" i="14" s="1"/>
  <c r="H792" i="14" s="1"/>
  <c r="I792" i="14" s="1"/>
  <c r="E790" i="14"/>
  <c r="G790" i="14" s="1"/>
  <c r="H790" i="14" s="1"/>
  <c r="I790" i="14" s="1"/>
  <c r="C790" i="14"/>
  <c r="E789" i="14"/>
  <c r="G789" i="14" s="1"/>
  <c r="H789" i="14" s="1"/>
  <c r="I789" i="14" s="1"/>
  <c r="C789" i="14"/>
  <c r="E788" i="14"/>
  <c r="G788" i="14" s="1"/>
  <c r="H788" i="14" s="1"/>
  <c r="I788" i="14" s="1"/>
  <c r="C788" i="14"/>
  <c r="E785" i="14"/>
  <c r="G785" i="14" s="1"/>
  <c r="H785" i="14" s="1"/>
  <c r="I785" i="14" s="1"/>
  <c r="C785" i="14"/>
  <c r="E783" i="14"/>
  <c r="G783" i="14" s="1"/>
  <c r="H783" i="14" s="1"/>
  <c r="I783" i="14" s="1"/>
  <c r="C783" i="14"/>
  <c r="E780" i="14"/>
  <c r="G780" i="14" s="1"/>
  <c r="H780" i="14" s="1"/>
  <c r="I780" i="14" s="1"/>
  <c r="C780" i="14"/>
  <c r="E774" i="14"/>
  <c r="G774" i="14" s="1"/>
  <c r="H774" i="14" s="1"/>
  <c r="I774" i="14" s="1"/>
  <c r="C774" i="14"/>
  <c r="C772" i="14"/>
  <c r="E772" i="14"/>
  <c r="G772" i="14" s="1"/>
  <c r="H772" i="14" s="1"/>
  <c r="I772" i="14" s="1"/>
  <c r="C770" i="14"/>
  <c r="E770" i="14"/>
  <c r="G770" i="14" s="1"/>
  <c r="H770" i="14" s="1"/>
  <c r="I770" i="14" s="1"/>
  <c r="C769" i="14"/>
  <c r="E769" i="14"/>
  <c r="G769" i="14" s="1"/>
  <c r="H769" i="14" s="1"/>
  <c r="I769" i="14" s="1"/>
  <c r="C766" i="14"/>
  <c r="E766" i="14"/>
  <c r="G766" i="14" s="1"/>
  <c r="H766" i="14" s="1"/>
  <c r="I766" i="14" s="1"/>
  <c r="E765" i="14"/>
  <c r="G765" i="14" s="1"/>
  <c r="H765" i="14" s="1"/>
  <c r="I765" i="14" s="1"/>
  <c r="C765" i="14"/>
  <c r="E763" i="14"/>
  <c r="G763" i="14" s="1"/>
  <c r="H763" i="14" s="1"/>
  <c r="I763" i="14" s="1"/>
  <c r="C763" i="14"/>
  <c r="E738" i="14"/>
  <c r="G738" i="14" s="1"/>
  <c r="H738" i="14" s="1"/>
  <c r="I738" i="14" s="1"/>
  <c r="C738" i="14"/>
  <c r="E737" i="14"/>
  <c r="G737" i="14" s="1"/>
  <c r="H737" i="14" s="1"/>
  <c r="I737" i="14" s="1"/>
  <c r="C737" i="14"/>
  <c r="C736" i="14"/>
  <c r="E736" i="14"/>
  <c r="G736" i="14" s="1"/>
  <c r="H736" i="14" s="1"/>
  <c r="I736" i="14" s="1"/>
  <c r="E735" i="14"/>
  <c r="G735" i="14" s="1"/>
  <c r="H735" i="14" s="1"/>
  <c r="I735" i="14" s="1"/>
  <c r="C735" i="14"/>
  <c r="C734" i="14"/>
  <c r="E734" i="14"/>
  <c r="G734" i="14" s="1"/>
  <c r="H734" i="14" s="1"/>
  <c r="I734" i="14" s="1"/>
  <c r="E733" i="14"/>
  <c r="G733" i="14" s="1"/>
  <c r="H733" i="14" s="1"/>
  <c r="I733" i="14" s="1"/>
  <c r="C733" i="14"/>
  <c r="E732" i="14"/>
  <c r="G732" i="14" s="1"/>
  <c r="H732" i="14" s="1"/>
  <c r="I732" i="14" s="1"/>
  <c r="C732" i="14"/>
  <c r="E731" i="14"/>
  <c r="G731" i="14" s="1"/>
  <c r="H731" i="14" s="1"/>
  <c r="I731" i="14" s="1"/>
  <c r="C731" i="14"/>
  <c r="E730" i="14"/>
  <c r="G730" i="14" s="1"/>
  <c r="H730" i="14" s="1"/>
  <c r="I730" i="14" s="1"/>
  <c r="C730" i="14"/>
  <c r="E729" i="14"/>
  <c r="G729" i="14" s="1"/>
  <c r="H729" i="14" s="1"/>
  <c r="I729" i="14" s="1"/>
  <c r="C729" i="14"/>
  <c r="E728" i="14"/>
  <c r="G728" i="14" s="1"/>
  <c r="H728" i="14" s="1"/>
  <c r="I728" i="14" s="1"/>
  <c r="C728" i="14"/>
  <c r="E726" i="14"/>
  <c r="G726" i="14" s="1"/>
  <c r="H726" i="14" s="1"/>
  <c r="I726" i="14" s="1"/>
  <c r="C726" i="14"/>
  <c r="E724" i="14"/>
  <c r="G724" i="14" s="1"/>
  <c r="H724" i="14" s="1"/>
  <c r="I724" i="14" s="1"/>
  <c r="C724" i="14"/>
  <c r="E723" i="14"/>
  <c r="G723" i="14" s="1"/>
  <c r="H723" i="14" s="1"/>
  <c r="I723" i="14" s="1"/>
  <c r="C723" i="14"/>
  <c r="C722" i="14"/>
  <c r="E722" i="14"/>
  <c r="G722" i="14" s="1"/>
  <c r="H722" i="14" s="1"/>
  <c r="I722" i="14" s="1"/>
  <c r="E721" i="14"/>
  <c r="G721" i="14" s="1"/>
  <c r="H721" i="14" s="1"/>
  <c r="I721" i="14" s="1"/>
  <c r="C721" i="14"/>
  <c r="C719" i="14"/>
  <c r="E719" i="14"/>
  <c r="G719" i="14" s="1"/>
  <c r="H719" i="14" s="1"/>
  <c r="I719" i="14" s="1"/>
  <c r="C717" i="14"/>
  <c r="E717" i="14"/>
  <c r="G717" i="14" s="1"/>
  <c r="H717" i="14" s="1"/>
  <c r="I717" i="14" s="1"/>
  <c r="C716" i="14"/>
  <c r="E716" i="14"/>
  <c r="G716" i="14" s="1"/>
  <c r="H716" i="14" s="1"/>
  <c r="I716" i="14" s="1"/>
  <c r="C715" i="14"/>
  <c r="E715" i="14"/>
  <c r="G715" i="14" s="1"/>
  <c r="H715" i="14" s="1"/>
  <c r="I715" i="14" s="1"/>
  <c r="C712" i="14"/>
  <c r="E712" i="14"/>
  <c r="G712" i="14" s="1"/>
  <c r="H712" i="14" s="1"/>
  <c r="I712" i="14" s="1"/>
  <c r="C711" i="14"/>
  <c r="E711" i="14"/>
  <c r="G711" i="14" s="1"/>
  <c r="H711" i="14" s="1"/>
  <c r="I711" i="14" s="1"/>
  <c r="C710" i="14"/>
  <c r="E710" i="14"/>
  <c r="G710" i="14" s="1"/>
  <c r="H710" i="14" s="1"/>
  <c r="I710" i="14" s="1"/>
  <c r="C708" i="14"/>
  <c r="E708" i="14"/>
  <c r="G708" i="14" s="1"/>
  <c r="H708" i="14" s="1"/>
  <c r="I708" i="14" s="1"/>
  <c r="C707" i="14"/>
  <c r="E707" i="14"/>
  <c r="G707" i="14" s="1"/>
  <c r="H707" i="14" s="1"/>
  <c r="I707" i="14" s="1"/>
  <c r="C706" i="14"/>
  <c r="E706" i="14"/>
  <c r="G706" i="14" s="1"/>
  <c r="H706" i="14" s="1"/>
  <c r="I706" i="14" s="1"/>
  <c r="C705" i="14"/>
  <c r="E705" i="14"/>
  <c r="G705" i="14" s="1"/>
  <c r="H705" i="14" s="1"/>
  <c r="I705" i="14" s="1"/>
  <c r="C704" i="14"/>
  <c r="E704" i="14"/>
  <c r="G704" i="14" s="1"/>
  <c r="H704" i="14" s="1"/>
  <c r="I704" i="14" s="1"/>
  <c r="C703" i="14"/>
  <c r="E703" i="14"/>
  <c r="G703" i="14" s="1"/>
  <c r="H703" i="14" s="1"/>
  <c r="I703" i="14" s="1"/>
  <c r="C699" i="14"/>
  <c r="E699" i="14"/>
  <c r="G699" i="14" s="1"/>
  <c r="H699" i="14" s="1"/>
  <c r="I699" i="14" s="1"/>
  <c r="C698" i="14"/>
  <c r="E698" i="14"/>
  <c r="G698" i="14" s="1"/>
  <c r="H698" i="14" s="1"/>
  <c r="I698" i="14" s="1"/>
  <c r="C697" i="14"/>
  <c r="E697" i="14"/>
  <c r="G697" i="14" s="1"/>
  <c r="H697" i="14" s="1"/>
  <c r="I697" i="14" s="1"/>
  <c r="E696" i="14"/>
  <c r="G696" i="14" s="1"/>
  <c r="H696" i="14" s="1"/>
  <c r="I696" i="14" s="1"/>
  <c r="C696" i="14"/>
  <c r="E694" i="14"/>
  <c r="G694" i="14" s="1"/>
  <c r="H694" i="14" s="1"/>
  <c r="I694" i="14" s="1"/>
  <c r="C694" i="14"/>
  <c r="E690" i="14"/>
  <c r="G690" i="14" s="1"/>
  <c r="H690" i="14" s="1"/>
  <c r="I690" i="14" s="1"/>
  <c r="C690" i="14"/>
  <c r="E689" i="14"/>
  <c r="G689" i="14" s="1"/>
  <c r="H689" i="14" s="1"/>
  <c r="I689" i="14" s="1"/>
  <c r="C689" i="14"/>
  <c r="C685" i="14"/>
  <c r="E685" i="14"/>
  <c r="G685" i="14" s="1"/>
  <c r="H685" i="14" s="1"/>
  <c r="I685" i="14" s="1"/>
  <c r="E681" i="14"/>
  <c r="G681" i="14" s="1"/>
  <c r="H681" i="14" s="1"/>
  <c r="I681" i="14" s="1"/>
  <c r="C681" i="14"/>
  <c r="E680" i="14"/>
  <c r="G680" i="14" s="1"/>
  <c r="H680" i="14" s="1"/>
  <c r="I680" i="14" s="1"/>
  <c r="C680" i="14"/>
  <c r="E679" i="14"/>
  <c r="G679" i="14" s="1"/>
  <c r="H679" i="14" s="1"/>
  <c r="I679" i="14" s="1"/>
  <c r="C679" i="14"/>
  <c r="E677" i="14"/>
  <c r="G677" i="14" s="1"/>
  <c r="H677" i="14" s="1"/>
  <c r="I677" i="14" s="1"/>
  <c r="C677" i="14"/>
  <c r="E676" i="14"/>
  <c r="G676" i="14" s="1"/>
  <c r="H676" i="14" s="1"/>
  <c r="I676" i="14" s="1"/>
  <c r="C676" i="14"/>
  <c r="E674" i="14"/>
  <c r="G674" i="14" s="1"/>
  <c r="H674" i="14" s="1"/>
  <c r="I674" i="14" s="1"/>
  <c r="C674" i="14"/>
  <c r="E669" i="14"/>
  <c r="G669" i="14" s="1"/>
  <c r="H669" i="14" s="1"/>
  <c r="I669" i="14" s="1"/>
  <c r="C669" i="14"/>
  <c r="E668" i="14"/>
  <c r="G668" i="14" s="1"/>
  <c r="H668" i="14" s="1"/>
  <c r="I668" i="14" s="1"/>
  <c r="C668" i="14"/>
  <c r="E667" i="14"/>
  <c r="G667" i="14" s="1"/>
  <c r="H667" i="14" s="1"/>
  <c r="I667" i="14" s="1"/>
  <c r="C667" i="14"/>
  <c r="C666" i="14"/>
  <c r="E666" i="14"/>
  <c r="G666" i="14" s="1"/>
  <c r="H666" i="14" s="1"/>
  <c r="I666" i="14" s="1"/>
  <c r="E663" i="14"/>
  <c r="G663" i="14" s="1"/>
  <c r="H663" i="14" s="1"/>
  <c r="I663" i="14" s="1"/>
  <c r="C663" i="14"/>
  <c r="C662" i="14"/>
  <c r="E662" i="14"/>
  <c r="G662" i="14" s="1"/>
  <c r="H662" i="14" s="1"/>
  <c r="I662" i="14" s="1"/>
  <c r="E661" i="14"/>
  <c r="G661" i="14" s="1"/>
  <c r="H661" i="14" s="1"/>
  <c r="I661" i="14" s="1"/>
  <c r="C661" i="14"/>
  <c r="C658" i="14"/>
  <c r="E658" i="14"/>
  <c r="G658" i="14" s="1"/>
  <c r="H658" i="14" s="1"/>
  <c r="I658" i="14" s="1"/>
  <c r="C655" i="14"/>
  <c r="E655" i="14"/>
  <c r="G655" i="14" s="1"/>
  <c r="H655" i="14" s="1"/>
  <c r="I655" i="14" s="1"/>
  <c r="C654" i="14"/>
  <c r="E654" i="14"/>
  <c r="G654" i="14" s="1"/>
  <c r="H654" i="14" s="1"/>
  <c r="I654" i="14" s="1"/>
  <c r="E653" i="14"/>
  <c r="G653" i="14" s="1"/>
  <c r="H653" i="14" s="1"/>
  <c r="I653" i="14" s="1"/>
  <c r="C653" i="14"/>
  <c r="E652" i="14"/>
  <c r="G652" i="14" s="1"/>
  <c r="H652" i="14" s="1"/>
  <c r="I652" i="14" s="1"/>
  <c r="C652" i="14"/>
  <c r="E651" i="14"/>
  <c r="G651" i="14" s="1"/>
  <c r="H651" i="14" s="1"/>
  <c r="I651" i="14" s="1"/>
  <c r="C651" i="14"/>
  <c r="E650" i="14"/>
  <c r="G650" i="14" s="1"/>
  <c r="H650" i="14" s="1"/>
  <c r="I650" i="14" s="1"/>
  <c r="C650" i="14"/>
  <c r="E649" i="14"/>
  <c r="G649" i="14" s="1"/>
  <c r="H649" i="14" s="1"/>
  <c r="I649" i="14" s="1"/>
  <c r="C649" i="14"/>
  <c r="E648" i="14"/>
  <c r="G648" i="14" s="1"/>
  <c r="H648" i="14" s="1"/>
  <c r="I648" i="14" s="1"/>
  <c r="C648" i="14"/>
  <c r="E647" i="14"/>
  <c r="G647" i="14" s="1"/>
  <c r="H647" i="14" s="1"/>
  <c r="I647" i="14" s="1"/>
  <c r="C647" i="14"/>
  <c r="C646" i="14"/>
  <c r="E646" i="14"/>
  <c r="G646" i="14" s="1"/>
  <c r="H646" i="14" s="1"/>
  <c r="I646" i="14" s="1"/>
  <c r="C645" i="14"/>
  <c r="E645" i="14"/>
  <c r="G645" i="14" s="1"/>
  <c r="H645" i="14" s="1"/>
  <c r="I645" i="14" s="1"/>
  <c r="C644" i="14"/>
  <c r="E644" i="14"/>
  <c r="G644" i="14" s="1"/>
  <c r="H644" i="14" s="1"/>
  <c r="I644" i="14" s="1"/>
  <c r="E643" i="14"/>
  <c r="G643" i="14" s="1"/>
  <c r="H643" i="14" s="1"/>
  <c r="I643" i="14" s="1"/>
  <c r="C643" i="14"/>
  <c r="C642" i="14"/>
  <c r="E642" i="14"/>
  <c r="G642" i="14" s="1"/>
  <c r="H642" i="14" s="1"/>
  <c r="I642" i="14" s="1"/>
  <c r="E641" i="14"/>
  <c r="G641" i="14" s="1"/>
  <c r="H641" i="14" s="1"/>
  <c r="I641" i="14" s="1"/>
  <c r="C641" i="14"/>
  <c r="C640" i="14"/>
  <c r="E640" i="14"/>
  <c r="G640" i="14" s="1"/>
  <c r="H640" i="14" s="1"/>
  <c r="I640" i="14" s="1"/>
  <c r="C639" i="14"/>
  <c r="E639" i="14"/>
  <c r="G639" i="14" s="1"/>
  <c r="H639" i="14" s="1"/>
  <c r="I639" i="14" s="1"/>
  <c r="E638" i="14"/>
  <c r="G638" i="14" s="1"/>
  <c r="H638" i="14" s="1"/>
  <c r="I638" i="14" s="1"/>
  <c r="C638" i="14"/>
  <c r="E637" i="14"/>
  <c r="G637" i="14" s="1"/>
  <c r="H637" i="14" s="1"/>
  <c r="I637" i="14" s="1"/>
  <c r="C637" i="14"/>
  <c r="E636" i="14"/>
  <c r="G636" i="14" s="1"/>
  <c r="H636" i="14" s="1"/>
  <c r="I636" i="14" s="1"/>
  <c r="C636" i="14"/>
  <c r="E635" i="14"/>
  <c r="G635" i="14" s="1"/>
  <c r="H635" i="14" s="1"/>
  <c r="I635" i="14" s="1"/>
  <c r="C635" i="14"/>
  <c r="E634" i="14"/>
  <c r="G634" i="14" s="1"/>
  <c r="H634" i="14" s="1"/>
  <c r="I634" i="14" s="1"/>
  <c r="C634" i="14"/>
  <c r="C632" i="14"/>
  <c r="E632" i="14"/>
  <c r="G632" i="14" s="1"/>
  <c r="H632" i="14" s="1"/>
  <c r="I632" i="14" s="1"/>
  <c r="C631" i="14"/>
  <c r="E631" i="14"/>
  <c r="G631" i="14" s="1"/>
  <c r="H631" i="14" s="1"/>
  <c r="I631" i="14" s="1"/>
  <c r="C627" i="14"/>
  <c r="E627" i="14"/>
  <c r="G627" i="14" s="1"/>
  <c r="H627" i="14" s="1"/>
  <c r="I627" i="14" s="1"/>
  <c r="C626" i="14"/>
  <c r="E626" i="14"/>
  <c r="G626" i="14" s="1"/>
  <c r="H626" i="14" s="1"/>
  <c r="I626" i="14" s="1"/>
  <c r="C623" i="14"/>
  <c r="E623" i="14"/>
  <c r="G623" i="14" s="1"/>
  <c r="H623" i="14" s="1"/>
  <c r="I623" i="14" s="1"/>
  <c r="E622" i="14"/>
  <c r="G622" i="14" s="1"/>
  <c r="H622" i="14" s="1"/>
  <c r="I622" i="14" s="1"/>
  <c r="C622" i="14"/>
  <c r="E621" i="14"/>
  <c r="G621" i="14" s="1"/>
  <c r="H621" i="14" s="1"/>
  <c r="I621" i="14" s="1"/>
  <c r="C621" i="14"/>
  <c r="E620" i="14"/>
  <c r="G620" i="14" s="1"/>
  <c r="H620" i="14" s="1"/>
  <c r="I620" i="14" s="1"/>
  <c r="C620" i="14"/>
  <c r="E619" i="14"/>
  <c r="G619" i="14" s="1"/>
  <c r="H619" i="14" s="1"/>
  <c r="I619" i="14" s="1"/>
  <c r="C619" i="14"/>
  <c r="C617" i="14"/>
  <c r="E617" i="14"/>
  <c r="G617" i="14" s="1"/>
  <c r="H617" i="14" s="1"/>
  <c r="I617" i="14" s="1"/>
  <c r="C616" i="14"/>
  <c r="E616" i="14"/>
  <c r="G616" i="14" s="1"/>
  <c r="H616" i="14" s="1"/>
  <c r="I616" i="14" s="1"/>
  <c r="C614" i="14"/>
  <c r="E614" i="14"/>
  <c r="G614" i="14" s="1"/>
  <c r="H614" i="14" s="1"/>
  <c r="I614" i="14" s="1"/>
  <c r="C613" i="14"/>
  <c r="E613" i="14"/>
  <c r="G613" i="14" s="1"/>
  <c r="H613" i="14" s="1"/>
  <c r="I613" i="14" s="1"/>
  <c r="E610" i="14"/>
  <c r="G610" i="14" s="1"/>
  <c r="H610" i="14" s="1"/>
  <c r="I610" i="14" s="1"/>
  <c r="C610" i="14"/>
  <c r="C609" i="14"/>
  <c r="E609" i="14"/>
  <c r="G609" i="14" s="1"/>
  <c r="H609" i="14" s="1"/>
  <c r="I609" i="14" s="1"/>
  <c r="C608" i="14"/>
  <c r="E608" i="14"/>
  <c r="G608" i="14" s="1"/>
  <c r="H608" i="14" s="1"/>
  <c r="I608" i="14" s="1"/>
  <c r="C607" i="14"/>
  <c r="E607" i="14"/>
  <c r="G607" i="14" s="1"/>
  <c r="H607" i="14" s="1"/>
  <c r="I607" i="14" s="1"/>
  <c r="C606" i="14"/>
  <c r="E606" i="14"/>
  <c r="G606" i="14" s="1"/>
  <c r="H606" i="14" s="1"/>
  <c r="I606" i="14" s="1"/>
  <c r="C383" i="14"/>
  <c r="E383" i="14"/>
  <c r="G383" i="14" s="1"/>
  <c r="H383" i="14" s="1"/>
  <c r="I383" i="14" s="1"/>
  <c r="C382" i="14"/>
  <c r="E382" i="14"/>
  <c r="G382" i="14" s="1"/>
  <c r="H382" i="14" s="1"/>
  <c r="I382" i="14" s="1"/>
  <c r="C381" i="14"/>
  <c r="E381" i="14"/>
  <c r="G381" i="14" s="1"/>
  <c r="H381" i="14" s="1"/>
  <c r="I381" i="14" s="1"/>
  <c r="C380" i="14"/>
  <c r="E380" i="14"/>
  <c r="G380" i="14" s="1"/>
  <c r="H380" i="14" s="1"/>
  <c r="I380" i="14" s="1"/>
  <c r="E379" i="14"/>
  <c r="G379" i="14" s="1"/>
  <c r="H379" i="14" s="1"/>
  <c r="I379" i="14" s="1"/>
  <c r="C379" i="14"/>
  <c r="E378" i="14"/>
  <c r="G378" i="14" s="1"/>
  <c r="H378" i="14" s="1"/>
  <c r="I378" i="14" s="1"/>
  <c r="C378" i="14"/>
  <c r="E377" i="14"/>
  <c r="G377" i="14" s="1"/>
  <c r="H377" i="14" s="1"/>
  <c r="I377" i="14" s="1"/>
  <c r="C377" i="14"/>
  <c r="E376" i="14"/>
  <c r="G376" i="14" s="1"/>
  <c r="H376" i="14" s="1"/>
  <c r="I376" i="14" s="1"/>
  <c r="C376" i="14"/>
  <c r="E375" i="14"/>
  <c r="G375" i="14" s="1"/>
  <c r="H375" i="14" s="1"/>
  <c r="I375" i="14" s="1"/>
  <c r="C375" i="14"/>
  <c r="E374" i="14"/>
  <c r="G374" i="14" s="1"/>
  <c r="H374" i="14" s="1"/>
  <c r="I374" i="14" s="1"/>
  <c r="C374" i="14"/>
  <c r="C373" i="14"/>
  <c r="E373" i="14"/>
  <c r="G373" i="14" s="1"/>
  <c r="H373" i="14" s="1"/>
  <c r="I373" i="14" s="1"/>
  <c r="C372" i="14"/>
  <c r="E372" i="14"/>
  <c r="G372" i="14" s="1"/>
  <c r="H372" i="14" s="1"/>
  <c r="I372" i="14" s="1"/>
  <c r="C371" i="14"/>
  <c r="E371" i="14"/>
  <c r="G371" i="14" s="1"/>
  <c r="H371" i="14" s="1"/>
  <c r="I371" i="14" s="1"/>
  <c r="E370" i="14"/>
  <c r="G370" i="14" s="1"/>
  <c r="H370" i="14" s="1"/>
  <c r="I370" i="14" s="1"/>
  <c r="C370" i="14"/>
  <c r="E369" i="14"/>
  <c r="G369" i="14" s="1"/>
  <c r="H369" i="14" s="1"/>
  <c r="I369" i="14" s="1"/>
  <c r="C369" i="14"/>
  <c r="E368" i="14"/>
  <c r="G368" i="14" s="1"/>
  <c r="H368" i="14" s="1"/>
  <c r="I368" i="14" s="1"/>
  <c r="C368" i="14"/>
  <c r="E367" i="14"/>
  <c r="G367" i="14" s="1"/>
  <c r="H367" i="14" s="1"/>
  <c r="I367" i="14" s="1"/>
  <c r="C367" i="14"/>
  <c r="E366" i="14"/>
  <c r="G366" i="14" s="1"/>
  <c r="H366" i="14" s="1"/>
  <c r="I366" i="14" s="1"/>
  <c r="C366" i="14"/>
  <c r="C365" i="14"/>
  <c r="E365" i="14"/>
  <c r="G365" i="14" s="1"/>
  <c r="H365" i="14" s="1"/>
  <c r="I365" i="14" s="1"/>
  <c r="E364" i="14"/>
  <c r="G364" i="14" s="1"/>
  <c r="H364" i="14" s="1"/>
  <c r="I364" i="14" s="1"/>
  <c r="C364" i="14"/>
  <c r="C363" i="14"/>
  <c r="E363" i="14"/>
  <c r="G363" i="14" s="1"/>
  <c r="H363" i="14" s="1"/>
  <c r="I363" i="14" s="1"/>
  <c r="C362" i="14"/>
  <c r="E362" i="14"/>
  <c r="G362" i="14" s="1"/>
  <c r="H362" i="14" s="1"/>
  <c r="I362" i="14" s="1"/>
  <c r="C361" i="14"/>
  <c r="E361" i="14"/>
  <c r="G361" i="14" s="1"/>
  <c r="H361" i="14" s="1"/>
  <c r="I361" i="14" s="1"/>
  <c r="E360" i="14"/>
  <c r="G360" i="14" s="1"/>
  <c r="H360" i="14" s="1"/>
  <c r="I360" i="14" s="1"/>
  <c r="C360" i="14"/>
  <c r="C359" i="14"/>
  <c r="E359" i="14"/>
  <c r="G359" i="14" s="1"/>
  <c r="H359" i="14" s="1"/>
  <c r="I359" i="14" s="1"/>
  <c r="C358" i="14"/>
  <c r="E358" i="14"/>
  <c r="G358" i="14" s="1"/>
  <c r="H358" i="14" s="1"/>
  <c r="I358" i="14" s="1"/>
  <c r="E357" i="14"/>
  <c r="G357" i="14" s="1"/>
  <c r="H357" i="14" s="1"/>
  <c r="I357" i="14" s="1"/>
  <c r="C357" i="14"/>
  <c r="E356" i="14"/>
  <c r="G356" i="14" s="1"/>
  <c r="H356" i="14" s="1"/>
  <c r="I356" i="14" s="1"/>
  <c r="C356" i="14"/>
  <c r="E355" i="14"/>
  <c r="G355" i="14" s="1"/>
  <c r="H355" i="14" s="1"/>
  <c r="I355" i="14" s="1"/>
  <c r="C355" i="14"/>
  <c r="E354" i="14"/>
  <c r="G354" i="14" s="1"/>
  <c r="H354" i="14" s="1"/>
  <c r="I354" i="14" s="1"/>
  <c r="C354" i="14"/>
  <c r="E351" i="14"/>
  <c r="G351" i="14" s="1"/>
  <c r="H351" i="14" s="1"/>
  <c r="I351" i="14" s="1"/>
  <c r="C351" i="14"/>
  <c r="C347" i="14"/>
  <c r="E347" i="14"/>
  <c r="G347" i="14" s="1"/>
  <c r="H347" i="14" s="1"/>
  <c r="I347" i="14" s="1"/>
  <c r="E343" i="14"/>
  <c r="G343" i="14" s="1"/>
  <c r="H343" i="14" s="1"/>
  <c r="I343" i="14" s="1"/>
  <c r="C343" i="14"/>
  <c r="E341" i="14"/>
  <c r="G341" i="14" s="1"/>
  <c r="H341" i="14" s="1"/>
  <c r="I341" i="14" s="1"/>
  <c r="C341" i="14"/>
  <c r="E338" i="14"/>
  <c r="G338" i="14" s="1"/>
  <c r="H338" i="14" s="1"/>
  <c r="I338" i="14" s="1"/>
  <c r="C338" i="14"/>
  <c r="C335" i="14"/>
  <c r="E335" i="14"/>
  <c r="G335" i="14" s="1"/>
  <c r="H335" i="14" s="1"/>
  <c r="I335" i="14" s="1"/>
  <c r="C331" i="14"/>
  <c r="E331" i="14"/>
  <c r="G331" i="14" s="1"/>
  <c r="H331" i="14" s="1"/>
  <c r="I331" i="14" s="1"/>
  <c r="C328" i="14"/>
  <c r="E328" i="14"/>
  <c r="G328" i="14" s="1"/>
  <c r="H328" i="14" s="1"/>
  <c r="I328" i="14" s="1"/>
  <c r="C327" i="14"/>
  <c r="E327" i="14"/>
  <c r="G327" i="14" s="1"/>
  <c r="H327" i="14" s="1"/>
  <c r="I327" i="14" s="1"/>
  <c r="C324" i="14"/>
  <c r="E324" i="14"/>
  <c r="G324" i="14" s="1"/>
  <c r="H324" i="14" s="1"/>
  <c r="I324" i="14" s="1"/>
  <c r="C320" i="14"/>
  <c r="E320" i="14"/>
  <c r="G320" i="14" s="1"/>
  <c r="H320" i="14" s="1"/>
  <c r="I320" i="14" s="1"/>
  <c r="E316" i="14"/>
  <c r="G316" i="14" s="1"/>
  <c r="H316" i="14" s="1"/>
  <c r="I316" i="14" s="1"/>
  <c r="C316" i="14"/>
  <c r="C314" i="14"/>
  <c r="E314" i="14"/>
  <c r="G314" i="14" s="1"/>
  <c r="H314" i="14" s="1"/>
  <c r="I314" i="14" s="1"/>
  <c r="E311" i="14"/>
  <c r="G311" i="14" s="1"/>
  <c r="H311" i="14" s="1"/>
  <c r="I311" i="14" s="1"/>
  <c r="C311" i="14"/>
  <c r="C309" i="14"/>
  <c r="E309" i="14"/>
  <c r="G309" i="14" s="1"/>
  <c r="H309" i="14" s="1"/>
  <c r="I309" i="14" s="1"/>
  <c r="C307" i="14"/>
  <c r="E307" i="14"/>
  <c r="G307" i="14" s="1"/>
  <c r="H307" i="14" s="1"/>
  <c r="I307" i="14" s="1"/>
  <c r="C303" i="14"/>
  <c r="E303" i="14"/>
  <c r="G303" i="14" s="1"/>
  <c r="H303" i="14" s="1"/>
  <c r="I303" i="14" s="1"/>
  <c r="E301" i="14"/>
  <c r="G301" i="14" s="1"/>
  <c r="H301" i="14" s="1"/>
  <c r="I301" i="14" s="1"/>
  <c r="C301" i="14"/>
  <c r="C298" i="14"/>
  <c r="E298" i="14"/>
  <c r="G298" i="14" s="1"/>
  <c r="H298" i="14" s="1"/>
  <c r="I298" i="14" s="1"/>
  <c r="C296" i="14"/>
  <c r="E296" i="14"/>
  <c r="G296" i="14" s="1"/>
  <c r="H296" i="14" s="1"/>
  <c r="I296" i="14" s="1"/>
  <c r="C295" i="14"/>
  <c r="E295" i="14"/>
  <c r="G295" i="14" s="1"/>
  <c r="H295" i="14" s="1"/>
  <c r="I295" i="14" s="1"/>
  <c r="C292" i="14"/>
  <c r="E292" i="14"/>
  <c r="G292" i="14" s="1"/>
  <c r="H292" i="14" s="1"/>
  <c r="I292" i="14" s="1"/>
  <c r="C290" i="14"/>
  <c r="E290" i="14"/>
  <c r="G290" i="14" s="1"/>
  <c r="H290" i="14" s="1"/>
  <c r="I290" i="14" s="1"/>
  <c r="C288" i="14"/>
  <c r="E288" i="14"/>
  <c r="G288" i="14" s="1"/>
  <c r="H288" i="14" s="1"/>
  <c r="I288" i="14" s="1"/>
  <c r="C285" i="14"/>
  <c r="E285" i="14"/>
  <c r="G285" i="14" s="1"/>
  <c r="H285" i="14" s="1"/>
  <c r="I285" i="14" s="1"/>
  <c r="C284" i="14"/>
  <c r="E284" i="14"/>
  <c r="G284" i="14" s="1"/>
  <c r="H284" i="14" s="1"/>
  <c r="I284" i="14" s="1"/>
  <c r="C282" i="14"/>
  <c r="E282" i="14"/>
  <c r="G282" i="14" s="1"/>
  <c r="H282" i="14" s="1"/>
  <c r="I282" i="14" s="1"/>
  <c r="C279" i="14"/>
  <c r="E279" i="14"/>
  <c r="G279" i="14" s="1"/>
  <c r="H279" i="14" s="1"/>
  <c r="I279" i="14" s="1"/>
  <c r="C277" i="14"/>
  <c r="E277" i="14"/>
  <c r="G277" i="14" s="1"/>
  <c r="H277" i="14" s="1"/>
  <c r="I277" i="14" s="1"/>
  <c r="C275" i="14"/>
  <c r="E275" i="14"/>
  <c r="G275" i="14" s="1"/>
  <c r="H275" i="14" s="1"/>
  <c r="I275" i="14" s="1"/>
  <c r="C269" i="14"/>
  <c r="E269" i="14"/>
  <c r="G269" i="14" s="1"/>
  <c r="H269" i="14" s="1"/>
  <c r="I269" i="14" s="1"/>
  <c r="C267" i="14"/>
  <c r="E267" i="14"/>
  <c r="G267" i="14" s="1"/>
  <c r="H267" i="14" s="1"/>
  <c r="I267" i="14" s="1"/>
  <c r="C265" i="14"/>
  <c r="E265" i="14"/>
  <c r="G265" i="14" s="1"/>
  <c r="H265" i="14" s="1"/>
  <c r="I265" i="14" s="1"/>
  <c r="E263" i="14"/>
  <c r="G263" i="14" s="1"/>
  <c r="H263" i="14" s="1"/>
  <c r="I263" i="14" s="1"/>
  <c r="C263" i="14"/>
  <c r="C261" i="14"/>
  <c r="E261" i="14"/>
  <c r="G261" i="14" s="1"/>
  <c r="H261" i="14" s="1"/>
  <c r="I261" i="14" s="1"/>
  <c r="E258" i="14"/>
  <c r="G258" i="14" s="1"/>
  <c r="H258" i="14" s="1"/>
  <c r="I258" i="14" s="1"/>
  <c r="C258" i="14"/>
  <c r="E255" i="14"/>
  <c r="G255" i="14" s="1"/>
  <c r="H255" i="14" s="1"/>
  <c r="I255" i="14" s="1"/>
  <c r="C255" i="14"/>
  <c r="C251" i="14"/>
  <c r="E251" i="14"/>
  <c r="G251" i="14" s="1"/>
  <c r="H251" i="14" s="1"/>
  <c r="I251" i="14" s="1"/>
  <c r="E247" i="14"/>
  <c r="G247" i="14" s="1"/>
  <c r="H247" i="14" s="1"/>
  <c r="I247" i="14" s="1"/>
  <c r="C247" i="14"/>
  <c r="E245" i="14"/>
  <c r="G245" i="14" s="1"/>
  <c r="H245" i="14" s="1"/>
  <c r="I245" i="14" s="1"/>
  <c r="C245" i="14"/>
  <c r="E244" i="14"/>
  <c r="G244" i="14" s="1"/>
  <c r="H244" i="14" s="1"/>
  <c r="I244" i="14" s="1"/>
  <c r="C244" i="14"/>
  <c r="E242" i="14"/>
  <c r="G242" i="14" s="1"/>
  <c r="H242" i="14" s="1"/>
  <c r="I242" i="14" s="1"/>
  <c r="C242" i="14"/>
  <c r="C226" i="14"/>
  <c r="E226" i="14"/>
  <c r="G226" i="14" s="1"/>
  <c r="H226" i="14" s="1"/>
  <c r="I226" i="14" s="1"/>
  <c r="C223" i="14"/>
  <c r="E223" i="14"/>
  <c r="G223" i="14" s="1"/>
  <c r="H223" i="14" s="1"/>
  <c r="I223" i="14" s="1"/>
  <c r="C221" i="14"/>
  <c r="E221" i="14"/>
  <c r="G221" i="14" s="1"/>
  <c r="H221" i="14" s="1"/>
  <c r="I221" i="14" s="1"/>
  <c r="C214" i="14"/>
  <c r="E214" i="14"/>
  <c r="G214" i="14" s="1"/>
  <c r="H214" i="14" s="1"/>
  <c r="I214" i="14" s="1"/>
  <c r="C207" i="14"/>
  <c r="E207" i="14"/>
  <c r="G207" i="14" s="1"/>
  <c r="H207" i="14" s="1"/>
  <c r="I207" i="14" s="1"/>
  <c r="E203" i="14"/>
  <c r="G203" i="14" s="1"/>
  <c r="H203" i="14" s="1"/>
  <c r="I203" i="14" s="1"/>
  <c r="C203" i="14"/>
  <c r="C199" i="14"/>
  <c r="E199" i="14"/>
  <c r="G199" i="14" s="1"/>
  <c r="H199" i="14" s="1"/>
  <c r="I199" i="14" s="1"/>
  <c r="C196" i="14"/>
  <c r="E196" i="14"/>
  <c r="G196" i="14" s="1"/>
  <c r="H196" i="14" s="1"/>
  <c r="I196" i="14" s="1"/>
  <c r="C194" i="14"/>
  <c r="E194" i="14"/>
  <c r="G194" i="14" s="1"/>
  <c r="H194" i="14" s="1"/>
  <c r="I194" i="14" s="1"/>
  <c r="C192" i="14"/>
  <c r="E192" i="14"/>
  <c r="G192" i="14" s="1"/>
  <c r="H192" i="14" s="1"/>
  <c r="I192" i="14" s="1"/>
  <c r="C190" i="14"/>
  <c r="E190" i="14"/>
  <c r="G190" i="14" s="1"/>
  <c r="H190" i="14" s="1"/>
  <c r="I190" i="14" s="1"/>
  <c r="C188" i="14"/>
  <c r="E188" i="14"/>
  <c r="G188" i="14" s="1"/>
  <c r="H188" i="14" s="1"/>
  <c r="I188" i="14" s="1"/>
  <c r="E185" i="14"/>
  <c r="G185" i="14" s="1"/>
  <c r="H185" i="14" s="1"/>
  <c r="I185" i="14" s="1"/>
  <c r="C185" i="14"/>
  <c r="E183" i="14"/>
  <c r="G183" i="14" s="1"/>
  <c r="H183" i="14" s="1"/>
  <c r="I183" i="14" s="1"/>
  <c r="C183" i="14"/>
  <c r="E179" i="14"/>
  <c r="G179" i="14" s="1"/>
  <c r="H179" i="14" s="1"/>
  <c r="I179" i="14" s="1"/>
  <c r="C179" i="14"/>
  <c r="E176" i="14"/>
  <c r="G176" i="14" s="1"/>
  <c r="H176" i="14" s="1"/>
  <c r="I176" i="14" s="1"/>
  <c r="C176" i="14"/>
  <c r="C173" i="14"/>
  <c r="E173" i="14"/>
  <c r="G173" i="14" s="1"/>
  <c r="H173" i="14" s="1"/>
  <c r="I173" i="14" s="1"/>
  <c r="E170" i="14"/>
  <c r="G170" i="14" s="1"/>
  <c r="H170" i="14" s="1"/>
  <c r="I170" i="14" s="1"/>
  <c r="C170" i="14"/>
  <c r="E167" i="14"/>
  <c r="G167" i="14" s="1"/>
  <c r="H167" i="14" s="1"/>
  <c r="I167" i="14" s="1"/>
  <c r="C167" i="14"/>
  <c r="E165" i="14"/>
  <c r="G165" i="14" s="1"/>
  <c r="H165" i="14" s="1"/>
  <c r="I165" i="14" s="1"/>
  <c r="C165" i="14"/>
  <c r="E163" i="14"/>
  <c r="G163" i="14" s="1"/>
  <c r="H163" i="14" s="1"/>
  <c r="I163" i="14" s="1"/>
  <c r="C163" i="14"/>
  <c r="C161" i="14"/>
  <c r="E161" i="14"/>
  <c r="G161" i="14" s="1"/>
  <c r="H161" i="14" s="1"/>
  <c r="I161" i="14" s="1"/>
  <c r="C159" i="14"/>
  <c r="E159" i="14"/>
  <c r="G159" i="14" s="1"/>
  <c r="H159" i="14" s="1"/>
  <c r="I159" i="14" s="1"/>
  <c r="E158" i="14"/>
  <c r="G158" i="14" s="1"/>
  <c r="H158" i="14" s="1"/>
  <c r="I158" i="14" s="1"/>
  <c r="C158" i="14"/>
  <c r="C156" i="14"/>
  <c r="E156" i="14"/>
  <c r="G156" i="14" s="1"/>
  <c r="H156" i="14" s="1"/>
  <c r="I156" i="14" s="1"/>
  <c r="E153" i="14"/>
  <c r="G153" i="14" s="1"/>
  <c r="H153" i="14" s="1"/>
  <c r="I153" i="14" s="1"/>
  <c r="C153" i="14"/>
  <c r="E148" i="14"/>
  <c r="G148" i="14" s="1"/>
  <c r="H148" i="14" s="1"/>
  <c r="I148" i="14" s="1"/>
  <c r="C148" i="14"/>
  <c r="C146" i="14"/>
  <c r="E146" i="14"/>
  <c r="G146" i="14" s="1"/>
  <c r="H146" i="14" s="1"/>
  <c r="I146" i="14" s="1"/>
  <c r="C145" i="14"/>
  <c r="E145" i="14"/>
  <c r="G145" i="14" s="1"/>
  <c r="H145" i="14" s="1"/>
  <c r="I145" i="14" s="1"/>
  <c r="E144" i="14"/>
  <c r="G144" i="14" s="1"/>
  <c r="H144" i="14" s="1"/>
  <c r="I144" i="14" s="1"/>
  <c r="C144" i="14"/>
  <c r="C142" i="14"/>
  <c r="E142" i="14"/>
  <c r="G142" i="14" s="1"/>
  <c r="H142" i="14" s="1"/>
  <c r="I142" i="14" s="1"/>
  <c r="C140" i="14"/>
  <c r="E140" i="14"/>
  <c r="G140" i="14" s="1"/>
  <c r="H140" i="14" s="1"/>
  <c r="I140" i="14" s="1"/>
  <c r="C138" i="14"/>
  <c r="E138" i="14"/>
  <c r="G138" i="14" s="1"/>
  <c r="H138" i="14" s="1"/>
  <c r="I138" i="14" s="1"/>
  <c r="C136" i="14"/>
  <c r="E136" i="14"/>
  <c r="G136" i="14" s="1"/>
  <c r="H136" i="14" s="1"/>
  <c r="I136" i="14" s="1"/>
  <c r="C135" i="14"/>
  <c r="E135" i="14"/>
  <c r="G135" i="14" s="1"/>
  <c r="H135" i="14" s="1"/>
  <c r="I135" i="14" s="1"/>
  <c r="C133" i="14"/>
  <c r="E133" i="14"/>
  <c r="G133" i="14" s="1"/>
  <c r="H133" i="14" s="1"/>
  <c r="I133" i="14" s="1"/>
  <c r="C131" i="14"/>
  <c r="E131" i="14"/>
  <c r="G131" i="14" s="1"/>
  <c r="H131" i="14" s="1"/>
  <c r="I131" i="14" s="1"/>
  <c r="C130" i="14"/>
  <c r="E130" i="14"/>
  <c r="G130" i="14" s="1"/>
  <c r="H130" i="14" s="1"/>
  <c r="I130" i="14" s="1"/>
  <c r="C128" i="14"/>
  <c r="E128" i="14"/>
  <c r="G128" i="14" s="1"/>
  <c r="H128" i="14" s="1"/>
  <c r="I128" i="14" s="1"/>
  <c r="C127" i="14"/>
  <c r="E127" i="14"/>
  <c r="G127" i="14" s="1"/>
  <c r="H127" i="14" s="1"/>
  <c r="I127" i="14" s="1"/>
  <c r="E123" i="14"/>
  <c r="G123" i="14" s="1"/>
  <c r="H123" i="14" s="1"/>
  <c r="I123" i="14" s="1"/>
  <c r="C123" i="14"/>
  <c r="E121" i="14"/>
  <c r="G121" i="14" s="1"/>
  <c r="H121" i="14" s="1"/>
  <c r="I121" i="14" s="1"/>
  <c r="C121" i="14"/>
  <c r="C119" i="14"/>
  <c r="E119" i="14"/>
  <c r="G119" i="14" s="1"/>
  <c r="H119" i="14" s="1"/>
  <c r="I119" i="14" s="1"/>
  <c r="E115" i="14"/>
  <c r="G115" i="14" s="1"/>
  <c r="H115" i="14" s="1"/>
  <c r="I115" i="14" s="1"/>
  <c r="C115" i="14"/>
  <c r="E112" i="14"/>
  <c r="G112" i="14" s="1"/>
  <c r="H112" i="14" s="1"/>
  <c r="I112" i="14" s="1"/>
  <c r="C112" i="14"/>
  <c r="E110" i="14"/>
  <c r="G110" i="14" s="1"/>
  <c r="H110" i="14" s="1"/>
  <c r="I110" i="14" s="1"/>
  <c r="C110" i="14"/>
  <c r="E104" i="14"/>
  <c r="G104" i="14" s="1"/>
  <c r="H104" i="14" s="1"/>
  <c r="I104" i="14" s="1"/>
  <c r="C104" i="14"/>
  <c r="E101" i="14"/>
  <c r="G101" i="14" s="1"/>
  <c r="H101" i="14" s="1"/>
  <c r="I101" i="14" s="1"/>
  <c r="C101" i="14"/>
  <c r="E100" i="14"/>
  <c r="G100" i="14" s="1"/>
  <c r="H100" i="14" s="1"/>
  <c r="I100" i="14" s="1"/>
  <c r="C100" i="14"/>
  <c r="C99" i="14"/>
  <c r="E99" i="14"/>
  <c r="G99" i="14" s="1"/>
  <c r="H99" i="14" s="1"/>
  <c r="I99" i="14" s="1"/>
  <c r="E95" i="14"/>
  <c r="G95" i="14" s="1"/>
  <c r="H95" i="14" s="1"/>
  <c r="I95" i="14" s="1"/>
  <c r="C95" i="14"/>
  <c r="E93" i="14"/>
  <c r="G93" i="14" s="1"/>
  <c r="H93" i="14" s="1"/>
  <c r="I93" i="14" s="1"/>
  <c r="C93" i="14"/>
  <c r="C92" i="14"/>
  <c r="E92" i="14"/>
  <c r="G92" i="14" s="1"/>
  <c r="H92" i="14" s="1"/>
  <c r="I92" i="14" s="1"/>
  <c r="C90" i="14"/>
  <c r="E90" i="14"/>
  <c r="G90" i="14" s="1"/>
  <c r="H90" i="14" s="1"/>
  <c r="I90" i="14" s="1"/>
  <c r="C88" i="14"/>
  <c r="E88" i="14"/>
  <c r="G88" i="14" s="1"/>
  <c r="H88" i="14" s="1"/>
  <c r="I88" i="14" s="1"/>
  <c r="C87" i="14"/>
  <c r="E87" i="14"/>
  <c r="G87" i="14" s="1"/>
  <c r="H87" i="14" s="1"/>
  <c r="I87" i="14" s="1"/>
  <c r="C84" i="14"/>
  <c r="E84" i="14"/>
  <c r="G84" i="14" s="1"/>
  <c r="H84" i="14" s="1"/>
  <c r="I84" i="14" s="1"/>
  <c r="C82" i="14"/>
  <c r="E82" i="14"/>
  <c r="G82" i="14" s="1"/>
  <c r="H82" i="14" s="1"/>
  <c r="I82" i="14" s="1"/>
  <c r="C77" i="14"/>
  <c r="E77" i="14"/>
  <c r="G77" i="14" s="1"/>
  <c r="H77" i="14" s="1"/>
  <c r="I77" i="14" s="1"/>
  <c r="C75" i="14"/>
  <c r="E75" i="14"/>
  <c r="G75" i="14" s="1"/>
  <c r="H75" i="14" s="1"/>
  <c r="I75" i="14" s="1"/>
  <c r="C73" i="14"/>
  <c r="E73" i="14"/>
  <c r="G73" i="14" s="1"/>
  <c r="H73" i="14" s="1"/>
  <c r="I73" i="14" s="1"/>
  <c r="C72" i="14"/>
  <c r="E72" i="14"/>
  <c r="G72" i="14" s="1"/>
  <c r="H72" i="14" s="1"/>
  <c r="I72" i="14" s="1"/>
  <c r="C65" i="14"/>
  <c r="E65" i="14"/>
  <c r="G65" i="14" s="1"/>
  <c r="H65" i="14" s="1"/>
  <c r="I65" i="14" s="1"/>
  <c r="C63" i="14"/>
  <c r="E63" i="14"/>
  <c r="G63" i="14" s="1"/>
  <c r="H63" i="14" s="1"/>
  <c r="I63" i="14" s="1"/>
  <c r="E62" i="14"/>
  <c r="G62" i="14" s="1"/>
  <c r="H62" i="14" s="1"/>
  <c r="I62" i="14" s="1"/>
  <c r="C62" i="14"/>
  <c r="E60" i="14"/>
  <c r="G60" i="14" s="1"/>
  <c r="H60" i="14" s="1"/>
  <c r="I60" i="14" s="1"/>
  <c r="C60" i="14"/>
  <c r="C52" i="14"/>
  <c r="E52" i="14"/>
  <c r="G52" i="14" s="1"/>
  <c r="H52" i="14" s="1"/>
  <c r="I52" i="14" s="1"/>
  <c r="C51" i="14"/>
  <c r="E51" i="14"/>
  <c r="G51" i="14" s="1"/>
  <c r="H51" i="14" s="1"/>
  <c r="I51" i="14" s="1"/>
  <c r="C49" i="14"/>
  <c r="E49" i="14"/>
  <c r="G49" i="14" s="1"/>
  <c r="H49" i="14" s="1"/>
  <c r="I49" i="14" s="1"/>
  <c r="C47" i="14"/>
  <c r="E47" i="14"/>
  <c r="G47" i="14" s="1"/>
  <c r="H47" i="14" s="1"/>
  <c r="I47" i="14" s="1"/>
  <c r="C46" i="14"/>
  <c r="E46" i="14"/>
  <c r="G46" i="14" s="1"/>
  <c r="H46" i="14" s="1"/>
  <c r="I46" i="14" s="1"/>
  <c r="C43" i="14"/>
  <c r="E43" i="14"/>
  <c r="G43" i="14" s="1"/>
  <c r="H43" i="14" s="1"/>
  <c r="I43" i="14" s="1"/>
  <c r="C41" i="14"/>
  <c r="E41" i="14"/>
  <c r="G41" i="14" s="1"/>
  <c r="H41" i="14" s="1"/>
  <c r="I41" i="14" s="1"/>
  <c r="C40" i="14"/>
  <c r="E40" i="14"/>
  <c r="G40" i="14" s="1"/>
  <c r="H40" i="14" s="1"/>
  <c r="I40" i="14" s="1"/>
  <c r="C38" i="14"/>
  <c r="E38" i="14"/>
  <c r="G38" i="14" s="1"/>
  <c r="H38" i="14" s="1"/>
  <c r="I38" i="14" s="1"/>
  <c r="C37" i="14"/>
  <c r="E37" i="14"/>
  <c r="G37" i="14" s="1"/>
  <c r="H37" i="14" s="1"/>
  <c r="I37" i="14" s="1"/>
  <c r="E34" i="14"/>
  <c r="G34" i="14" s="1"/>
  <c r="H34" i="14" s="1"/>
  <c r="I34" i="14" s="1"/>
  <c r="C34" i="14"/>
  <c r="C32" i="14"/>
  <c r="E32" i="14"/>
  <c r="G32" i="14" s="1"/>
  <c r="H32" i="14" s="1"/>
  <c r="I32" i="14" s="1"/>
  <c r="C30" i="14"/>
  <c r="E30" i="14"/>
  <c r="G30" i="14" s="1"/>
  <c r="H30" i="14" s="1"/>
  <c r="I30" i="14" s="1"/>
  <c r="C28" i="14"/>
  <c r="E28" i="14"/>
  <c r="G28" i="14" s="1"/>
  <c r="H28" i="14" s="1"/>
  <c r="I28" i="14" s="1"/>
  <c r="C352" i="14"/>
  <c r="E352" i="14"/>
  <c r="G352" i="14" s="1"/>
  <c r="H352" i="14" s="1"/>
  <c r="I352" i="14" s="1"/>
  <c r="C350" i="14"/>
  <c r="E350" i="14"/>
  <c r="G350" i="14" s="1"/>
  <c r="H350" i="14" s="1"/>
  <c r="I350" i="14" s="1"/>
  <c r="C348" i="14"/>
  <c r="E348" i="14"/>
  <c r="G348" i="14" s="1"/>
  <c r="H348" i="14" s="1"/>
  <c r="I348" i="14" s="1"/>
  <c r="C346" i="14"/>
  <c r="E346" i="14"/>
  <c r="G346" i="14" s="1"/>
  <c r="H346" i="14" s="1"/>
  <c r="I346" i="14" s="1"/>
  <c r="C342" i="14"/>
  <c r="E342" i="14"/>
  <c r="G342" i="14" s="1"/>
  <c r="H342" i="14" s="1"/>
  <c r="I342" i="14" s="1"/>
  <c r="E340" i="14"/>
  <c r="G340" i="14" s="1"/>
  <c r="H340" i="14" s="1"/>
  <c r="I340" i="14" s="1"/>
  <c r="C340" i="14"/>
  <c r="E337" i="14"/>
  <c r="G337" i="14" s="1"/>
  <c r="H337" i="14" s="1"/>
  <c r="I337" i="14" s="1"/>
  <c r="C337" i="14"/>
  <c r="E334" i="14"/>
  <c r="G334" i="14" s="1"/>
  <c r="H334" i="14" s="1"/>
  <c r="I334" i="14" s="1"/>
  <c r="C334" i="14"/>
  <c r="E332" i="14"/>
  <c r="G332" i="14" s="1"/>
  <c r="H332" i="14" s="1"/>
  <c r="I332" i="14" s="1"/>
  <c r="C332" i="14"/>
  <c r="C329" i="14"/>
  <c r="E329" i="14"/>
  <c r="G329" i="14" s="1"/>
  <c r="H329" i="14" s="1"/>
  <c r="I329" i="14" s="1"/>
  <c r="C326" i="14"/>
  <c r="E326" i="14"/>
  <c r="G326" i="14" s="1"/>
  <c r="H326" i="14" s="1"/>
  <c r="I326" i="14" s="1"/>
  <c r="C323" i="14"/>
  <c r="E323" i="14"/>
  <c r="G323" i="14" s="1"/>
  <c r="H323" i="14" s="1"/>
  <c r="I323" i="14" s="1"/>
  <c r="E321" i="14"/>
  <c r="G321" i="14" s="1"/>
  <c r="H321" i="14" s="1"/>
  <c r="I321" i="14" s="1"/>
  <c r="C321" i="14"/>
  <c r="E319" i="14"/>
  <c r="G319" i="14" s="1"/>
  <c r="H319" i="14" s="1"/>
  <c r="I319" i="14" s="1"/>
  <c r="C319" i="14"/>
  <c r="E317" i="14"/>
  <c r="G317" i="14" s="1"/>
  <c r="H317" i="14" s="1"/>
  <c r="I317" i="14" s="1"/>
  <c r="C317" i="14"/>
  <c r="E315" i="14"/>
  <c r="G315" i="14" s="1"/>
  <c r="H315" i="14" s="1"/>
  <c r="I315" i="14" s="1"/>
  <c r="C315" i="14"/>
  <c r="C312" i="14"/>
  <c r="E312" i="14"/>
  <c r="G312" i="14" s="1"/>
  <c r="H312" i="14" s="1"/>
  <c r="I312" i="14" s="1"/>
  <c r="C305" i="14"/>
  <c r="E305" i="14"/>
  <c r="G305" i="14" s="1"/>
  <c r="H305" i="14" s="1"/>
  <c r="I305" i="14" s="1"/>
  <c r="C302" i="14"/>
  <c r="E302" i="14"/>
  <c r="G302" i="14" s="1"/>
  <c r="H302" i="14" s="1"/>
  <c r="I302" i="14" s="1"/>
  <c r="C300" i="14"/>
  <c r="E300" i="14"/>
  <c r="G300" i="14" s="1"/>
  <c r="H300" i="14" s="1"/>
  <c r="I300" i="14" s="1"/>
  <c r="E293" i="14"/>
  <c r="G293" i="14" s="1"/>
  <c r="H293" i="14" s="1"/>
  <c r="I293" i="14" s="1"/>
  <c r="C293" i="14"/>
  <c r="C289" i="14"/>
  <c r="E289" i="14"/>
  <c r="G289" i="14" s="1"/>
  <c r="H289" i="14" s="1"/>
  <c r="I289" i="14" s="1"/>
  <c r="C287" i="14"/>
  <c r="E287" i="14"/>
  <c r="G287" i="14" s="1"/>
  <c r="H287" i="14" s="1"/>
  <c r="I287" i="14" s="1"/>
  <c r="C286" i="14"/>
  <c r="E286" i="14"/>
  <c r="G286" i="14" s="1"/>
  <c r="H286" i="14" s="1"/>
  <c r="I286" i="14" s="1"/>
  <c r="C283" i="14"/>
  <c r="E283" i="14"/>
  <c r="G283" i="14" s="1"/>
  <c r="H283" i="14" s="1"/>
  <c r="I283" i="14" s="1"/>
  <c r="E280" i="14"/>
  <c r="G280" i="14" s="1"/>
  <c r="H280" i="14" s="1"/>
  <c r="I280" i="14" s="1"/>
  <c r="C280" i="14"/>
  <c r="C278" i="14"/>
  <c r="E278" i="14"/>
  <c r="G278" i="14" s="1"/>
  <c r="H278" i="14" s="1"/>
  <c r="I278" i="14" s="1"/>
  <c r="E276" i="14"/>
  <c r="G276" i="14" s="1"/>
  <c r="H276" i="14" s="1"/>
  <c r="I276" i="14" s="1"/>
  <c r="C276" i="14"/>
  <c r="E274" i="14"/>
  <c r="G274" i="14" s="1"/>
  <c r="H274" i="14" s="1"/>
  <c r="I274" i="14" s="1"/>
  <c r="C274" i="14"/>
  <c r="E273" i="14"/>
  <c r="G273" i="14" s="1"/>
  <c r="H273" i="14" s="1"/>
  <c r="I273" i="14" s="1"/>
  <c r="C273" i="14"/>
  <c r="E272" i="14"/>
  <c r="G272" i="14" s="1"/>
  <c r="H272" i="14" s="1"/>
  <c r="I272" i="14" s="1"/>
  <c r="C272" i="14"/>
  <c r="E270" i="14"/>
  <c r="G270" i="14" s="1"/>
  <c r="H270" i="14" s="1"/>
  <c r="I270" i="14" s="1"/>
  <c r="C270" i="14"/>
  <c r="E268" i="14"/>
  <c r="G268" i="14" s="1"/>
  <c r="H268" i="14" s="1"/>
  <c r="I268" i="14" s="1"/>
  <c r="C268" i="14"/>
  <c r="C259" i="14"/>
  <c r="E259" i="14"/>
  <c r="G259" i="14" s="1"/>
  <c r="H259" i="14" s="1"/>
  <c r="I259" i="14" s="1"/>
  <c r="C256" i="14"/>
  <c r="E256" i="14"/>
  <c r="G256" i="14" s="1"/>
  <c r="H256" i="14" s="1"/>
  <c r="I256" i="14" s="1"/>
  <c r="C254" i="14"/>
  <c r="E254" i="14"/>
  <c r="G254" i="14" s="1"/>
  <c r="H254" i="14" s="1"/>
  <c r="I254" i="14" s="1"/>
  <c r="C253" i="14"/>
  <c r="E253" i="14"/>
  <c r="G253" i="14" s="1"/>
  <c r="H253" i="14" s="1"/>
  <c r="I253" i="14" s="1"/>
  <c r="C252" i="14"/>
  <c r="E252" i="14"/>
  <c r="G252" i="14" s="1"/>
  <c r="H252" i="14" s="1"/>
  <c r="I252" i="14" s="1"/>
  <c r="C249" i="14"/>
  <c r="E249" i="14"/>
  <c r="G249" i="14" s="1"/>
  <c r="H249" i="14" s="1"/>
  <c r="I249" i="14" s="1"/>
  <c r="E232" i="14"/>
  <c r="G232" i="14" s="1"/>
  <c r="H232" i="14" s="1"/>
  <c r="I232" i="14" s="1"/>
  <c r="C232" i="14"/>
  <c r="C231" i="14"/>
  <c r="E231" i="14"/>
  <c r="G231" i="14" s="1"/>
  <c r="H231" i="14" s="1"/>
  <c r="I231" i="14" s="1"/>
  <c r="C229" i="14"/>
  <c r="E229" i="14"/>
  <c r="G229" i="14" s="1"/>
  <c r="H229" i="14" s="1"/>
  <c r="I229" i="14" s="1"/>
  <c r="C225" i="14"/>
  <c r="E225" i="14"/>
  <c r="G225" i="14" s="1"/>
  <c r="H225" i="14" s="1"/>
  <c r="I225" i="14" s="1"/>
  <c r="C222" i="14"/>
  <c r="E222" i="14"/>
  <c r="G222" i="14" s="1"/>
  <c r="H222" i="14" s="1"/>
  <c r="I222" i="14" s="1"/>
  <c r="C219" i="14"/>
  <c r="E219" i="14"/>
  <c r="G219" i="14" s="1"/>
  <c r="H219" i="14" s="1"/>
  <c r="I219" i="14" s="1"/>
  <c r="E217" i="14"/>
  <c r="G217" i="14" s="1"/>
  <c r="H217" i="14" s="1"/>
  <c r="I217" i="14" s="1"/>
  <c r="C217" i="14"/>
  <c r="E215" i="14"/>
  <c r="G215" i="14" s="1"/>
  <c r="H215" i="14" s="1"/>
  <c r="I215" i="14" s="1"/>
  <c r="C215" i="14"/>
  <c r="E212" i="14"/>
  <c r="G212" i="14" s="1"/>
  <c r="H212" i="14" s="1"/>
  <c r="I212" i="14" s="1"/>
  <c r="C212" i="14"/>
  <c r="C210" i="14"/>
  <c r="E210" i="14"/>
  <c r="G210" i="14" s="1"/>
  <c r="H210" i="14" s="1"/>
  <c r="I210" i="14" s="1"/>
  <c r="E209" i="14"/>
  <c r="G209" i="14" s="1"/>
  <c r="H209" i="14" s="1"/>
  <c r="I209" i="14" s="1"/>
  <c r="C209" i="14"/>
  <c r="C208" i="14"/>
  <c r="E208" i="14"/>
  <c r="G208" i="14" s="1"/>
  <c r="H208" i="14" s="1"/>
  <c r="I208" i="14" s="1"/>
  <c r="C205" i="14"/>
  <c r="E205" i="14"/>
  <c r="G205" i="14" s="1"/>
  <c r="H205" i="14" s="1"/>
  <c r="I205" i="14" s="1"/>
  <c r="C202" i="14"/>
  <c r="E202" i="14"/>
  <c r="G202" i="14" s="1"/>
  <c r="H202" i="14" s="1"/>
  <c r="I202" i="14" s="1"/>
  <c r="E200" i="14"/>
  <c r="G200" i="14" s="1"/>
  <c r="H200" i="14" s="1"/>
  <c r="I200" i="14" s="1"/>
  <c r="C200" i="14"/>
  <c r="E198" i="14"/>
  <c r="G198" i="14" s="1"/>
  <c r="H198" i="14" s="1"/>
  <c r="I198" i="14" s="1"/>
  <c r="C198" i="14"/>
  <c r="E195" i="14"/>
  <c r="G195" i="14" s="1"/>
  <c r="H195" i="14" s="1"/>
  <c r="I195" i="14" s="1"/>
  <c r="C195" i="14"/>
  <c r="E193" i="14"/>
  <c r="G193" i="14" s="1"/>
  <c r="H193" i="14" s="1"/>
  <c r="I193" i="14" s="1"/>
  <c r="C193" i="14"/>
  <c r="E191" i="14"/>
  <c r="G191" i="14" s="1"/>
  <c r="H191" i="14" s="1"/>
  <c r="I191" i="14" s="1"/>
  <c r="C191" i="14"/>
  <c r="E189" i="14"/>
  <c r="G189" i="14" s="1"/>
  <c r="H189" i="14" s="1"/>
  <c r="I189" i="14" s="1"/>
  <c r="C189" i="14"/>
  <c r="E186" i="14"/>
  <c r="G186" i="14" s="1"/>
  <c r="H186" i="14" s="1"/>
  <c r="I186" i="14" s="1"/>
  <c r="C186" i="14"/>
  <c r="E184" i="14"/>
  <c r="G184" i="14" s="1"/>
  <c r="H184" i="14" s="1"/>
  <c r="I184" i="14" s="1"/>
  <c r="C184" i="14"/>
  <c r="E182" i="14"/>
  <c r="G182" i="14" s="1"/>
  <c r="H182" i="14" s="1"/>
  <c r="I182" i="14" s="1"/>
  <c r="C182" i="14"/>
  <c r="C181" i="14"/>
  <c r="E181" i="14"/>
  <c r="G181" i="14" s="1"/>
  <c r="H181" i="14" s="1"/>
  <c r="I181" i="14" s="1"/>
  <c r="E178" i="14"/>
  <c r="G178" i="14" s="1"/>
  <c r="H178" i="14" s="1"/>
  <c r="I178" i="14" s="1"/>
  <c r="C178" i="14"/>
  <c r="E175" i="14"/>
  <c r="G175" i="14" s="1"/>
  <c r="H175" i="14" s="1"/>
  <c r="I175" i="14" s="1"/>
  <c r="C175" i="14"/>
  <c r="E171" i="14"/>
  <c r="G171" i="14" s="1"/>
  <c r="H171" i="14" s="1"/>
  <c r="I171" i="14" s="1"/>
  <c r="C171" i="14"/>
  <c r="E155" i="14"/>
  <c r="G155" i="14" s="1"/>
  <c r="H155" i="14" s="1"/>
  <c r="I155" i="14" s="1"/>
  <c r="C155" i="14"/>
  <c r="C152" i="14"/>
  <c r="E152" i="14"/>
  <c r="G152" i="14" s="1"/>
  <c r="H152" i="14" s="1"/>
  <c r="I152" i="14" s="1"/>
  <c r="E151" i="14"/>
  <c r="G151" i="14" s="1"/>
  <c r="H151" i="14" s="1"/>
  <c r="I151" i="14" s="1"/>
  <c r="C151" i="14"/>
  <c r="C147" i="14"/>
  <c r="E147" i="14"/>
  <c r="G147" i="14" s="1"/>
  <c r="H147" i="14" s="1"/>
  <c r="I147" i="14" s="1"/>
  <c r="C143" i="14"/>
  <c r="E143" i="14"/>
  <c r="G143" i="14" s="1"/>
  <c r="H143" i="14" s="1"/>
  <c r="I143" i="14" s="1"/>
  <c r="C134" i="14"/>
  <c r="E134" i="14"/>
  <c r="G134" i="14" s="1"/>
  <c r="H134" i="14" s="1"/>
  <c r="I134" i="14" s="1"/>
  <c r="C129" i="14"/>
  <c r="E129" i="14"/>
  <c r="G129" i="14" s="1"/>
  <c r="H129" i="14" s="1"/>
  <c r="I129" i="14" s="1"/>
  <c r="C125" i="14"/>
  <c r="E125" i="14"/>
  <c r="G125" i="14" s="1"/>
  <c r="H125" i="14" s="1"/>
  <c r="I125" i="14" s="1"/>
  <c r="C124" i="14"/>
  <c r="E124" i="14"/>
  <c r="G124" i="14" s="1"/>
  <c r="H124" i="14" s="1"/>
  <c r="I124" i="14" s="1"/>
  <c r="C118" i="14"/>
  <c r="E118" i="14"/>
  <c r="G118" i="14" s="1"/>
  <c r="H118" i="14" s="1"/>
  <c r="I118" i="14" s="1"/>
  <c r="C116" i="14"/>
  <c r="E116" i="14"/>
  <c r="G116" i="14" s="1"/>
  <c r="H116" i="14" s="1"/>
  <c r="I116" i="14" s="1"/>
  <c r="C114" i="14"/>
  <c r="E114" i="14"/>
  <c r="G114" i="14" s="1"/>
  <c r="H114" i="14" s="1"/>
  <c r="I114" i="14" s="1"/>
  <c r="C106" i="14"/>
  <c r="E106" i="14"/>
  <c r="G106" i="14" s="1"/>
  <c r="H106" i="14" s="1"/>
  <c r="I106" i="14" s="1"/>
  <c r="C105" i="14"/>
  <c r="E105" i="14"/>
  <c r="G105" i="14" s="1"/>
  <c r="H105" i="14" s="1"/>
  <c r="I105" i="14" s="1"/>
  <c r="C102" i="14"/>
  <c r="E102" i="14"/>
  <c r="G102" i="14" s="1"/>
  <c r="H102" i="14" s="1"/>
  <c r="I102" i="14" s="1"/>
  <c r="C97" i="14"/>
  <c r="E97" i="14"/>
  <c r="G97" i="14" s="1"/>
  <c r="H97" i="14" s="1"/>
  <c r="I97" i="14" s="1"/>
  <c r="C96" i="14"/>
  <c r="E96" i="14"/>
  <c r="G96" i="14" s="1"/>
  <c r="H96" i="14" s="1"/>
  <c r="I96" i="14" s="1"/>
  <c r="C91" i="14"/>
  <c r="E91" i="14"/>
  <c r="G91" i="14" s="1"/>
  <c r="H91" i="14" s="1"/>
  <c r="I91" i="14" s="1"/>
  <c r="C86" i="14"/>
  <c r="E86" i="14"/>
  <c r="G86" i="14" s="1"/>
  <c r="H86" i="14" s="1"/>
  <c r="I86" i="14" s="1"/>
  <c r="C85" i="14"/>
  <c r="E85" i="14"/>
  <c r="G85" i="14" s="1"/>
  <c r="H85" i="14" s="1"/>
  <c r="I85" i="14" s="1"/>
  <c r="C83" i="14"/>
  <c r="E83" i="14"/>
  <c r="G83" i="14" s="1"/>
  <c r="H83" i="14" s="1"/>
  <c r="I83" i="14" s="1"/>
  <c r="C81" i="14"/>
  <c r="E81" i="14"/>
  <c r="G81" i="14" s="1"/>
  <c r="H81" i="14" s="1"/>
  <c r="I81" i="14" s="1"/>
  <c r="C80" i="14"/>
  <c r="E80" i="14"/>
  <c r="G80" i="14" s="1"/>
  <c r="H80" i="14" s="1"/>
  <c r="I80" i="14" s="1"/>
  <c r="C78" i="14"/>
  <c r="E78" i="14"/>
  <c r="G78" i="14" s="1"/>
  <c r="H78" i="14" s="1"/>
  <c r="I78" i="14" s="1"/>
  <c r="E76" i="14"/>
  <c r="G76" i="14" s="1"/>
  <c r="H76" i="14" s="1"/>
  <c r="I76" i="14" s="1"/>
  <c r="C76" i="14"/>
  <c r="C74" i="14"/>
  <c r="E74" i="14"/>
  <c r="G74" i="14" s="1"/>
  <c r="H74" i="14" s="1"/>
  <c r="I74" i="14" s="1"/>
  <c r="C71" i="14"/>
  <c r="E71" i="14"/>
  <c r="G71" i="14" s="1"/>
  <c r="H71" i="14" s="1"/>
  <c r="I71" i="14" s="1"/>
  <c r="C70" i="14"/>
  <c r="E70" i="14"/>
  <c r="G70" i="14" s="1"/>
  <c r="H70" i="14" s="1"/>
  <c r="I70" i="14" s="1"/>
  <c r="C69" i="14"/>
  <c r="E69" i="14"/>
  <c r="G69" i="14" s="1"/>
  <c r="H69" i="14" s="1"/>
  <c r="I69" i="14" s="1"/>
  <c r="C68" i="14"/>
  <c r="E68" i="14"/>
  <c r="G68" i="14" s="1"/>
  <c r="H68" i="14" s="1"/>
  <c r="I68" i="14" s="1"/>
  <c r="C67" i="14"/>
  <c r="E67" i="14"/>
  <c r="G67" i="14" s="1"/>
  <c r="H67" i="14" s="1"/>
  <c r="I67" i="14" s="1"/>
  <c r="C66" i="14"/>
  <c r="E66" i="14"/>
  <c r="G66" i="14" s="1"/>
  <c r="H66" i="14" s="1"/>
  <c r="I66" i="14" s="1"/>
  <c r="C64" i="14"/>
  <c r="E64" i="14"/>
  <c r="G64" i="14" s="1"/>
  <c r="H64" i="14" s="1"/>
  <c r="I64" i="14" s="1"/>
  <c r="C61" i="14"/>
  <c r="E61" i="14"/>
  <c r="G61" i="14" s="1"/>
  <c r="H61" i="14" s="1"/>
  <c r="I61" i="14" s="1"/>
  <c r="C59" i="14"/>
  <c r="E59" i="14"/>
  <c r="G59" i="14" s="1"/>
  <c r="H59" i="14" s="1"/>
  <c r="I59" i="14" s="1"/>
  <c r="C58" i="14"/>
  <c r="E58" i="14"/>
  <c r="G58" i="14" s="1"/>
  <c r="H58" i="14" s="1"/>
  <c r="I58" i="14" s="1"/>
  <c r="E57" i="14"/>
  <c r="G57" i="14" s="1"/>
  <c r="H57" i="14" s="1"/>
  <c r="I57" i="14" s="1"/>
  <c r="C57" i="14"/>
  <c r="C56" i="14"/>
  <c r="E56" i="14"/>
  <c r="G56" i="14" s="1"/>
  <c r="H56" i="14" s="1"/>
  <c r="I56" i="14" s="1"/>
  <c r="C55" i="14"/>
  <c r="E55" i="14"/>
  <c r="G55" i="14" s="1"/>
  <c r="H55" i="14" s="1"/>
  <c r="I55" i="14" s="1"/>
  <c r="C54" i="14"/>
  <c r="E54" i="14"/>
  <c r="G54" i="14" s="1"/>
  <c r="H54" i="14" s="1"/>
  <c r="I54" i="14" s="1"/>
  <c r="C53" i="14"/>
  <c r="E53" i="14"/>
  <c r="G53" i="14" s="1"/>
  <c r="H53" i="14" s="1"/>
  <c r="I53" i="14" s="1"/>
  <c r="C50" i="14"/>
  <c r="E50" i="14"/>
  <c r="G50" i="14" s="1"/>
  <c r="H50" i="14" s="1"/>
  <c r="I50" i="14" s="1"/>
  <c r="C48" i="14"/>
  <c r="E48" i="14"/>
  <c r="G48" i="14" s="1"/>
  <c r="H48" i="14" s="1"/>
  <c r="I48" i="14" s="1"/>
  <c r="C45" i="14"/>
  <c r="E45" i="14"/>
  <c r="G45" i="14" s="1"/>
  <c r="H45" i="14" s="1"/>
  <c r="I45" i="14" s="1"/>
  <c r="C44" i="14"/>
  <c r="E44" i="14"/>
  <c r="G44" i="14" s="1"/>
  <c r="H44" i="14" s="1"/>
  <c r="I44" i="14" s="1"/>
  <c r="C42" i="14"/>
  <c r="E42" i="14"/>
  <c r="G42" i="14" s="1"/>
  <c r="H42" i="14" s="1"/>
  <c r="I42" i="14" s="1"/>
  <c r="E39" i="14"/>
  <c r="G39" i="14" s="1"/>
  <c r="H39" i="14" s="1"/>
  <c r="I39" i="14" s="1"/>
  <c r="C39" i="14"/>
  <c r="E36" i="14"/>
  <c r="G36" i="14" s="1"/>
  <c r="H36" i="14" s="1"/>
  <c r="I36" i="14" s="1"/>
  <c r="C36" i="14"/>
  <c r="E35" i="14"/>
  <c r="G35" i="14" s="1"/>
  <c r="H35" i="14" s="1"/>
  <c r="I35" i="14" s="1"/>
  <c r="C35" i="14"/>
  <c r="C33" i="14"/>
  <c r="E33" i="14"/>
  <c r="G33" i="14" s="1"/>
  <c r="H33" i="14" s="1"/>
  <c r="I33" i="14" s="1"/>
  <c r="E31" i="14"/>
  <c r="G31" i="14" s="1"/>
  <c r="H31" i="14" s="1"/>
  <c r="I31" i="14" s="1"/>
  <c r="C31" i="14"/>
  <c r="E29" i="14"/>
  <c r="G29" i="14" s="1"/>
  <c r="H29" i="14" s="1"/>
  <c r="I29" i="14" s="1"/>
  <c r="C29" i="14"/>
  <c r="C353" i="14"/>
  <c r="E353" i="14"/>
  <c r="G353" i="14" s="1"/>
  <c r="H353" i="14" s="1"/>
  <c r="I353" i="14" s="1"/>
  <c r="E349" i="14"/>
  <c r="G349" i="14" s="1"/>
  <c r="H349" i="14" s="1"/>
  <c r="I349" i="14" s="1"/>
  <c r="C349" i="14"/>
  <c r="E345" i="14"/>
  <c r="G345" i="14" s="1"/>
  <c r="H345" i="14" s="1"/>
  <c r="I345" i="14" s="1"/>
  <c r="C345" i="14"/>
  <c r="E344" i="14"/>
  <c r="G344" i="14" s="1"/>
  <c r="H344" i="14" s="1"/>
  <c r="I344" i="14" s="1"/>
  <c r="C344" i="14"/>
  <c r="C339" i="14"/>
  <c r="E339" i="14"/>
  <c r="G339" i="14" s="1"/>
  <c r="H339" i="14" s="1"/>
  <c r="I339" i="14" s="1"/>
  <c r="C336" i="14"/>
  <c r="E336" i="14"/>
  <c r="G336" i="14" s="1"/>
  <c r="H336" i="14" s="1"/>
  <c r="I336" i="14" s="1"/>
  <c r="E333" i="14"/>
  <c r="G333" i="14" s="1"/>
  <c r="H333" i="14" s="1"/>
  <c r="I333" i="14" s="1"/>
  <c r="C333" i="14"/>
  <c r="E330" i="14"/>
  <c r="G330" i="14" s="1"/>
  <c r="H330" i="14" s="1"/>
  <c r="I330" i="14" s="1"/>
  <c r="C330" i="14"/>
  <c r="E325" i="14"/>
  <c r="G325" i="14" s="1"/>
  <c r="H325" i="14" s="1"/>
  <c r="I325" i="14" s="1"/>
  <c r="C325" i="14"/>
  <c r="E322" i="14"/>
  <c r="G322" i="14" s="1"/>
  <c r="H322" i="14" s="1"/>
  <c r="I322" i="14" s="1"/>
  <c r="C322" i="14"/>
  <c r="E318" i="14"/>
  <c r="G318" i="14" s="1"/>
  <c r="H318" i="14" s="1"/>
  <c r="I318" i="14" s="1"/>
  <c r="C318" i="14"/>
  <c r="E313" i="14"/>
  <c r="G313" i="14" s="1"/>
  <c r="H313" i="14" s="1"/>
  <c r="I313" i="14" s="1"/>
  <c r="C313" i="14"/>
  <c r="E310" i="14"/>
  <c r="G310" i="14" s="1"/>
  <c r="H310" i="14" s="1"/>
  <c r="I310" i="14" s="1"/>
  <c r="C310" i="14"/>
  <c r="E308" i="14"/>
  <c r="G308" i="14" s="1"/>
  <c r="H308" i="14" s="1"/>
  <c r="I308" i="14" s="1"/>
  <c r="C308" i="14"/>
  <c r="E306" i="14"/>
  <c r="G306" i="14" s="1"/>
  <c r="H306" i="14" s="1"/>
  <c r="I306" i="14" s="1"/>
  <c r="C306" i="14"/>
  <c r="E304" i="14"/>
  <c r="G304" i="14" s="1"/>
  <c r="H304" i="14" s="1"/>
  <c r="I304" i="14" s="1"/>
  <c r="C304" i="14"/>
  <c r="C299" i="14"/>
  <c r="E299" i="14"/>
  <c r="G299" i="14" s="1"/>
  <c r="H299" i="14" s="1"/>
  <c r="I299" i="14" s="1"/>
  <c r="E297" i="14"/>
  <c r="G297" i="14" s="1"/>
  <c r="H297" i="14" s="1"/>
  <c r="I297" i="14" s="1"/>
  <c r="C297" i="14"/>
  <c r="C294" i="14"/>
  <c r="E294" i="14"/>
  <c r="G294" i="14" s="1"/>
  <c r="H294" i="14" s="1"/>
  <c r="I294" i="14" s="1"/>
  <c r="C291" i="14"/>
  <c r="E291" i="14"/>
  <c r="G291" i="14" s="1"/>
  <c r="H291" i="14" s="1"/>
  <c r="I291" i="14" s="1"/>
  <c r="E281" i="14"/>
  <c r="G281" i="14" s="1"/>
  <c r="H281" i="14" s="1"/>
  <c r="I281" i="14" s="1"/>
  <c r="C281" i="14"/>
  <c r="C271" i="14"/>
  <c r="E271" i="14"/>
  <c r="G271" i="14" s="1"/>
  <c r="H271" i="14" s="1"/>
  <c r="I271" i="14" s="1"/>
  <c r="C266" i="14"/>
  <c r="E266" i="14"/>
  <c r="G266" i="14" s="1"/>
  <c r="H266" i="14" s="1"/>
  <c r="I266" i="14" s="1"/>
  <c r="C264" i="14"/>
  <c r="E264" i="14"/>
  <c r="G264" i="14" s="1"/>
  <c r="H264" i="14" s="1"/>
  <c r="I264" i="14" s="1"/>
  <c r="E262" i="14"/>
  <c r="G262" i="14" s="1"/>
  <c r="H262" i="14" s="1"/>
  <c r="I262" i="14" s="1"/>
  <c r="C262" i="14"/>
  <c r="E260" i="14"/>
  <c r="G260" i="14" s="1"/>
  <c r="H260" i="14" s="1"/>
  <c r="I260" i="14" s="1"/>
  <c r="C260" i="14"/>
  <c r="C257" i="14"/>
  <c r="E257" i="14"/>
  <c r="G257" i="14" s="1"/>
  <c r="H257" i="14" s="1"/>
  <c r="I257" i="14" s="1"/>
  <c r="E250" i="14"/>
  <c r="G250" i="14" s="1"/>
  <c r="H250" i="14" s="1"/>
  <c r="I250" i="14" s="1"/>
  <c r="C250" i="14"/>
  <c r="E248" i="14"/>
  <c r="G248" i="14" s="1"/>
  <c r="H248" i="14" s="1"/>
  <c r="I248" i="14" s="1"/>
  <c r="C248" i="14"/>
  <c r="E246" i="14"/>
  <c r="G246" i="14" s="1"/>
  <c r="H246" i="14" s="1"/>
  <c r="I246" i="14" s="1"/>
  <c r="C246" i="14"/>
  <c r="E243" i="14"/>
  <c r="G243" i="14" s="1"/>
  <c r="H243" i="14" s="1"/>
  <c r="I243" i="14" s="1"/>
  <c r="C243" i="14"/>
  <c r="E241" i="14"/>
  <c r="G241" i="14" s="1"/>
  <c r="H241" i="14" s="1"/>
  <c r="I241" i="14" s="1"/>
  <c r="C241" i="14"/>
  <c r="C240" i="14"/>
  <c r="E240" i="14"/>
  <c r="G240" i="14" s="1"/>
  <c r="H240" i="14" s="1"/>
  <c r="I240" i="14" s="1"/>
  <c r="C239" i="14"/>
  <c r="E239" i="14"/>
  <c r="G239" i="14" s="1"/>
  <c r="H239" i="14" s="1"/>
  <c r="I239" i="14" s="1"/>
  <c r="C238" i="14"/>
  <c r="E238" i="14"/>
  <c r="G238" i="14" s="1"/>
  <c r="H238" i="14" s="1"/>
  <c r="I238" i="14" s="1"/>
  <c r="C237" i="14"/>
  <c r="E237" i="14"/>
  <c r="G237" i="14" s="1"/>
  <c r="H237" i="14" s="1"/>
  <c r="I237" i="14" s="1"/>
  <c r="E236" i="14"/>
  <c r="G236" i="14" s="1"/>
  <c r="H236" i="14" s="1"/>
  <c r="I236" i="14" s="1"/>
  <c r="C236" i="14"/>
  <c r="C235" i="14"/>
  <c r="E235" i="14"/>
  <c r="G235" i="14" s="1"/>
  <c r="H235" i="14" s="1"/>
  <c r="I235" i="14" s="1"/>
  <c r="E234" i="14"/>
  <c r="G234" i="14" s="1"/>
  <c r="H234" i="14" s="1"/>
  <c r="I234" i="14" s="1"/>
  <c r="C234" i="14"/>
  <c r="E233" i="14"/>
  <c r="G233" i="14" s="1"/>
  <c r="H233" i="14" s="1"/>
  <c r="I233" i="14" s="1"/>
  <c r="C233" i="14"/>
  <c r="E230" i="14"/>
  <c r="G230" i="14" s="1"/>
  <c r="H230" i="14" s="1"/>
  <c r="I230" i="14" s="1"/>
  <c r="C230" i="14"/>
  <c r="E228" i="14"/>
  <c r="G228" i="14" s="1"/>
  <c r="H228" i="14" s="1"/>
  <c r="I228" i="14" s="1"/>
  <c r="C228" i="14"/>
  <c r="E227" i="14"/>
  <c r="G227" i="14" s="1"/>
  <c r="H227" i="14" s="1"/>
  <c r="I227" i="14" s="1"/>
  <c r="C227" i="14"/>
  <c r="E224" i="14"/>
  <c r="G224" i="14" s="1"/>
  <c r="H224" i="14" s="1"/>
  <c r="I224" i="14" s="1"/>
  <c r="C224" i="14"/>
  <c r="E220" i="14"/>
  <c r="G220" i="14" s="1"/>
  <c r="H220" i="14" s="1"/>
  <c r="I220" i="14" s="1"/>
  <c r="C220" i="14"/>
  <c r="E218" i="14"/>
  <c r="G218" i="14" s="1"/>
  <c r="H218" i="14" s="1"/>
  <c r="I218" i="14" s="1"/>
  <c r="C218" i="14"/>
  <c r="E216" i="14"/>
  <c r="G216" i="14" s="1"/>
  <c r="H216" i="14" s="1"/>
  <c r="I216" i="14" s="1"/>
  <c r="C216" i="14"/>
  <c r="C213" i="14"/>
  <c r="E213" i="14"/>
  <c r="G213" i="14" s="1"/>
  <c r="H213" i="14" s="1"/>
  <c r="I213" i="14" s="1"/>
  <c r="E211" i="14"/>
  <c r="G211" i="14" s="1"/>
  <c r="H211" i="14" s="1"/>
  <c r="I211" i="14" s="1"/>
  <c r="C211" i="14"/>
  <c r="E206" i="14"/>
  <c r="G206" i="14" s="1"/>
  <c r="H206" i="14" s="1"/>
  <c r="I206" i="14" s="1"/>
  <c r="C206" i="14"/>
  <c r="E204" i="14"/>
  <c r="G204" i="14" s="1"/>
  <c r="H204" i="14" s="1"/>
  <c r="I204" i="14" s="1"/>
  <c r="C204" i="14"/>
  <c r="E201" i="14"/>
  <c r="G201" i="14" s="1"/>
  <c r="H201" i="14" s="1"/>
  <c r="I201" i="14" s="1"/>
  <c r="C201" i="14"/>
  <c r="C197" i="14"/>
  <c r="E197" i="14"/>
  <c r="G197" i="14" s="1"/>
  <c r="H197" i="14" s="1"/>
  <c r="I197" i="14" s="1"/>
  <c r="C187" i="14"/>
  <c r="E187" i="14"/>
  <c r="G187" i="14" s="1"/>
  <c r="H187" i="14" s="1"/>
  <c r="I187" i="14" s="1"/>
  <c r="C180" i="14"/>
  <c r="E180" i="14"/>
  <c r="G180" i="14" s="1"/>
  <c r="H180" i="14" s="1"/>
  <c r="I180" i="14" s="1"/>
  <c r="E177" i="14"/>
  <c r="G177" i="14" s="1"/>
  <c r="H177" i="14" s="1"/>
  <c r="I177" i="14" s="1"/>
  <c r="C177" i="14"/>
  <c r="C174" i="14"/>
  <c r="E174" i="14"/>
  <c r="G174" i="14" s="1"/>
  <c r="H174" i="14" s="1"/>
  <c r="I174" i="14" s="1"/>
  <c r="C172" i="14"/>
  <c r="E172" i="14"/>
  <c r="G172" i="14" s="1"/>
  <c r="H172" i="14" s="1"/>
  <c r="I172" i="14" s="1"/>
  <c r="E169" i="14"/>
  <c r="G169" i="14" s="1"/>
  <c r="H169" i="14" s="1"/>
  <c r="I169" i="14" s="1"/>
  <c r="C169" i="14"/>
  <c r="C168" i="14"/>
  <c r="E168" i="14"/>
  <c r="G168" i="14" s="1"/>
  <c r="H168" i="14" s="1"/>
  <c r="I168" i="14" s="1"/>
  <c r="C166" i="14"/>
  <c r="E166" i="14"/>
  <c r="G166" i="14" s="1"/>
  <c r="H166" i="14" s="1"/>
  <c r="I166" i="14" s="1"/>
  <c r="C164" i="14"/>
  <c r="E164" i="14"/>
  <c r="G164" i="14" s="1"/>
  <c r="H164" i="14" s="1"/>
  <c r="I164" i="14" s="1"/>
  <c r="E162" i="14"/>
  <c r="G162" i="14" s="1"/>
  <c r="H162" i="14" s="1"/>
  <c r="I162" i="14" s="1"/>
  <c r="C162" i="14"/>
  <c r="C160" i="14"/>
  <c r="E160" i="14"/>
  <c r="G160" i="14" s="1"/>
  <c r="H160" i="14" s="1"/>
  <c r="I160" i="14" s="1"/>
  <c r="E157" i="14"/>
  <c r="G157" i="14" s="1"/>
  <c r="H157" i="14" s="1"/>
  <c r="I157" i="14" s="1"/>
  <c r="C157" i="14"/>
  <c r="E154" i="14"/>
  <c r="G154" i="14" s="1"/>
  <c r="H154" i="14" s="1"/>
  <c r="I154" i="14" s="1"/>
  <c r="C154" i="14"/>
  <c r="E150" i="14"/>
  <c r="G150" i="14" s="1"/>
  <c r="H150" i="14" s="1"/>
  <c r="I150" i="14" s="1"/>
  <c r="C150" i="14"/>
  <c r="E149" i="14"/>
  <c r="G149" i="14" s="1"/>
  <c r="H149" i="14" s="1"/>
  <c r="I149" i="14" s="1"/>
  <c r="C149" i="14"/>
  <c r="C141" i="14"/>
  <c r="E141" i="14"/>
  <c r="G141" i="14" s="1"/>
  <c r="H141" i="14" s="1"/>
  <c r="I141" i="14" s="1"/>
  <c r="C139" i="14"/>
  <c r="E139" i="14"/>
  <c r="G139" i="14" s="1"/>
  <c r="H139" i="14" s="1"/>
  <c r="I139" i="14" s="1"/>
  <c r="C137" i="14"/>
  <c r="E137" i="14"/>
  <c r="G137" i="14" s="1"/>
  <c r="H137" i="14" s="1"/>
  <c r="I137" i="14" s="1"/>
  <c r="C132" i="14"/>
  <c r="E132" i="14"/>
  <c r="G132" i="14" s="1"/>
  <c r="H132" i="14" s="1"/>
  <c r="I132" i="14" s="1"/>
  <c r="E126" i="14"/>
  <c r="G126" i="14" s="1"/>
  <c r="H126" i="14" s="1"/>
  <c r="I126" i="14" s="1"/>
  <c r="C126" i="14"/>
  <c r="E122" i="14"/>
  <c r="G122" i="14" s="1"/>
  <c r="H122" i="14" s="1"/>
  <c r="I122" i="14" s="1"/>
  <c r="C122" i="14"/>
  <c r="C120" i="14"/>
  <c r="E120" i="14"/>
  <c r="G120" i="14" s="1"/>
  <c r="H120" i="14" s="1"/>
  <c r="I120" i="14" s="1"/>
  <c r="C117" i="14"/>
  <c r="E117" i="14"/>
  <c r="G117" i="14" s="1"/>
  <c r="H117" i="14" s="1"/>
  <c r="I117" i="14" s="1"/>
  <c r="C113" i="14"/>
  <c r="E113" i="14"/>
  <c r="G113" i="14" s="1"/>
  <c r="H113" i="14" s="1"/>
  <c r="I113" i="14" s="1"/>
  <c r="C111" i="14"/>
  <c r="E111" i="14"/>
  <c r="G111" i="14" s="1"/>
  <c r="H111" i="14" s="1"/>
  <c r="I111" i="14" s="1"/>
  <c r="C109" i="14"/>
  <c r="E109" i="14"/>
  <c r="G109" i="14" s="1"/>
  <c r="H109" i="14" s="1"/>
  <c r="I109" i="14" s="1"/>
  <c r="E108" i="14"/>
  <c r="G108" i="14" s="1"/>
  <c r="H108" i="14" s="1"/>
  <c r="I108" i="14" s="1"/>
  <c r="C108" i="14"/>
  <c r="C107" i="14"/>
  <c r="E107" i="14"/>
  <c r="G107" i="14" s="1"/>
  <c r="H107" i="14" s="1"/>
  <c r="I107" i="14" s="1"/>
  <c r="C103" i="14"/>
  <c r="E103" i="14"/>
  <c r="G103" i="14" s="1"/>
  <c r="H103" i="14" s="1"/>
  <c r="I103" i="14" s="1"/>
  <c r="E98" i="14"/>
  <c r="G98" i="14" s="1"/>
  <c r="H98" i="14" s="1"/>
  <c r="I98" i="14" s="1"/>
  <c r="C98" i="14"/>
  <c r="C94" i="14"/>
  <c r="E94" i="14"/>
  <c r="G94" i="14" s="1"/>
  <c r="H94" i="14" s="1"/>
  <c r="I94" i="14" s="1"/>
  <c r="C89" i="14"/>
  <c r="E89" i="14"/>
  <c r="G89" i="14" s="1"/>
  <c r="H89" i="14" s="1"/>
  <c r="I89" i="14" s="1"/>
  <c r="E79" i="14"/>
  <c r="G79" i="14" s="1"/>
  <c r="H79" i="14" s="1"/>
  <c r="I79" i="14" s="1"/>
  <c r="C79" i="14"/>
  <c r="B8" i="10"/>
  <c r="P15" i="10"/>
  <c r="E174" i="9"/>
  <c r="H174" i="9" s="1"/>
  <c r="E173" i="9"/>
  <c r="H173" i="9" s="1"/>
  <c r="E211" i="9"/>
  <c r="H211" i="9" s="1"/>
  <c r="E172" i="9"/>
  <c r="H172" i="9" s="1"/>
  <c r="E171" i="9"/>
  <c r="H171" i="9" s="1"/>
  <c r="E214" i="9"/>
  <c r="H214" i="9" s="1"/>
  <c r="E170" i="9"/>
  <c r="H170" i="9" s="1"/>
  <c r="E216" i="9"/>
  <c r="H216" i="9" s="1"/>
  <c r="E217" i="9"/>
  <c r="H217" i="9" s="1"/>
  <c r="E166" i="9"/>
  <c r="H166" i="9" s="1"/>
  <c r="E219" i="9"/>
  <c r="H219" i="9" s="1"/>
  <c r="E164" i="9"/>
  <c r="H164" i="9" s="1"/>
  <c r="E221" i="9"/>
  <c r="H221" i="9" s="1"/>
  <c r="E162" i="9"/>
  <c r="H162" i="9" s="1"/>
  <c r="E223" i="9"/>
  <c r="H223" i="9" s="1"/>
  <c r="E160" i="9"/>
  <c r="H160" i="9" s="1"/>
  <c r="E225" i="9"/>
  <c r="H225" i="9" s="1"/>
  <c r="E157" i="9"/>
  <c r="H157" i="9" s="1"/>
  <c r="E228" i="9"/>
  <c r="H228" i="9" s="1"/>
  <c r="E155" i="9"/>
  <c r="H155" i="9" s="1"/>
  <c r="E230" i="9"/>
  <c r="H230" i="9" s="1"/>
  <c r="E153" i="9"/>
  <c r="H153" i="9" s="1"/>
  <c r="E232" i="9"/>
  <c r="H232" i="9" s="1"/>
  <c r="E151" i="9"/>
  <c r="H151" i="9" s="1"/>
  <c r="E234" i="9"/>
  <c r="H234" i="9" s="1"/>
  <c r="E149" i="9"/>
  <c r="H149" i="9" s="1"/>
  <c r="E236" i="9"/>
  <c r="H236" i="9" s="1"/>
  <c r="E237" i="9"/>
  <c r="H237" i="9" s="1"/>
  <c r="E147" i="9"/>
  <c r="H147" i="9" s="1"/>
  <c r="E239" i="9"/>
  <c r="H239" i="9" s="1"/>
  <c r="E145" i="9"/>
  <c r="H145" i="9" s="1"/>
  <c r="E242" i="9"/>
  <c r="H242" i="9" s="1"/>
  <c r="E142" i="9"/>
  <c r="H142" i="9" s="1"/>
  <c r="E244" i="9"/>
  <c r="H244" i="9" s="1"/>
  <c r="E141" i="9"/>
  <c r="H141" i="9" s="1"/>
  <c r="E246" i="9"/>
  <c r="H246" i="9" s="1"/>
  <c r="E138" i="9"/>
  <c r="H138" i="9" s="1"/>
  <c r="E136" i="9"/>
  <c r="H136" i="9" s="1"/>
  <c r="E249" i="9"/>
  <c r="H249" i="9" s="1"/>
  <c r="E134" i="9"/>
  <c r="H134" i="9" s="1"/>
  <c r="E251" i="9"/>
  <c r="H251" i="9" s="1"/>
  <c r="E132" i="9"/>
  <c r="H132" i="9" s="1"/>
  <c r="E254" i="9"/>
  <c r="H254" i="9" s="1"/>
  <c r="E126" i="9"/>
  <c r="H126" i="9" s="1"/>
  <c r="E124" i="9"/>
  <c r="H124" i="9" s="1"/>
  <c r="E257" i="9"/>
  <c r="H257" i="9" s="1"/>
  <c r="E123" i="9"/>
  <c r="H123" i="9" s="1"/>
  <c r="E121" i="9"/>
  <c r="H121" i="9" s="1"/>
  <c r="E260" i="9"/>
  <c r="H260" i="9" s="1"/>
  <c r="E261" i="9"/>
  <c r="H261" i="9" s="1"/>
  <c r="E263" i="9"/>
  <c r="H263" i="9" s="1"/>
  <c r="E265" i="9"/>
  <c r="H265" i="9" s="1"/>
  <c r="E118" i="9"/>
  <c r="H118" i="9" s="1"/>
  <c r="E267" i="9"/>
  <c r="H267" i="9" s="1"/>
  <c r="E269" i="9"/>
  <c r="H269" i="9" s="1"/>
  <c r="E116" i="9"/>
  <c r="H116" i="9" s="1"/>
  <c r="E271" i="9"/>
  <c r="H271" i="9" s="1"/>
  <c r="E108" i="9"/>
  <c r="H108" i="9" s="1"/>
  <c r="E106" i="9"/>
  <c r="H106" i="9" s="1"/>
  <c r="E276" i="9"/>
  <c r="H276" i="9" s="1"/>
  <c r="E103" i="9"/>
  <c r="H103" i="9" s="1"/>
  <c r="E278" i="9"/>
  <c r="H278" i="9" s="1"/>
  <c r="E101" i="9"/>
  <c r="H101" i="9" s="1"/>
  <c r="E99" i="9"/>
  <c r="H99" i="9" s="1"/>
  <c r="E97" i="9"/>
  <c r="H97" i="9" s="1"/>
  <c r="E282" i="9"/>
  <c r="H282" i="9" s="1"/>
  <c r="E95" i="9"/>
  <c r="H95" i="9" s="1"/>
  <c r="E284" i="9"/>
  <c r="H284" i="9" s="1"/>
  <c r="E285" i="9"/>
  <c r="H285" i="9" s="1"/>
  <c r="E287" i="9"/>
  <c r="H287" i="9" s="1"/>
  <c r="E289" i="9"/>
  <c r="H289" i="9" s="1"/>
  <c r="E292" i="9"/>
  <c r="H292" i="9" s="1"/>
  <c r="E295" i="9"/>
  <c r="H295" i="9" s="1"/>
  <c r="E296" i="9"/>
  <c r="H296" i="9" s="1"/>
  <c r="E298" i="9"/>
  <c r="H298" i="9" s="1"/>
  <c r="E84" i="9"/>
  <c r="H84" i="9" s="1"/>
  <c r="E81" i="9"/>
  <c r="H81" i="9" s="1"/>
  <c r="E302" i="9"/>
  <c r="H302" i="9" s="1"/>
  <c r="E80" i="9"/>
  <c r="H80" i="9" s="1"/>
  <c r="E304" i="9"/>
  <c r="H304" i="9" s="1"/>
  <c r="E305" i="9"/>
  <c r="H305" i="9" s="1"/>
  <c r="E307" i="9"/>
  <c r="H307" i="9" s="1"/>
  <c r="E78" i="9"/>
  <c r="H78" i="9" s="1"/>
  <c r="E309" i="9"/>
  <c r="H309" i="9" s="1"/>
  <c r="E76" i="9"/>
  <c r="H76" i="9" s="1"/>
  <c r="E311" i="9"/>
  <c r="H311" i="9" s="1"/>
  <c r="E74" i="9"/>
  <c r="H74" i="9" s="1"/>
  <c r="E73" i="9"/>
  <c r="H73" i="9" s="1"/>
  <c r="E314" i="9"/>
  <c r="H314" i="9" s="1"/>
  <c r="E72" i="9"/>
  <c r="H72" i="9" s="1"/>
  <c r="E68" i="9"/>
  <c r="H68" i="9" s="1"/>
  <c r="E318" i="9"/>
  <c r="H318" i="9" s="1"/>
  <c r="E65" i="9"/>
  <c r="H65" i="9" s="1"/>
  <c r="E63" i="9"/>
  <c r="H63" i="9" s="1"/>
  <c r="E321" i="9"/>
  <c r="H321" i="9" s="1"/>
  <c r="E61" i="9"/>
  <c r="H61" i="9" s="1"/>
  <c r="E323" i="9"/>
  <c r="H323" i="9" s="1"/>
  <c r="E58" i="9"/>
  <c r="H58" i="9" s="1"/>
  <c r="E326" i="9"/>
  <c r="H326" i="9" s="1"/>
  <c r="E56" i="9"/>
  <c r="H56" i="9" s="1"/>
  <c r="E328" i="9"/>
  <c r="H328" i="9" s="1"/>
  <c r="E329" i="9"/>
  <c r="H329" i="9" s="1"/>
  <c r="E331" i="9"/>
  <c r="H331" i="9" s="1"/>
  <c r="E333" i="9"/>
  <c r="H333" i="9" s="1"/>
  <c r="E48" i="9"/>
  <c r="H48" i="9" s="1"/>
  <c r="E46" i="9"/>
  <c r="H46" i="9" s="1"/>
  <c r="E44" i="9"/>
  <c r="H44" i="9" s="1"/>
  <c r="E42" i="9"/>
  <c r="H42" i="9" s="1"/>
  <c r="E40" i="9"/>
  <c r="H40" i="9" s="1"/>
  <c r="E34" i="9"/>
  <c r="H34" i="9" s="1"/>
  <c r="E667" i="9"/>
  <c r="H667" i="9" s="1"/>
  <c r="E669" i="9"/>
  <c r="H669" i="9" s="1"/>
  <c r="E671" i="9"/>
  <c r="H671" i="9" s="1"/>
  <c r="E673" i="9"/>
  <c r="H673" i="9" s="1"/>
  <c r="E676" i="9"/>
  <c r="H676" i="9" s="1"/>
  <c r="E677" i="9"/>
  <c r="H677" i="9" s="1"/>
  <c r="E678" i="9"/>
  <c r="H678" i="9" s="1"/>
  <c r="E681" i="9"/>
  <c r="H681" i="9" s="1"/>
  <c r="E682" i="9"/>
  <c r="H682" i="9" s="1"/>
  <c r="E687" i="9"/>
  <c r="H687" i="9" s="1"/>
  <c r="E690" i="9"/>
  <c r="H690" i="9" s="1"/>
  <c r="E700" i="9"/>
  <c r="H700" i="9" s="1"/>
  <c r="E704" i="9"/>
  <c r="H704" i="9" s="1"/>
  <c r="E708" i="9"/>
  <c r="H708" i="9" s="1"/>
  <c r="E709" i="9"/>
  <c r="H709" i="9" s="1"/>
  <c r="E275" i="9"/>
  <c r="H275" i="9" s="1"/>
  <c r="E105" i="9"/>
  <c r="H105" i="9" s="1"/>
  <c r="E280" i="9"/>
  <c r="H280" i="9" s="1"/>
  <c r="E281" i="9"/>
  <c r="H281" i="9" s="1"/>
  <c r="E93" i="9"/>
  <c r="H93" i="9" s="1"/>
  <c r="E92" i="9"/>
  <c r="H92" i="9" s="1"/>
  <c r="E91" i="9"/>
  <c r="H91" i="9" s="1"/>
  <c r="E90" i="9"/>
  <c r="H90" i="9" s="1"/>
  <c r="E89" i="9"/>
  <c r="H89" i="9" s="1"/>
  <c r="E88" i="9"/>
  <c r="H88" i="9" s="1"/>
  <c r="E87" i="9"/>
  <c r="H87" i="9" s="1"/>
  <c r="E86" i="9"/>
  <c r="H86" i="9" s="1"/>
  <c r="E313" i="9"/>
  <c r="H313" i="9" s="1"/>
  <c r="E316" i="9"/>
  <c r="H316" i="9" s="1"/>
  <c r="E70" i="9"/>
  <c r="H70" i="9" s="1"/>
  <c r="E60" i="9"/>
  <c r="H60" i="9" s="1"/>
  <c r="E325" i="9"/>
  <c r="H325" i="9" s="1"/>
  <c r="E53" i="9"/>
  <c r="H53" i="9" s="1"/>
  <c r="E52" i="9"/>
  <c r="H52" i="9" s="1"/>
  <c r="E50" i="9"/>
  <c r="H50" i="9" s="1"/>
  <c r="E358" i="9"/>
  <c r="H358" i="9" s="1"/>
  <c r="E359" i="9"/>
  <c r="H359" i="9" s="1"/>
  <c r="E360" i="9"/>
  <c r="H360" i="9" s="1"/>
  <c r="E361" i="9"/>
  <c r="H361" i="9" s="1"/>
  <c r="E362" i="9"/>
  <c r="H362" i="9" s="1"/>
  <c r="E363" i="9"/>
  <c r="H363" i="9" s="1"/>
  <c r="E364" i="9"/>
  <c r="H364" i="9" s="1"/>
  <c r="E16" i="9"/>
  <c r="H16" i="9" s="1"/>
  <c r="E650" i="9"/>
  <c r="H650" i="9" s="1"/>
  <c r="E1000" i="9"/>
  <c r="H1000" i="9" s="1"/>
  <c r="E652" i="9"/>
  <c r="H652" i="9" s="1"/>
  <c r="E653" i="9"/>
  <c r="H653" i="9" s="1"/>
  <c r="E999" i="9"/>
  <c r="H999" i="9" s="1"/>
  <c r="E998" i="9"/>
  <c r="H998" i="9" s="1"/>
  <c r="E658" i="9"/>
  <c r="H658" i="9" s="1"/>
  <c r="E659" i="9"/>
  <c r="H659" i="9" s="1"/>
  <c r="E997" i="9"/>
  <c r="H997" i="9" s="1"/>
  <c r="E996" i="9"/>
  <c r="H996" i="9" s="1"/>
  <c r="E662" i="9"/>
  <c r="H662" i="9" s="1"/>
  <c r="E995" i="9"/>
  <c r="H995" i="9" s="1"/>
  <c r="E664" i="9"/>
  <c r="H664" i="9" s="1"/>
  <c r="E665" i="9"/>
  <c r="H665" i="9" s="1"/>
  <c r="E994" i="9"/>
  <c r="H994" i="9" s="1"/>
  <c r="E993" i="9"/>
  <c r="H993" i="9" s="1"/>
  <c r="E670" i="9"/>
  <c r="H670" i="9" s="1"/>
  <c r="E992" i="9"/>
  <c r="H992" i="9" s="1"/>
  <c r="E991" i="9"/>
  <c r="H991" i="9" s="1"/>
  <c r="E990" i="9"/>
  <c r="H990" i="9" s="1"/>
  <c r="E675" i="9"/>
  <c r="H675" i="9" s="1"/>
  <c r="E989" i="9"/>
  <c r="H989" i="9" s="1"/>
  <c r="E988" i="9"/>
  <c r="H988" i="9" s="1"/>
  <c r="E987" i="9"/>
  <c r="H987" i="9" s="1"/>
  <c r="E986" i="9"/>
  <c r="H986" i="9" s="1"/>
  <c r="E985" i="9"/>
  <c r="H985" i="9" s="1"/>
  <c r="E984" i="9"/>
  <c r="H984" i="9" s="1"/>
  <c r="E983" i="9"/>
  <c r="H983" i="9" s="1"/>
  <c r="E982" i="9"/>
  <c r="H982" i="9" s="1"/>
  <c r="E981" i="9"/>
  <c r="H981" i="9" s="1"/>
  <c r="E980" i="9"/>
  <c r="H980" i="9" s="1"/>
  <c r="E979" i="9"/>
  <c r="H979" i="9" s="1"/>
  <c r="E978" i="9"/>
  <c r="H978" i="9" s="1"/>
  <c r="E977" i="9"/>
  <c r="H977" i="9" s="1"/>
  <c r="E976" i="9"/>
  <c r="H976" i="9" s="1"/>
  <c r="E365" i="9"/>
  <c r="H365" i="9" s="1"/>
  <c r="E975" i="9"/>
  <c r="H975" i="9" s="1"/>
  <c r="E366" i="9"/>
  <c r="H366" i="9" s="1"/>
  <c r="E974" i="9"/>
  <c r="H974" i="9" s="1"/>
  <c r="E367" i="9"/>
  <c r="H367" i="9" s="1"/>
  <c r="E973" i="9"/>
  <c r="H973" i="9" s="1"/>
  <c r="E368" i="9"/>
  <c r="H368" i="9" s="1"/>
  <c r="E972" i="9"/>
  <c r="H972" i="9" s="1"/>
  <c r="E369" i="9"/>
  <c r="H369" i="9" s="1"/>
  <c r="E971" i="9"/>
  <c r="H971" i="9" s="1"/>
  <c r="E370" i="9"/>
  <c r="H370" i="9" s="1"/>
  <c r="E109" i="9"/>
  <c r="H109" i="9" s="1"/>
  <c r="E110" i="9"/>
  <c r="H110" i="9" s="1"/>
  <c r="E111" i="9"/>
  <c r="H111" i="9" s="1"/>
  <c r="E112" i="9"/>
  <c r="H112" i="9" s="1"/>
  <c r="E268" i="9"/>
  <c r="H268" i="9" s="1"/>
  <c r="E262" i="9"/>
  <c r="H262" i="9" s="1"/>
  <c r="E167" i="9"/>
  <c r="H167" i="9" s="1"/>
  <c r="E187" i="9"/>
  <c r="H187" i="9" s="1"/>
  <c r="E188" i="9"/>
  <c r="H188" i="9" s="1"/>
  <c r="E189" i="9"/>
  <c r="H189" i="9" s="1"/>
  <c r="E190" i="9"/>
  <c r="H190" i="9" s="1"/>
  <c r="E191" i="9"/>
  <c r="H191" i="9" s="1"/>
  <c r="E192" i="9"/>
  <c r="H192" i="9" s="1"/>
  <c r="E193" i="9"/>
  <c r="H193" i="9" s="1"/>
  <c r="E186" i="9"/>
  <c r="H186" i="9" s="1"/>
  <c r="E177" i="9"/>
  <c r="H177" i="9" s="1"/>
  <c r="E176" i="9"/>
  <c r="H176" i="9" s="1"/>
  <c r="E702" i="9"/>
  <c r="H702" i="9" s="1"/>
  <c r="E698" i="9"/>
  <c r="H698" i="9" s="1"/>
  <c r="E695" i="9"/>
  <c r="H695" i="9" s="1"/>
  <c r="E691" i="9"/>
  <c r="H691" i="9" s="1"/>
  <c r="E20" i="9"/>
  <c r="H20" i="9" s="1"/>
  <c r="E17" i="9"/>
  <c r="H17" i="9" s="1"/>
  <c r="E21" i="9"/>
  <c r="H21" i="9" s="1"/>
  <c r="E22" i="9"/>
  <c r="H22" i="9" s="1"/>
  <c r="E23" i="9"/>
  <c r="H23" i="9" s="1"/>
  <c r="E24" i="9"/>
  <c r="H24" i="9" s="1"/>
  <c r="E25" i="9"/>
  <c r="H25" i="9" s="1"/>
  <c r="E26" i="9"/>
  <c r="H26" i="9" s="1"/>
  <c r="E27" i="9"/>
  <c r="H27" i="9" s="1"/>
  <c r="E28" i="9"/>
  <c r="H28" i="9" s="1"/>
  <c r="E30" i="9"/>
  <c r="H30" i="9" s="1"/>
  <c r="E31" i="9"/>
  <c r="H31" i="9" s="1"/>
  <c r="E35" i="9"/>
  <c r="H35" i="9" s="1"/>
  <c r="E36" i="9"/>
  <c r="H36" i="9" s="1"/>
  <c r="E37" i="9"/>
  <c r="H37" i="9" s="1"/>
  <c r="E38" i="9"/>
  <c r="H38" i="9" s="1"/>
  <c r="E39" i="9"/>
  <c r="H39" i="9" s="1"/>
  <c r="E45" i="9"/>
  <c r="H45" i="9" s="1"/>
  <c r="E356" i="9"/>
  <c r="H356" i="9" s="1"/>
  <c r="E355" i="9"/>
  <c r="H355" i="9" s="1"/>
  <c r="E354" i="9"/>
  <c r="H354" i="9" s="1"/>
  <c r="E353" i="9"/>
  <c r="H353" i="9" s="1"/>
  <c r="E352" i="9"/>
  <c r="H352" i="9" s="1"/>
  <c r="E351" i="9"/>
  <c r="H351" i="9" s="1"/>
  <c r="E350" i="9"/>
  <c r="H350" i="9" s="1"/>
  <c r="E349" i="9"/>
  <c r="H349" i="9" s="1"/>
  <c r="E348" i="9"/>
  <c r="H348" i="9" s="1"/>
  <c r="E347" i="9"/>
  <c r="H347" i="9" s="1"/>
  <c r="E346" i="9"/>
  <c r="H346" i="9" s="1"/>
  <c r="E345" i="9"/>
  <c r="H345" i="9" s="1"/>
  <c r="E344" i="9"/>
  <c r="H344" i="9" s="1"/>
  <c r="E343" i="9"/>
  <c r="H343" i="9" s="1"/>
  <c r="E342" i="9"/>
  <c r="H342" i="9" s="1"/>
  <c r="E341" i="9"/>
  <c r="H341" i="9" s="1"/>
  <c r="E340" i="9"/>
  <c r="H340" i="9" s="1"/>
  <c r="E54" i="9"/>
  <c r="H54" i="9" s="1"/>
  <c r="E339" i="9"/>
  <c r="H339" i="9" s="1"/>
  <c r="E338" i="9"/>
  <c r="H338" i="9" s="1"/>
  <c r="E337" i="9"/>
  <c r="H337" i="9" s="1"/>
  <c r="E336" i="9"/>
  <c r="H336" i="9" s="1"/>
  <c r="E335" i="9"/>
  <c r="H335" i="9" s="1"/>
  <c r="E64" i="9"/>
  <c r="H64" i="9" s="1"/>
  <c r="E334" i="9"/>
  <c r="H334" i="9" s="1"/>
  <c r="E98" i="9"/>
  <c r="H98" i="9" s="1"/>
  <c r="E306" i="9"/>
  <c r="H306" i="9" s="1"/>
  <c r="E657" i="9"/>
  <c r="H657" i="9" s="1"/>
  <c r="E711" i="9"/>
  <c r="H711" i="9" s="1"/>
  <c r="E18" i="9"/>
  <c r="H18" i="9" s="1"/>
  <c r="E932" i="9"/>
  <c r="H932" i="9" s="1"/>
  <c r="E29" i="9"/>
  <c r="H29" i="9" s="1"/>
  <c r="E32" i="9"/>
  <c r="H32" i="9" s="1"/>
  <c r="E33" i="9"/>
  <c r="H33" i="9" s="1"/>
  <c r="E41" i="9"/>
  <c r="H41" i="9" s="1"/>
  <c r="E43" i="9"/>
  <c r="H43" i="9" s="1"/>
  <c r="E47" i="9"/>
  <c r="H47" i="9" s="1"/>
  <c r="E706" i="9"/>
  <c r="H706" i="9" s="1"/>
  <c r="E705" i="9"/>
  <c r="H705" i="9" s="1"/>
  <c r="E701" i="9"/>
  <c r="H701" i="9" s="1"/>
  <c r="E699" i="9"/>
  <c r="H699" i="9" s="1"/>
  <c r="E697" i="9"/>
  <c r="H697" i="9" s="1"/>
  <c r="E696" i="9"/>
  <c r="H696" i="9" s="1"/>
  <c r="E694" i="9"/>
  <c r="H694" i="9" s="1"/>
  <c r="E692" i="9"/>
  <c r="H692" i="9" s="1"/>
  <c r="E357" i="9"/>
  <c r="H357" i="9" s="1"/>
  <c r="E49" i="9"/>
  <c r="H49" i="9" s="1"/>
  <c r="E51" i="9"/>
  <c r="H51" i="9" s="1"/>
  <c r="E55" i="9"/>
  <c r="H55" i="9" s="1"/>
  <c r="E57" i="9"/>
  <c r="H57" i="9" s="1"/>
  <c r="E59" i="9"/>
  <c r="H59" i="9" s="1"/>
  <c r="E62" i="9"/>
  <c r="H62" i="9" s="1"/>
  <c r="E332" i="9"/>
  <c r="H332" i="9" s="1"/>
  <c r="E66" i="9"/>
  <c r="H66" i="9" s="1"/>
  <c r="E67" i="9"/>
  <c r="H67" i="9" s="1"/>
  <c r="E330" i="9"/>
  <c r="H330" i="9" s="1"/>
  <c r="E69" i="9"/>
  <c r="H69" i="9" s="1"/>
  <c r="E71" i="9"/>
  <c r="H71" i="9" s="1"/>
  <c r="E327" i="9"/>
  <c r="H327" i="9" s="1"/>
  <c r="E324" i="9"/>
  <c r="H324" i="9" s="1"/>
  <c r="E322" i="9"/>
  <c r="H322" i="9" s="1"/>
  <c r="E75" i="9"/>
  <c r="H75" i="9" s="1"/>
  <c r="E320" i="9"/>
  <c r="H320" i="9" s="1"/>
  <c r="E77" i="9"/>
  <c r="H77" i="9" s="1"/>
  <c r="E319" i="9"/>
  <c r="H319" i="9" s="1"/>
  <c r="E79" i="9"/>
  <c r="H79" i="9" s="1"/>
  <c r="E317" i="9"/>
  <c r="H317" i="9" s="1"/>
  <c r="E315" i="9"/>
  <c r="H315" i="9" s="1"/>
  <c r="E82" i="9"/>
  <c r="H82" i="9" s="1"/>
  <c r="E83" i="9"/>
  <c r="H83" i="9" s="1"/>
  <c r="E312" i="9"/>
  <c r="H312" i="9" s="1"/>
  <c r="E85" i="9"/>
  <c r="H85" i="9" s="1"/>
  <c r="E94" i="9"/>
  <c r="H94" i="9" s="1"/>
  <c r="E310" i="9"/>
  <c r="H310" i="9" s="1"/>
  <c r="E96" i="9"/>
  <c r="H96" i="9" s="1"/>
  <c r="E308" i="9"/>
  <c r="H308" i="9" s="1"/>
  <c r="E303" i="9"/>
  <c r="H303" i="9" s="1"/>
  <c r="E100" i="9"/>
  <c r="H100" i="9" s="1"/>
  <c r="E301" i="9"/>
  <c r="H301" i="9" s="1"/>
  <c r="E102" i="9"/>
  <c r="H102" i="9" s="1"/>
  <c r="E300" i="9"/>
  <c r="H300" i="9" s="1"/>
  <c r="E104" i="9"/>
  <c r="H104" i="9" s="1"/>
  <c r="E299" i="9"/>
  <c r="H299" i="9" s="1"/>
  <c r="E107" i="9"/>
  <c r="H107" i="9" s="1"/>
  <c r="E297" i="9"/>
  <c r="H297" i="9" s="1"/>
  <c r="E294" i="9"/>
  <c r="H294" i="9" s="1"/>
  <c r="E293" i="9"/>
  <c r="H293" i="9" s="1"/>
  <c r="E291" i="9"/>
  <c r="H291" i="9" s="1"/>
  <c r="E290" i="9"/>
  <c r="H290" i="9" s="1"/>
  <c r="E113" i="9"/>
  <c r="H113" i="9" s="1"/>
  <c r="E115" i="9"/>
  <c r="H115" i="9" s="1"/>
  <c r="E288" i="9"/>
  <c r="H288" i="9" s="1"/>
  <c r="E117" i="9"/>
  <c r="H117" i="9" s="1"/>
  <c r="E286" i="9"/>
  <c r="H286" i="9" s="1"/>
  <c r="E119" i="9"/>
  <c r="H119" i="9" s="1"/>
  <c r="E283" i="9"/>
  <c r="H283" i="9" s="1"/>
  <c r="E122" i="9"/>
  <c r="H122" i="9" s="1"/>
  <c r="E279" i="9"/>
  <c r="H279" i="9" s="1"/>
  <c r="E277" i="9"/>
  <c r="H277" i="9" s="1"/>
  <c r="E125" i="9"/>
  <c r="H125" i="9" s="1"/>
  <c r="E274" i="9"/>
  <c r="H274" i="9" s="1"/>
  <c r="E127" i="9"/>
  <c r="H127" i="9" s="1"/>
  <c r="E128" i="9"/>
  <c r="H128" i="9" s="1"/>
  <c r="E129" i="9"/>
  <c r="H129" i="9" s="1"/>
  <c r="E131" i="9"/>
  <c r="H131" i="9" s="1"/>
  <c r="E273" i="9"/>
  <c r="H273" i="9" s="1"/>
  <c r="E133" i="9"/>
  <c r="H133" i="9" s="1"/>
  <c r="E272" i="9"/>
  <c r="H272" i="9" s="1"/>
  <c r="E135" i="9"/>
  <c r="H135" i="9" s="1"/>
  <c r="E270" i="9"/>
  <c r="H270" i="9" s="1"/>
  <c r="E137" i="9"/>
  <c r="H137" i="9" s="1"/>
  <c r="E139" i="9"/>
  <c r="H139" i="9" s="1"/>
  <c r="E140" i="9"/>
  <c r="H140" i="9" s="1"/>
  <c r="E266" i="9"/>
  <c r="H266" i="9" s="1"/>
  <c r="E264" i="9"/>
  <c r="H264" i="9" s="1"/>
  <c r="E143" i="9"/>
  <c r="H143" i="9" s="1"/>
  <c r="E146" i="9"/>
  <c r="H146" i="9" s="1"/>
  <c r="E259" i="9"/>
  <c r="H259" i="9" s="1"/>
  <c r="E148" i="9"/>
  <c r="H148" i="9" s="1"/>
  <c r="E258" i="9"/>
  <c r="H258" i="9" s="1"/>
  <c r="E150" i="9"/>
  <c r="H150" i="9" s="1"/>
  <c r="E256" i="9"/>
  <c r="H256" i="9" s="1"/>
  <c r="E152" i="9"/>
  <c r="H152" i="9" s="1"/>
  <c r="E255" i="9"/>
  <c r="H255" i="9" s="1"/>
  <c r="E154" i="9"/>
  <c r="H154" i="9" s="1"/>
  <c r="E253" i="9"/>
  <c r="H253" i="9" s="1"/>
  <c r="E156" i="9"/>
  <c r="H156" i="9" s="1"/>
  <c r="E252" i="9"/>
  <c r="H252" i="9" s="1"/>
  <c r="E158" i="9"/>
  <c r="H158" i="9" s="1"/>
  <c r="E250" i="9"/>
  <c r="H250" i="9" s="1"/>
  <c r="E161" i="9"/>
  <c r="H161" i="9" s="1"/>
  <c r="E248" i="9"/>
  <c r="H248" i="9" s="1"/>
  <c r="E163" i="9"/>
  <c r="H163" i="9" s="1"/>
  <c r="E247" i="9"/>
  <c r="H247" i="9" s="1"/>
  <c r="E165" i="9"/>
  <c r="H165" i="9" s="1"/>
  <c r="E245" i="9"/>
  <c r="H245" i="9" s="1"/>
  <c r="E243" i="9"/>
  <c r="H243" i="9" s="1"/>
  <c r="E168" i="9"/>
  <c r="H168" i="9" s="1"/>
  <c r="E169" i="9"/>
  <c r="H169" i="9" s="1"/>
  <c r="E241" i="9"/>
  <c r="H241" i="9" s="1"/>
  <c r="E240" i="9"/>
  <c r="H240" i="9" s="1"/>
  <c r="E238" i="9"/>
  <c r="H238" i="9" s="1"/>
  <c r="E235" i="9"/>
  <c r="H235" i="9" s="1"/>
  <c r="E233" i="9"/>
  <c r="H233" i="9" s="1"/>
  <c r="E175" i="9"/>
  <c r="H175" i="9" s="1"/>
  <c r="E231" i="9"/>
  <c r="H231" i="9" s="1"/>
  <c r="E229" i="9"/>
  <c r="H229" i="9" s="1"/>
  <c r="E178" i="9"/>
  <c r="H178" i="9" s="1"/>
  <c r="E227" i="9"/>
  <c r="H227" i="9" s="1"/>
  <c r="E226" i="9"/>
  <c r="H226" i="9" s="1"/>
  <c r="E224" i="9"/>
  <c r="H224" i="9" s="1"/>
  <c r="E222" i="9"/>
  <c r="H222" i="9" s="1"/>
  <c r="E220" i="9"/>
  <c r="H220" i="9" s="1"/>
  <c r="E218" i="9"/>
  <c r="H218" i="9" s="1"/>
  <c r="E215" i="9"/>
  <c r="H215" i="9" s="1"/>
  <c r="E212" i="9"/>
  <c r="H212" i="9" s="1"/>
  <c r="E194" i="9"/>
  <c r="H194" i="9" s="1"/>
  <c r="E210" i="9"/>
  <c r="H210" i="9" s="1"/>
  <c r="E195" i="9"/>
  <c r="H195" i="9" s="1"/>
  <c r="E208" i="9"/>
  <c r="H208" i="9" s="1"/>
  <c r="E196" i="9"/>
  <c r="H196" i="9" s="1"/>
  <c r="E197" i="9"/>
  <c r="H197" i="9" s="1"/>
  <c r="E185" i="9"/>
  <c r="H185" i="9" s="1"/>
  <c r="E183" i="9"/>
  <c r="H183" i="9" s="1"/>
  <c r="E201" i="9"/>
  <c r="H201" i="9" s="1"/>
  <c r="E179" i="9"/>
  <c r="H179" i="9" s="1"/>
  <c r="E207" i="9"/>
  <c r="H207" i="9" s="1"/>
  <c r="E159" i="9"/>
  <c r="H159" i="9" s="1"/>
  <c r="E970" i="9"/>
  <c r="H970" i="9" s="1"/>
  <c r="E371" i="9"/>
  <c r="H371" i="9" s="1"/>
  <c r="E969" i="9"/>
  <c r="H969" i="9" s="1"/>
  <c r="E372" i="9"/>
  <c r="H372" i="9" s="1"/>
  <c r="E968" i="9"/>
  <c r="H968" i="9" s="1"/>
  <c r="E373" i="9"/>
  <c r="H373" i="9" s="1"/>
  <c r="E967" i="9"/>
  <c r="H967" i="9" s="1"/>
  <c r="E374" i="9"/>
  <c r="H374" i="9" s="1"/>
  <c r="E966" i="9"/>
  <c r="H966" i="9" s="1"/>
  <c r="E375" i="9"/>
  <c r="H375" i="9" s="1"/>
  <c r="E965" i="9"/>
  <c r="H965" i="9" s="1"/>
  <c r="E376" i="9"/>
  <c r="H376" i="9" s="1"/>
  <c r="E964" i="9"/>
  <c r="H964" i="9" s="1"/>
  <c r="E377" i="9"/>
  <c r="H377" i="9" s="1"/>
  <c r="E963" i="9"/>
  <c r="H963" i="9" s="1"/>
  <c r="E378" i="9"/>
  <c r="H378" i="9" s="1"/>
  <c r="E962" i="9"/>
  <c r="H962" i="9" s="1"/>
  <c r="E379" i="9"/>
  <c r="H379" i="9" s="1"/>
  <c r="E961" i="9"/>
  <c r="H961" i="9" s="1"/>
  <c r="E380" i="9"/>
  <c r="H380" i="9" s="1"/>
  <c r="E960" i="9"/>
  <c r="H960" i="9" s="1"/>
  <c r="E381" i="9"/>
  <c r="H381" i="9" s="1"/>
  <c r="E959" i="9"/>
  <c r="H959" i="9" s="1"/>
  <c r="E382" i="9"/>
  <c r="H382" i="9" s="1"/>
  <c r="E958" i="9"/>
  <c r="H958" i="9" s="1"/>
  <c r="E383" i="9"/>
  <c r="H383" i="9" s="1"/>
  <c r="E957" i="9"/>
  <c r="H957" i="9" s="1"/>
  <c r="E384" i="9"/>
  <c r="H384" i="9" s="1"/>
  <c r="E956" i="9"/>
  <c r="H956" i="9" s="1"/>
  <c r="E385" i="9"/>
  <c r="H385" i="9" s="1"/>
  <c r="E955" i="9"/>
  <c r="H955" i="9" s="1"/>
  <c r="E386" i="9"/>
  <c r="H386" i="9" s="1"/>
  <c r="E954" i="9"/>
  <c r="H954" i="9" s="1"/>
  <c r="E387" i="9"/>
  <c r="H387" i="9" s="1"/>
  <c r="E953" i="9"/>
  <c r="H953" i="9" s="1"/>
  <c r="E388" i="9"/>
  <c r="H388" i="9" s="1"/>
  <c r="E952" i="9"/>
  <c r="H952" i="9" s="1"/>
  <c r="E389" i="9"/>
  <c r="H389" i="9" s="1"/>
  <c r="E951" i="9"/>
  <c r="H951" i="9" s="1"/>
  <c r="E390" i="9"/>
  <c r="H390" i="9" s="1"/>
  <c r="E950" i="9"/>
  <c r="H950" i="9" s="1"/>
  <c r="E391" i="9"/>
  <c r="H391" i="9" s="1"/>
  <c r="E949" i="9"/>
  <c r="H949" i="9" s="1"/>
  <c r="E392" i="9"/>
  <c r="H392" i="9" s="1"/>
  <c r="E948" i="9"/>
  <c r="H948" i="9" s="1"/>
  <c r="E393" i="9"/>
  <c r="H393" i="9" s="1"/>
  <c r="E947" i="9"/>
  <c r="H947" i="9" s="1"/>
  <c r="E394" i="9"/>
  <c r="H394" i="9" s="1"/>
  <c r="E946" i="9"/>
  <c r="H946" i="9" s="1"/>
  <c r="E395" i="9"/>
  <c r="H395" i="9" s="1"/>
  <c r="E945" i="9"/>
  <c r="H945" i="9" s="1"/>
  <c r="E396" i="9"/>
  <c r="H396" i="9" s="1"/>
  <c r="E944" i="9"/>
  <c r="H944" i="9" s="1"/>
  <c r="E397" i="9"/>
  <c r="H397" i="9" s="1"/>
  <c r="E943" i="9"/>
  <c r="H943" i="9" s="1"/>
  <c r="E398" i="9"/>
  <c r="H398" i="9" s="1"/>
  <c r="E942" i="9"/>
  <c r="H942" i="9" s="1"/>
  <c r="E399" i="9"/>
  <c r="H399" i="9" s="1"/>
  <c r="E941" i="9"/>
  <c r="H941" i="9" s="1"/>
  <c r="E400" i="9"/>
  <c r="H400" i="9" s="1"/>
  <c r="E940" i="9"/>
  <c r="H940" i="9" s="1"/>
  <c r="E401" i="9"/>
  <c r="H401" i="9" s="1"/>
  <c r="E939" i="9"/>
  <c r="H939" i="9" s="1"/>
  <c r="E402" i="9"/>
  <c r="H402" i="9" s="1"/>
  <c r="E938" i="9"/>
  <c r="H938" i="9" s="1"/>
  <c r="E403" i="9"/>
  <c r="H403" i="9" s="1"/>
  <c r="E937" i="9"/>
  <c r="H937" i="9" s="1"/>
  <c r="E404" i="9"/>
  <c r="H404" i="9" s="1"/>
  <c r="E936" i="9"/>
  <c r="H936" i="9" s="1"/>
  <c r="E405" i="9"/>
  <c r="H405" i="9" s="1"/>
  <c r="E935" i="9"/>
  <c r="H935" i="9" s="1"/>
  <c r="E406" i="9"/>
  <c r="H406" i="9" s="1"/>
  <c r="E934" i="9"/>
  <c r="H934" i="9" s="1"/>
  <c r="E407" i="9"/>
  <c r="H407" i="9" s="1"/>
  <c r="E933" i="9"/>
  <c r="H933" i="9" s="1"/>
  <c r="E408" i="9"/>
  <c r="H408" i="9" s="1"/>
  <c r="E19" i="9"/>
  <c r="H19" i="9" s="1"/>
  <c r="E409" i="9"/>
  <c r="H409" i="9" s="1"/>
  <c r="E931" i="9"/>
  <c r="H931" i="9" s="1"/>
  <c r="E410" i="9"/>
  <c r="H410" i="9" s="1"/>
  <c r="E930" i="9"/>
  <c r="H930" i="9" s="1"/>
  <c r="E411" i="9"/>
  <c r="H411" i="9" s="1"/>
  <c r="E929" i="9"/>
  <c r="H929" i="9" s="1"/>
  <c r="E412" i="9"/>
  <c r="H412" i="9" s="1"/>
  <c r="E928" i="9"/>
  <c r="H928" i="9" s="1"/>
  <c r="E413" i="9"/>
  <c r="H413" i="9" s="1"/>
  <c r="E927" i="9"/>
  <c r="H927" i="9" s="1"/>
  <c r="E414" i="9"/>
  <c r="H414" i="9" s="1"/>
  <c r="E926" i="9"/>
  <c r="H926" i="9" s="1"/>
  <c r="E415" i="9"/>
  <c r="H415" i="9" s="1"/>
  <c r="E925" i="9"/>
  <c r="H925" i="9" s="1"/>
  <c r="E416" i="9"/>
  <c r="H416" i="9" s="1"/>
  <c r="E924" i="9"/>
  <c r="H924" i="9" s="1"/>
  <c r="E417" i="9"/>
  <c r="H417" i="9" s="1"/>
  <c r="E923" i="9"/>
  <c r="H923" i="9" s="1"/>
  <c r="E418" i="9"/>
  <c r="H418" i="9" s="1"/>
  <c r="E922" i="9"/>
  <c r="H922" i="9" s="1"/>
  <c r="E419" i="9"/>
  <c r="H419" i="9" s="1"/>
  <c r="E921" i="9"/>
  <c r="H921" i="9" s="1"/>
  <c r="E420" i="9"/>
  <c r="H420" i="9" s="1"/>
  <c r="E920" i="9"/>
  <c r="H920" i="9" s="1"/>
  <c r="E421" i="9"/>
  <c r="H421" i="9" s="1"/>
  <c r="E919" i="9"/>
  <c r="H919" i="9" s="1"/>
  <c r="E422" i="9"/>
  <c r="H422" i="9" s="1"/>
  <c r="E918" i="9"/>
  <c r="H918" i="9" s="1"/>
  <c r="E423" i="9"/>
  <c r="H423" i="9" s="1"/>
  <c r="E917" i="9"/>
  <c r="H917" i="9" s="1"/>
  <c r="E424" i="9"/>
  <c r="H424" i="9" s="1"/>
  <c r="E916" i="9"/>
  <c r="H916" i="9" s="1"/>
  <c r="E425" i="9"/>
  <c r="H425" i="9" s="1"/>
  <c r="E915" i="9"/>
  <c r="H915" i="9" s="1"/>
  <c r="E426" i="9"/>
  <c r="H426" i="9" s="1"/>
  <c r="E914" i="9"/>
  <c r="H914" i="9" s="1"/>
  <c r="E427" i="9"/>
  <c r="H427" i="9" s="1"/>
  <c r="E913" i="9"/>
  <c r="H913" i="9" s="1"/>
  <c r="E428" i="9"/>
  <c r="H428" i="9" s="1"/>
  <c r="E912" i="9"/>
  <c r="H912" i="9" s="1"/>
  <c r="E429" i="9"/>
  <c r="H429" i="9" s="1"/>
  <c r="E911" i="9"/>
  <c r="H911" i="9" s="1"/>
  <c r="E430" i="9"/>
  <c r="H430" i="9" s="1"/>
  <c r="E910" i="9"/>
  <c r="H910" i="9" s="1"/>
  <c r="E431" i="9"/>
  <c r="H431" i="9" s="1"/>
  <c r="E909" i="9"/>
  <c r="H909" i="9" s="1"/>
  <c r="E432" i="9"/>
  <c r="H432" i="9" s="1"/>
  <c r="E908" i="9"/>
  <c r="H908" i="9" s="1"/>
  <c r="E433" i="9"/>
  <c r="H433" i="9" s="1"/>
  <c r="E907" i="9"/>
  <c r="H907" i="9" s="1"/>
  <c r="E434" i="9"/>
  <c r="H434" i="9" s="1"/>
  <c r="E906" i="9"/>
  <c r="H906" i="9" s="1"/>
  <c r="E435" i="9"/>
  <c r="H435" i="9" s="1"/>
  <c r="E905" i="9"/>
  <c r="H905" i="9" s="1"/>
  <c r="E436" i="9"/>
  <c r="H436" i="9" s="1"/>
  <c r="E904" i="9"/>
  <c r="H904" i="9" s="1"/>
  <c r="E437" i="9"/>
  <c r="H437" i="9" s="1"/>
  <c r="E903" i="9"/>
  <c r="H903" i="9" s="1"/>
  <c r="E438" i="9"/>
  <c r="H438" i="9" s="1"/>
  <c r="E902" i="9"/>
  <c r="H902" i="9" s="1"/>
  <c r="E439" i="9"/>
  <c r="H439" i="9" s="1"/>
  <c r="E901" i="9"/>
  <c r="H901" i="9" s="1"/>
  <c r="E440" i="9"/>
  <c r="H440" i="9" s="1"/>
  <c r="E900" i="9"/>
  <c r="H900" i="9" s="1"/>
  <c r="E441" i="9"/>
  <c r="H441" i="9" s="1"/>
  <c r="E899" i="9"/>
  <c r="H899" i="9" s="1"/>
  <c r="E442" i="9"/>
  <c r="H442" i="9" s="1"/>
  <c r="E898" i="9"/>
  <c r="H898" i="9" s="1"/>
  <c r="E443" i="9"/>
  <c r="H443" i="9" s="1"/>
  <c r="E897" i="9"/>
  <c r="H897" i="9" s="1"/>
  <c r="E444" i="9"/>
  <c r="H444" i="9" s="1"/>
  <c r="E896" i="9"/>
  <c r="H896" i="9" s="1"/>
  <c r="E445" i="9"/>
  <c r="H445" i="9" s="1"/>
  <c r="E895" i="9"/>
  <c r="H895" i="9" s="1"/>
  <c r="E446" i="9"/>
  <c r="H446" i="9" s="1"/>
  <c r="E894" i="9"/>
  <c r="H894" i="9" s="1"/>
  <c r="E447" i="9"/>
  <c r="H447" i="9" s="1"/>
  <c r="E893" i="9"/>
  <c r="H893" i="9" s="1"/>
  <c r="E448" i="9"/>
  <c r="H448" i="9" s="1"/>
  <c r="E892" i="9"/>
  <c r="H892" i="9" s="1"/>
  <c r="E449" i="9"/>
  <c r="H449" i="9" s="1"/>
  <c r="E891" i="9"/>
  <c r="H891" i="9" s="1"/>
  <c r="E450" i="9"/>
  <c r="H450" i="9" s="1"/>
  <c r="E890" i="9"/>
  <c r="H890" i="9" s="1"/>
  <c r="E451" i="9"/>
  <c r="H451" i="9" s="1"/>
  <c r="E889" i="9"/>
  <c r="H889" i="9" s="1"/>
  <c r="E452" i="9"/>
  <c r="H452" i="9" s="1"/>
  <c r="E888" i="9"/>
  <c r="H888" i="9" s="1"/>
  <c r="E453" i="9"/>
  <c r="H453" i="9" s="1"/>
  <c r="E887" i="9"/>
  <c r="H887" i="9" s="1"/>
  <c r="E454" i="9"/>
  <c r="H454" i="9" s="1"/>
  <c r="E886" i="9"/>
  <c r="H886" i="9" s="1"/>
  <c r="E455" i="9"/>
  <c r="H455" i="9" s="1"/>
  <c r="E885" i="9"/>
  <c r="H885" i="9" s="1"/>
  <c r="E456" i="9"/>
  <c r="H456" i="9" s="1"/>
  <c r="E884" i="9"/>
  <c r="H884" i="9" s="1"/>
  <c r="E457" i="9"/>
  <c r="H457" i="9" s="1"/>
  <c r="E883" i="9"/>
  <c r="H883" i="9" s="1"/>
  <c r="E458" i="9"/>
  <c r="H458" i="9" s="1"/>
  <c r="E882" i="9"/>
  <c r="H882" i="9" s="1"/>
  <c r="E459" i="9"/>
  <c r="H459" i="9" s="1"/>
  <c r="E881" i="9"/>
  <c r="H881" i="9" s="1"/>
  <c r="E460" i="9"/>
  <c r="H460" i="9" s="1"/>
  <c r="E880" i="9"/>
  <c r="H880" i="9" s="1"/>
  <c r="E461" i="9"/>
  <c r="H461" i="9" s="1"/>
  <c r="E879" i="9"/>
  <c r="H879" i="9" s="1"/>
  <c r="E462" i="9"/>
  <c r="H462" i="9" s="1"/>
  <c r="E878" i="9"/>
  <c r="H878" i="9" s="1"/>
  <c r="E463" i="9"/>
  <c r="H463" i="9" s="1"/>
  <c r="E877" i="9"/>
  <c r="H877" i="9" s="1"/>
  <c r="E464" i="9"/>
  <c r="H464" i="9" s="1"/>
  <c r="E876" i="9"/>
  <c r="H876" i="9" s="1"/>
  <c r="E465" i="9"/>
  <c r="H465" i="9" s="1"/>
  <c r="E875" i="9"/>
  <c r="H875" i="9" s="1"/>
  <c r="E466" i="9"/>
  <c r="H466" i="9" s="1"/>
  <c r="E874" i="9"/>
  <c r="H874" i="9" s="1"/>
  <c r="E467" i="9"/>
  <c r="H467" i="9" s="1"/>
  <c r="E873" i="9"/>
  <c r="H873" i="9" s="1"/>
  <c r="E468" i="9"/>
  <c r="H468" i="9" s="1"/>
  <c r="E872" i="9"/>
  <c r="H872" i="9" s="1"/>
  <c r="E469" i="9"/>
  <c r="H469" i="9" s="1"/>
  <c r="E871" i="9"/>
  <c r="H871" i="9" s="1"/>
  <c r="E470" i="9"/>
  <c r="H470" i="9" s="1"/>
  <c r="E870" i="9"/>
  <c r="H870" i="9" s="1"/>
  <c r="E471" i="9"/>
  <c r="H471" i="9" s="1"/>
  <c r="E869" i="9"/>
  <c r="H869" i="9" s="1"/>
  <c r="E472" i="9"/>
  <c r="H472" i="9" s="1"/>
  <c r="E868" i="9"/>
  <c r="H868" i="9" s="1"/>
  <c r="E473" i="9"/>
  <c r="H473" i="9" s="1"/>
  <c r="E867" i="9"/>
  <c r="H867" i="9" s="1"/>
  <c r="E474" i="9"/>
  <c r="H474" i="9" s="1"/>
  <c r="E866" i="9"/>
  <c r="H866" i="9" s="1"/>
  <c r="E475" i="9"/>
  <c r="H475" i="9" s="1"/>
  <c r="E865" i="9"/>
  <c r="H865" i="9" s="1"/>
  <c r="E476" i="9"/>
  <c r="H476" i="9" s="1"/>
  <c r="E864" i="9"/>
  <c r="H864" i="9" s="1"/>
  <c r="E477" i="9"/>
  <c r="H477" i="9" s="1"/>
  <c r="E863" i="9"/>
  <c r="H863" i="9" s="1"/>
  <c r="E478" i="9"/>
  <c r="H478" i="9" s="1"/>
  <c r="E862" i="9"/>
  <c r="H862" i="9" s="1"/>
  <c r="E479" i="9"/>
  <c r="H479" i="9" s="1"/>
  <c r="E861" i="9"/>
  <c r="H861" i="9" s="1"/>
  <c r="E480" i="9"/>
  <c r="H480" i="9" s="1"/>
  <c r="E860" i="9"/>
  <c r="H860" i="9" s="1"/>
  <c r="E481" i="9"/>
  <c r="H481" i="9" s="1"/>
  <c r="E859" i="9"/>
  <c r="H859" i="9" s="1"/>
  <c r="E482" i="9"/>
  <c r="H482" i="9" s="1"/>
  <c r="E858" i="9"/>
  <c r="H858" i="9" s="1"/>
  <c r="E483" i="9"/>
  <c r="H483" i="9" s="1"/>
  <c r="E857" i="9"/>
  <c r="H857" i="9" s="1"/>
  <c r="E484" i="9"/>
  <c r="H484" i="9" s="1"/>
  <c r="E856" i="9"/>
  <c r="H856" i="9" s="1"/>
  <c r="E485" i="9"/>
  <c r="H485" i="9" s="1"/>
  <c r="E855" i="9"/>
  <c r="H855" i="9" s="1"/>
  <c r="E486" i="9"/>
  <c r="H486" i="9" s="1"/>
  <c r="E854" i="9"/>
  <c r="H854" i="9" s="1"/>
  <c r="E487" i="9"/>
  <c r="H487" i="9" s="1"/>
  <c r="E853" i="9"/>
  <c r="H853" i="9" s="1"/>
  <c r="E488" i="9"/>
  <c r="H488" i="9" s="1"/>
  <c r="E852" i="9"/>
  <c r="H852" i="9" s="1"/>
  <c r="E489" i="9"/>
  <c r="H489" i="9" s="1"/>
  <c r="E851" i="9"/>
  <c r="H851" i="9" s="1"/>
  <c r="E490" i="9"/>
  <c r="H490" i="9" s="1"/>
  <c r="E850" i="9"/>
  <c r="H850" i="9" s="1"/>
  <c r="E491" i="9"/>
  <c r="H491" i="9" s="1"/>
  <c r="E849" i="9"/>
  <c r="H849" i="9" s="1"/>
  <c r="E492" i="9"/>
  <c r="H492" i="9" s="1"/>
  <c r="E848" i="9"/>
  <c r="H848" i="9" s="1"/>
  <c r="E493" i="9"/>
  <c r="H493" i="9" s="1"/>
  <c r="E847" i="9"/>
  <c r="H847" i="9" s="1"/>
  <c r="E494" i="9"/>
  <c r="H494" i="9" s="1"/>
  <c r="E846" i="9"/>
  <c r="H846" i="9" s="1"/>
  <c r="E495" i="9"/>
  <c r="H495" i="9" s="1"/>
  <c r="E845" i="9"/>
  <c r="H845" i="9" s="1"/>
  <c r="E496" i="9"/>
  <c r="H496" i="9" s="1"/>
  <c r="E844" i="9"/>
  <c r="H844" i="9" s="1"/>
  <c r="E497" i="9"/>
  <c r="H497" i="9" s="1"/>
  <c r="E843" i="9"/>
  <c r="H843" i="9" s="1"/>
  <c r="E498" i="9"/>
  <c r="H498" i="9" s="1"/>
  <c r="E842" i="9"/>
  <c r="H842" i="9" s="1"/>
  <c r="E499" i="9"/>
  <c r="H499" i="9" s="1"/>
  <c r="E841" i="9"/>
  <c r="H841" i="9" s="1"/>
  <c r="E500" i="9"/>
  <c r="H500" i="9" s="1"/>
  <c r="E840" i="9"/>
  <c r="H840" i="9" s="1"/>
  <c r="E501" i="9"/>
  <c r="H501" i="9" s="1"/>
  <c r="E839" i="9"/>
  <c r="H839" i="9" s="1"/>
  <c r="E502" i="9"/>
  <c r="H502" i="9" s="1"/>
  <c r="E838" i="9"/>
  <c r="H838" i="9" s="1"/>
  <c r="E503" i="9"/>
  <c r="H503" i="9" s="1"/>
  <c r="E837" i="9"/>
  <c r="H837" i="9" s="1"/>
  <c r="E504" i="9"/>
  <c r="H504" i="9" s="1"/>
  <c r="E836" i="9"/>
  <c r="H836" i="9" s="1"/>
  <c r="E505" i="9"/>
  <c r="H505" i="9" s="1"/>
  <c r="E835" i="9"/>
  <c r="H835" i="9" s="1"/>
  <c r="E506" i="9"/>
  <c r="H506" i="9" s="1"/>
  <c r="E834" i="9"/>
  <c r="H834" i="9" s="1"/>
  <c r="E507" i="9"/>
  <c r="H507" i="9" s="1"/>
  <c r="E833" i="9"/>
  <c r="H833" i="9" s="1"/>
  <c r="E508" i="9"/>
  <c r="H508" i="9" s="1"/>
  <c r="E832" i="9"/>
  <c r="H832" i="9" s="1"/>
  <c r="E509" i="9"/>
  <c r="H509" i="9" s="1"/>
  <c r="E831" i="9"/>
  <c r="H831" i="9" s="1"/>
  <c r="E510" i="9"/>
  <c r="H510" i="9" s="1"/>
  <c r="E830" i="9"/>
  <c r="H830" i="9" s="1"/>
  <c r="E511" i="9"/>
  <c r="H511" i="9" s="1"/>
  <c r="E829" i="9"/>
  <c r="H829" i="9" s="1"/>
  <c r="E512" i="9"/>
  <c r="H512" i="9" s="1"/>
  <c r="E828" i="9"/>
  <c r="H828" i="9" s="1"/>
  <c r="E513" i="9"/>
  <c r="H513" i="9" s="1"/>
  <c r="E827" i="9"/>
  <c r="H827" i="9" s="1"/>
  <c r="E514" i="9"/>
  <c r="H514" i="9" s="1"/>
  <c r="E826" i="9"/>
  <c r="H826" i="9" s="1"/>
  <c r="E515" i="9"/>
  <c r="H515" i="9" s="1"/>
  <c r="E825" i="9"/>
  <c r="H825" i="9" s="1"/>
  <c r="E516" i="9"/>
  <c r="H516" i="9" s="1"/>
  <c r="E824" i="9"/>
  <c r="H824" i="9" s="1"/>
  <c r="E517" i="9"/>
  <c r="H517" i="9" s="1"/>
  <c r="E823" i="9"/>
  <c r="H823" i="9" s="1"/>
  <c r="E518" i="9"/>
  <c r="H518" i="9" s="1"/>
  <c r="E822" i="9"/>
  <c r="H822" i="9" s="1"/>
  <c r="E519" i="9"/>
  <c r="H519" i="9" s="1"/>
  <c r="E821" i="9"/>
  <c r="H821" i="9" s="1"/>
  <c r="E520" i="9"/>
  <c r="H520" i="9" s="1"/>
  <c r="E820" i="9"/>
  <c r="H820" i="9" s="1"/>
  <c r="E521" i="9"/>
  <c r="H521" i="9" s="1"/>
  <c r="E819" i="9"/>
  <c r="H819" i="9" s="1"/>
  <c r="E522" i="9"/>
  <c r="H522" i="9" s="1"/>
  <c r="E818" i="9"/>
  <c r="H818" i="9" s="1"/>
  <c r="E523" i="9"/>
  <c r="H523" i="9" s="1"/>
  <c r="E817" i="9"/>
  <c r="H817" i="9" s="1"/>
  <c r="E524" i="9"/>
  <c r="H524" i="9" s="1"/>
  <c r="E816" i="9"/>
  <c r="H816" i="9" s="1"/>
  <c r="E525" i="9"/>
  <c r="H525" i="9" s="1"/>
  <c r="E815" i="9"/>
  <c r="H815" i="9" s="1"/>
  <c r="E526" i="9"/>
  <c r="H526" i="9" s="1"/>
  <c r="E814" i="9"/>
  <c r="H814" i="9" s="1"/>
  <c r="E527" i="9"/>
  <c r="H527" i="9" s="1"/>
  <c r="E813" i="9"/>
  <c r="H813" i="9" s="1"/>
  <c r="E528" i="9"/>
  <c r="H528" i="9" s="1"/>
  <c r="E812" i="9"/>
  <c r="H812" i="9" s="1"/>
  <c r="E529" i="9"/>
  <c r="H529" i="9" s="1"/>
  <c r="E811" i="9"/>
  <c r="H811" i="9" s="1"/>
  <c r="E530" i="9"/>
  <c r="H530" i="9" s="1"/>
  <c r="E810" i="9"/>
  <c r="H810" i="9" s="1"/>
  <c r="E531" i="9"/>
  <c r="H531" i="9" s="1"/>
  <c r="E809" i="9"/>
  <c r="H809" i="9" s="1"/>
  <c r="E532" i="9"/>
  <c r="H532" i="9" s="1"/>
  <c r="E808" i="9"/>
  <c r="H808" i="9" s="1"/>
  <c r="E533" i="9"/>
  <c r="H533" i="9" s="1"/>
  <c r="E807" i="9"/>
  <c r="H807" i="9" s="1"/>
  <c r="E534" i="9"/>
  <c r="H534" i="9" s="1"/>
  <c r="E806" i="9"/>
  <c r="H806" i="9" s="1"/>
  <c r="E535" i="9"/>
  <c r="H535" i="9" s="1"/>
  <c r="E805" i="9"/>
  <c r="H805" i="9" s="1"/>
  <c r="E536" i="9"/>
  <c r="H536" i="9" s="1"/>
  <c r="E804" i="9"/>
  <c r="H804" i="9" s="1"/>
  <c r="E537" i="9"/>
  <c r="H537" i="9" s="1"/>
  <c r="E803" i="9"/>
  <c r="H803" i="9" s="1"/>
  <c r="E538" i="9"/>
  <c r="H538" i="9" s="1"/>
  <c r="E802" i="9"/>
  <c r="H802" i="9" s="1"/>
  <c r="E539" i="9"/>
  <c r="H539" i="9" s="1"/>
  <c r="E801" i="9"/>
  <c r="H801" i="9" s="1"/>
  <c r="E540" i="9"/>
  <c r="H540" i="9" s="1"/>
  <c r="E800" i="9"/>
  <c r="H800" i="9" s="1"/>
  <c r="E541" i="9"/>
  <c r="H541" i="9" s="1"/>
  <c r="E799" i="9"/>
  <c r="H799" i="9" s="1"/>
  <c r="E542" i="9"/>
  <c r="H542" i="9" s="1"/>
  <c r="E798" i="9"/>
  <c r="H798" i="9" s="1"/>
  <c r="E543" i="9"/>
  <c r="H543" i="9" s="1"/>
  <c r="E797" i="9"/>
  <c r="H797" i="9" s="1"/>
  <c r="E544" i="9"/>
  <c r="H544" i="9" s="1"/>
  <c r="E796" i="9"/>
  <c r="H796" i="9" s="1"/>
  <c r="E545" i="9"/>
  <c r="H545" i="9" s="1"/>
  <c r="E795" i="9"/>
  <c r="H795" i="9" s="1"/>
  <c r="E546" i="9"/>
  <c r="H546" i="9" s="1"/>
  <c r="E794" i="9"/>
  <c r="H794" i="9" s="1"/>
  <c r="E547" i="9"/>
  <c r="H547" i="9" s="1"/>
  <c r="E793" i="9"/>
  <c r="H793" i="9" s="1"/>
  <c r="E548" i="9"/>
  <c r="H548" i="9" s="1"/>
  <c r="E792" i="9"/>
  <c r="H792" i="9" s="1"/>
  <c r="E549" i="9"/>
  <c r="H549" i="9" s="1"/>
  <c r="E791" i="9"/>
  <c r="H791" i="9" s="1"/>
  <c r="E550" i="9"/>
  <c r="H550" i="9" s="1"/>
  <c r="E790" i="9"/>
  <c r="H790" i="9" s="1"/>
  <c r="E551" i="9"/>
  <c r="H551" i="9" s="1"/>
  <c r="E789" i="9"/>
  <c r="H789" i="9" s="1"/>
  <c r="E552" i="9"/>
  <c r="H552" i="9" s="1"/>
  <c r="E788" i="9"/>
  <c r="H788" i="9" s="1"/>
  <c r="E553" i="9"/>
  <c r="H553" i="9" s="1"/>
  <c r="E787" i="9"/>
  <c r="H787" i="9" s="1"/>
  <c r="E554" i="9"/>
  <c r="H554" i="9" s="1"/>
  <c r="E786" i="9"/>
  <c r="H786" i="9" s="1"/>
  <c r="E555" i="9"/>
  <c r="H555" i="9" s="1"/>
  <c r="E785" i="9"/>
  <c r="H785" i="9" s="1"/>
  <c r="E556" i="9"/>
  <c r="H556" i="9" s="1"/>
  <c r="E784" i="9"/>
  <c r="H784" i="9" s="1"/>
  <c r="E557" i="9"/>
  <c r="H557" i="9" s="1"/>
  <c r="E783" i="9"/>
  <c r="H783" i="9" s="1"/>
  <c r="E558" i="9"/>
  <c r="H558" i="9" s="1"/>
  <c r="E782" i="9"/>
  <c r="H782" i="9" s="1"/>
  <c r="E559" i="9"/>
  <c r="H559" i="9" s="1"/>
  <c r="E781" i="9"/>
  <c r="H781" i="9" s="1"/>
  <c r="E560" i="9"/>
  <c r="H560" i="9" s="1"/>
  <c r="E780" i="9"/>
  <c r="H780" i="9" s="1"/>
  <c r="E561" i="9"/>
  <c r="H561" i="9" s="1"/>
  <c r="E779" i="9"/>
  <c r="H779" i="9" s="1"/>
  <c r="E562" i="9"/>
  <c r="H562" i="9" s="1"/>
  <c r="E778" i="9"/>
  <c r="H778" i="9" s="1"/>
  <c r="E563" i="9"/>
  <c r="H563" i="9" s="1"/>
  <c r="E777" i="9"/>
  <c r="H777" i="9" s="1"/>
  <c r="E564" i="9"/>
  <c r="H564" i="9" s="1"/>
  <c r="E776" i="9"/>
  <c r="H776" i="9" s="1"/>
  <c r="E565" i="9"/>
  <c r="H565" i="9" s="1"/>
  <c r="E775" i="9"/>
  <c r="H775" i="9" s="1"/>
  <c r="E566" i="9"/>
  <c r="H566" i="9" s="1"/>
  <c r="E774" i="9"/>
  <c r="H774" i="9" s="1"/>
  <c r="E567" i="9"/>
  <c r="H567" i="9" s="1"/>
  <c r="E773" i="9"/>
  <c r="H773" i="9" s="1"/>
  <c r="E568" i="9"/>
  <c r="H568" i="9" s="1"/>
  <c r="E772" i="9"/>
  <c r="H772" i="9" s="1"/>
  <c r="E569" i="9"/>
  <c r="H569" i="9" s="1"/>
  <c r="E771" i="9"/>
  <c r="H771" i="9" s="1"/>
  <c r="E570" i="9"/>
  <c r="H570" i="9" s="1"/>
  <c r="E770" i="9"/>
  <c r="H770" i="9" s="1"/>
  <c r="E571" i="9"/>
  <c r="H571" i="9" s="1"/>
  <c r="E769" i="9"/>
  <c r="H769" i="9" s="1"/>
  <c r="E572" i="9"/>
  <c r="H572" i="9" s="1"/>
  <c r="E768" i="9"/>
  <c r="H768" i="9" s="1"/>
  <c r="E573" i="9"/>
  <c r="H573" i="9" s="1"/>
  <c r="E767" i="9"/>
  <c r="H767" i="9" s="1"/>
  <c r="E574" i="9"/>
  <c r="H574" i="9" s="1"/>
  <c r="E766" i="9"/>
  <c r="H766" i="9" s="1"/>
  <c r="E575" i="9"/>
  <c r="H575" i="9" s="1"/>
  <c r="E765" i="9"/>
  <c r="H765" i="9" s="1"/>
  <c r="E576" i="9"/>
  <c r="H576" i="9" s="1"/>
  <c r="E764" i="9"/>
  <c r="H764" i="9" s="1"/>
  <c r="E577" i="9"/>
  <c r="H577" i="9" s="1"/>
  <c r="E763" i="9"/>
  <c r="H763" i="9" s="1"/>
  <c r="E578" i="9"/>
  <c r="H578" i="9" s="1"/>
  <c r="E762" i="9"/>
  <c r="H762" i="9" s="1"/>
  <c r="E579" i="9"/>
  <c r="H579" i="9" s="1"/>
  <c r="E761" i="9"/>
  <c r="H761" i="9" s="1"/>
  <c r="E580" i="9"/>
  <c r="H580" i="9" s="1"/>
  <c r="E760" i="9"/>
  <c r="H760" i="9" s="1"/>
  <c r="E581" i="9"/>
  <c r="H581" i="9" s="1"/>
  <c r="E759" i="9"/>
  <c r="H759" i="9" s="1"/>
  <c r="E582" i="9"/>
  <c r="H582" i="9" s="1"/>
  <c r="E758" i="9"/>
  <c r="H758" i="9" s="1"/>
  <c r="E583" i="9"/>
  <c r="H583" i="9" s="1"/>
  <c r="E757" i="9"/>
  <c r="H757" i="9" s="1"/>
  <c r="E584" i="9"/>
  <c r="H584" i="9" s="1"/>
  <c r="E756" i="9"/>
  <c r="H756" i="9" s="1"/>
  <c r="E585" i="9"/>
  <c r="H585" i="9" s="1"/>
  <c r="E755" i="9"/>
  <c r="H755" i="9" s="1"/>
  <c r="E586" i="9"/>
  <c r="H586" i="9" s="1"/>
  <c r="E754" i="9"/>
  <c r="H754" i="9" s="1"/>
  <c r="E587" i="9"/>
  <c r="H587" i="9" s="1"/>
  <c r="E753" i="9"/>
  <c r="H753" i="9" s="1"/>
  <c r="E588" i="9"/>
  <c r="H588" i="9" s="1"/>
  <c r="E752" i="9"/>
  <c r="H752" i="9" s="1"/>
  <c r="E589" i="9"/>
  <c r="H589" i="9" s="1"/>
  <c r="E751" i="9"/>
  <c r="H751" i="9" s="1"/>
  <c r="E590" i="9"/>
  <c r="H590" i="9" s="1"/>
  <c r="E750" i="9"/>
  <c r="H750" i="9" s="1"/>
  <c r="E591" i="9"/>
  <c r="H591" i="9" s="1"/>
  <c r="E749" i="9"/>
  <c r="H749" i="9" s="1"/>
  <c r="E592" i="9"/>
  <c r="H592" i="9" s="1"/>
  <c r="E748" i="9"/>
  <c r="H748" i="9" s="1"/>
  <c r="E593" i="9"/>
  <c r="H593" i="9" s="1"/>
  <c r="E747" i="9"/>
  <c r="H747" i="9" s="1"/>
  <c r="E594" i="9"/>
  <c r="H594" i="9" s="1"/>
  <c r="E746" i="9"/>
  <c r="H746" i="9" s="1"/>
  <c r="E595" i="9"/>
  <c r="H595" i="9" s="1"/>
  <c r="E745" i="9"/>
  <c r="H745" i="9" s="1"/>
  <c r="E596" i="9"/>
  <c r="H596" i="9" s="1"/>
  <c r="E744" i="9"/>
  <c r="H744" i="9" s="1"/>
  <c r="E597" i="9"/>
  <c r="H597" i="9" s="1"/>
  <c r="E743" i="9"/>
  <c r="H743" i="9" s="1"/>
  <c r="E598" i="9"/>
  <c r="H598" i="9" s="1"/>
  <c r="E742" i="9"/>
  <c r="H742" i="9" s="1"/>
  <c r="E599" i="9"/>
  <c r="H599" i="9" s="1"/>
  <c r="E741" i="9"/>
  <c r="H741" i="9" s="1"/>
  <c r="E600" i="9"/>
  <c r="H600" i="9" s="1"/>
  <c r="E740" i="9"/>
  <c r="H740" i="9" s="1"/>
  <c r="E601" i="9"/>
  <c r="H601" i="9" s="1"/>
  <c r="E739" i="9"/>
  <c r="H739" i="9" s="1"/>
  <c r="E602" i="9"/>
  <c r="H602" i="9" s="1"/>
  <c r="E738" i="9"/>
  <c r="H738" i="9" s="1"/>
  <c r="E603" i="9"/>
  <c r="H603" i="9" s="1"/>
  <c r="E737" i="9"/>
  <c r="H737" i="9" s="1"/>
  <c r="E604" i="9"/>
  <c r="H604" i="9" s="1"/>
  <c r="E736" i="9"/>
  <c r="H736" i="9" s="1"/>
  <c r="E605" i="9"/>
  <c r="H605" i="9" s="1"/>
  <c r="E735" i="9"/>
  <c r="H735" i="9" s="1"/>
  <c r="E606" i="9"/>
  <c r="H606" i="9" s="1"/>
  <c r="E734" i="9"/>
  <c r="H734" i="9" s="1"/>
  <c r="E607" i="9"/>
  <c r="H607" i="9" s="1"/>
  <c r="E733" i="9"/>
  <c r="H733" i="9" s="1"/>
  <c r="E608" i="9"/>
  <c r="H608" i="9" s="1"/>
  <c r="E732" i="9"/>
  <c r="H732" i="9" s="1"/>
  <c r="E609" i="9"/>
  <c r="H609" i="9" s="1"/>
  <c r="E731" i="9"/>
  <c r="H731" i="9" s="1"/>
  <c r="E610" i="9"/>
  <c r="H610" i="9" s="1"/>
  <c r="E730" i="9"/>
  <c r="H730" i="9" s="1"/>
  <c r="E611" i="9"/>
  <c r="H611" i="9" s="1"/>
  <c r="E729" i="9"/>
  <c r="H729" i="9" s="1"/>
  <c r="E612" i="9"/>
  <c r="H612" i="9" s="1"/>
  <c r="E728" i="9"/>
  <c r="H728" i="9" s="1"/>
  <c r="E613" i="9"/>
  <c r="H613" i="9" s="1"/>
  <c r="E727" i="9"/>
  <c r="H727" i="9" s="1"/>
  <c r="E614" i="9"/>
  <c r="H614" i="9" s="1"/>
  <c r="E726" i="9"/>
  <c r="H726" i="9" s="1"/>
  <c r="E615" i="9"/>
  <c r="H615" i="9" s="1"/>
  <c r="E725" i="9"/>
  <c r="H725" i="9" s="1"/>
  <c r="E616" i="9"/>
  <c r="H616" i="9" s="1"/>
  <c r="E724" i="9"/>
  <c r="H724" i="9" s="1"/>
  <c r="E617" i="9"/>
  <c r="H617" i="9" s="1"/>
  <c r="E723" i="9"/>
  <c r="H723" i="9" s="1"/>
  <c r="E618" i="9"/>
  <c r="H618" i="9" s="1"/>
  <c r="E722" i="9"/>
  <c r="H722" i="9" s="1"/>
  <c r="E619" i="9"/>
  <c r="H619" i="9" s="1"/>
  <c r="E721" i="9"/>
  <c r="H721" i="9" s="1"/>
  <c r="E620" i="9"/>
  <c r="H620" i="9" s="1"/>
  <c r="E720" i="9"/>
  <c r="H720" i="9" s="1"/>
  <c r="E621" i="9"/>
  <c r="H621" i="9" s="1"/>
  <c r="E719" i="9"/>
  <c r="H719" i="9" s="1"/>
  <c r="E622" i="9"/>
  <c r="H622" i="9" s="1"/>
  <c r="E718" i="9"/>
  <c r="H718" i="9" s="1"/>
  <c r="E623" i="9"/>
  <c r="H623" i="9" s="1"/>
  <c r="E717" i="9"/>
  <c r="H717" i="9" s="1"/>
  <c r="E624" i="9"/>
  <c r="H624" i="9" s="1"/>
  <c r="E716" i="9"/>
  <c r="H716" i="9" s="1"/>
  <c r="E625" i="9"/>
  <c r="H625" i="9" s="1"/>
  <c r="E715" i="9"/>
  <c r="H715" i="9" s="1"/>
  <c r="E626" i="9"/>
  <c r="H626" i="9" s="1"/>
  <c r="E714" i="9"/>
  <c r="H714" i="9" s="1"/>
  <c r="E627" i="9"/>
  <c r="H627" i="9" s="1"/>
  <c r="E713" i="9"/>
  <c r="H713" i="9" s="1"/>
  <c r="E628" i="9"/>
  <c r="H628" i="9" s="1"/>
  <c r="E712" i="9"/>
  <c r="H712" i="9" s="1"/>
  <c r="E629" i="9"/>
  <c r="H629" i="9" s="1"/>
  <c r="E710" i="9"/>
  <c r="H710" i="9" s="1"/>
  <c r="E630" i="9"/>
  <c r="H630" i="9" s="1"/>
  <c r="E707" i="9"/>
  <c r="H707" i="9" s="1"/>
  <c r="E631" i="9"/>
  <c r="H631" i="9" s="1"/>
  <c r="E703" i="9"/>
  <c r="H703" i="9" s="1"/>
  <c r="E632" i="9"/>
  <c r="H632" i="9" s="1"/>
  <c r="E633" i="9"/>
  <c r="H633" i="9" s="1"/>
  <c r="E634" i="9"/>
  <c r="H634" i="9" s="1"/>
  <c r="E635" i="9"/>
  <c r="H635" i="9" s="1"/>
  <c r="E693" i="9"/>
  <c r="H693" i="9" s="1"/>
  <c r="E636" i="9"/>
  <c r="H636" i="9" s="1"/>
  <c r="E637" i="9"/>
  <c r="H637" i="9" s="1"/>
  <c r="E689" i="9"/>
  <c r="H689" i="9" s="1"/>
  <c r="E638" i="9"/>
  <c r="H638" i="9" s="1"/>
  <c r="E688" i="9"/>
  <c r="H688" i="9" s="1"/>
  <c r="E639" i="9"/>
  <c r="H639" i="9" s="1"/>
  <c r="E686" i="9"/>
  <c r="H686" i="9" s="1"/>
  <c r="E640" i="9"/>
  <c r="H640" i="9" s="1"/>
  <c r="E685" i="9"/>
  <c r="H685" i="9" s="1"/>
  <c r="E641" i="9"/>
  <c r="H641" i="9" s="1"/>
  <c r="E684" i="9"/>
  <c r="H684" i="9" s="1"/>
  <c r="E642" i="9"/>
  <c r="H642" i="9" s="1"/>
  <c r="E683" i="9"/>
  <c r="H683" i="9" s="1"/>
  <c r="E643" i="9"/>
  <c r="H643" i="9" s="1"/>
  <c r="E680" i="9"/>
  <c r="H680" i="9" s="1"/>
  <c r="E644" i="9"/>
  <c r="H644" i="9" s="1"/>
  <c r="E679" i="9"/>
  <c r="H679" i="9" s="1"/>
  <c r="E645" i="9"/>
  <c r="H645" i="9" s="1"/>
  <c r="E674" i="9"/>
  <c r="H674" i="9" s="1"/>
  <c r="E646" i="9"/>
  <c r="H646" i="9" s="1"/>
  <c r="E672" i="9"/>
  <c r="H672" i="9" s="1"/>
  <c r="E647" i="9"/>
  <c r="H647" i="9" s="1"/>
  <c r="E668" i="9"/>
  <c r="H668" i="9" s="1"/>
  <c r="E648" i="9"/>
  <c r="H648" i="9" s="1"/>
  <c r="E666" i="9"/>
  <c r="H666" i="9" s="1"/>
  <c r="E649" i="9"/>
  <c r="H649" i="9" s="1"/>
  <c r="E663" i="9"/>
  <c r="H663" i="9" s="1"/>
  <c r="E651" i="9"/>
  <c r="H651" i="9" s="1"/>
  <c r="E661" i="9"/>
  <c r="H661" i="9" s="1"/>
  <c r="E660" i="9"/>
  <c r="H660" i="9" s="1"/>
  <c r="E654" i="9"/>
  <c r="H654" i="9" s="1"/>
  <c r="E655" i="9"/>
  <c r="H655" i="9" s="1"/>
  <c r="E656" i="9"/>
  <c r="H656" i="9" s="1"/>
  <c r="E199" i="9"/>
  <c r="H199" i="9" s="1"/>
  <c r="E181" i="9"/>
  <c r="H181" i="9" s="1"/>
  <c r="E203" i="9"/>
  <c r="H203" i="9" s="1"/>
  <c r="E204" i="9"/>
  <c r="H204" i="9" s="1"/>
  <c r="E130" i="9"/>
  <c r="H130" i="9" s="1"/>
  <c r="E120" i="9"/>
  <c r="H120" i="9" s="1"/>
  <c r="E184" i="9"/>
  <c r="H184" i="9" s="1"/>
  <c r="E182" i="9"/>
  <c r="H182" i="9" s="1"/>
  <c r="E180" i="9"/>
  <c r="H180" i="9" s="1"/>
  <c r="E205" i="9"/>
  <c r="H205" i="9" s="1"/>
  <c r="E206" i="9"/>
  <c r="H206" i="9" s="1"/>
  <c r="E213" i="9"/>
  <c r="H213" i="9" s="1"/>
  <c r="E114" i="9"/>
  <c r="H114" i="9" s="1"/>
  <c r="E198" i="9"/>
  <c r="H198" i="9" s="1"/>
  <c r="E202" i="9"/>
  <c r="H202" i="9" s="1"/>
  <c r="E209" i="9"/>
  <c r="H209" i="9" s="1"/>
  <c r="E144" i="9"/>
  <c r="H144" i="9" s="1"/>
  <c r="E200" i="9"/>
  <c r="H200" i="9" s="1"/>
  <c r="C22" i="10"/>
  <c r="Q32" i="10"/>
  <c r="G965" i="18" l="1"/>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272" i="18"/>
  <c r="G273" i="18"/>
  <c r="G274" i="18"/>
  <c r="G275" i="18"/>
  <c r="G276" i="18"/>
  <c r="G277" i="18"/>
  <c r="G278" i="18"/>
  <c r="G279" i="18"/>
  <c r="G280" i="18"/>
  <c r="G281" i="18"/>
  <c r="G282" i="18"/>
  <c r="G283" i="18"/>
  <c r="G284" i="18"/>
  <c r="G285" i="18"/>
  <c r="G286" i="18"/>
  <c r="G287" i="18"/>
  <c r="G288" i="18"/>
  <c r="G289" i="18"/>
  <c r="G290" i="18"/>
  <c r="G291" i="18"/>
  <c r="G292" i="18"/>
  <c r="G293" i="18"/>
  <c r="G294" i="18"/>
  <c r="G295" i="18"/>
  <c r="G296" i="18"/>
  <c r="G297" i="18"/>
  <c r="G298" i="18"/>
  <c r="G299" i="18"/>
  <c r="G300" i="18"/>
  <c r="G301" i="18"/>
  <c r="G302" i="18"/>
  <c r="G303" i="18"/>
  <c r="G304" i="18"/>
  <c r="G305" i="18"/>
  <c r="G306" i="18"/>
  <c r="G307" i="18"/>
  <c r="G308" i="18"/>
  <c r="G309" i="18"/>
  <c r="G310" i="18"/>
  <c r="G311" i="18"/>
  <c r="G312" i="18"/>
  <c r="G313" i="18"/>
  <c r="G314" i="18"/>
  <c r="G315" i="18"/>
  <c r="G316" i="18"/>
  <c r="G317" i="18"/>
  <c r="G318" i="18"/>
  <c r="G319" i="18"/>
  <c r="G320" i="18"/>
  <c r="G321" i="18"/>
  <c r="G322" i="18"/>
  <c r="G323" i="18"/>
  <c r="G324" i="18"/>
  <c r="G325" i="18"/>
  <c r="G326" i="18"/>
  <c r="G327" i="18"/>
  <c r="G328" i="18"/>
  <c r="G329" i="18"/>
  <c r="G330" i="18"/>
  <c r="G331" i="18"/>
  <c r="G332" i="18"/>
  <c r="G333" i="18"/>
  <c r="G334" i="18"/>
  <c r="G335" i="18"/>
  <c r="G336" i="18"/>
  <c r="G337" i="18"/>
  <c r="G338" i="18"/>
  <c r="G339" i="18"/>
  <c r="G340" i="18"/>
  <c r="G341" i="18"/>
  <c r="G342" i="18"/>
  <c r="G343" i="18"/>
  <c r="G344" i="18"/>
  <c r="G345" i="18"/>
  <c r="G346" i="18"/>
  <c r="G347" i="18"/>
  <c r="G348" i="18"/>
  <c r="G349" i="18"/>
  <c r="G350" i="18"/>
  <c r="G351" i="18"/>
  <c r="G352" i="18"/>
  <c r="G353" i="18"/>
  <c r="G354" i="18"/>
  <c r="G356" i="18"/>
  <c r="G357" i="18"/>
  <c r="G358" i="18"/>
  <c r="G359" i="18"/>
  <c r="G360" i="18"/>
  <c r="G361" i="18"/>
  <c r="G362" i="18"/>
  <c r="G363" i="18"/>
  <c r="G364" i="18"/>
  <c r="G365" i="18"/>
  <c r="G366" i="18"/>
  <c r="G367" i="18"/>
  <c r="G368" i="18"/>
  <c r="G369" i="18"/>
  <c r="G370" i="18"/>
  <c r="G371" i="18"/>
  <c r="G372" i="18"/>
  <c r="G373" i="18"/>
  <c r="G374" i="18"/>
  <c r="G375" i="18"/>
  <c r="G376" i="18"/>
  <c r="G377" i="18"/>
  <c r="G378" i="18"/>
  <c r="G379" i="18"/>
  <c r="G380" i="18"/>
  <c r="G381" i="18"/>
  <c r="G382" i="18"/>
  <c r="G383" i="18"/>
  <c r="G384" i="18"/>
  <c r="G385" i="18"/>
  <c r="G386" i="18"/>
  <c r="G387" i="18"/>
  <c r="G388" i="18"/>
  <c r="G389" i="18"/>
  <c r="G390" i="18"/>
  <c r="G392" i="18"/>
  <c r="G393" i="18"/>
  <c r="G395" i="18"/>
  <c r="G397" i="18"/>
  <c r="G399" i="18"/>
  <c r="G401" i="18"/>
  <c r="G403" i="18"/>
  <c r="G405" i="18"/>
  <c r="G407" i="18"/>
  <c r="G409" i="18"/>
  <c r="G411" i="18"/>
  <c r="G413" i="18"/>
  <c r="G415" i="18"/>
  <c r="G417" i="18"/>
  <c r="G419" i="18"/>
  <c r="G421" i="18"/>
  <c r="G423" i="18"/>
  <c r="G425" i="18"/>
  <c r="G427" i="18"/>
  <c r="G429" i="18"/>
  <c r="G431" i="18"/>
  <c r="G433" i="18"/>
  <c r="G435" i="18"/>
  <c r="G437" i="18"/>
  <c r="G439" i="18"/>
  <c r="G441" i="18"/>
  <c r="G443" i="18"/>
  <c r="G445" i="18"/>
  <c r="G446" i="18"/>
  <c r="G448" i="18"/>
  <c r="G450" i="18"/>
  <c r="G452" i="18"/>
  <c r="G454" i="18"/>
  <c r="G456" i="18"/>
  <c r="G459" i="18"/>
  <c r="G461" i="18"/>
  <c r="G463" i="18"/>
  <c r="G465" i="18"/>
  <c r="G467" i="18"/>
  <c r="G469" i="18"/>
  <c r="G470" i="18"/>
  <c r="G473" i="18"/>
  <c r="G475" i="18"/>
  <c r="G477" i="18"/>
  <c r="G479" i="18"/>
  <c r="G481" i="18"/>
  <c r="G483" i="18"/>
  <c r="G485" i="18"/>
  <c r="G487" i="18"/>
  <c r="G489" i="18"/>
  <c r="G491" i="18"/>
  <c r="G493" i="18"/>
  <c r="G495" i="18"/>
  <c r="G497" i="18"/>
  <c r="G499" i="18"/>
  <c r="G501" i="18"/>
  <c r="G503" i="18"/>
  <c r="G505" i="18"/>
  <c r="G507" i="18"/>
  <c r="G509" i="18"/>
  <c r="G511" i="18"/>
  <c r="G513" i="18"/>
  <c r="G515" i="18"/>
  <c r="G517" i="18"/>
  <c r="G519" i="18"/>
  <c r="G521" i="18"/>
  <c r="G523" i="18"/>
  <c r="G525" i="18"/>
  <c r="G527" i="18"/>
  <c r="G529" i="18"/>
  <c r="G531" i="18"/>
  <c r="G534" i="18"/>
  <c r="G536" i="18"/>
  <c r="G539" i="18"/>
  <c r="G541" i="18"/>
  <c r="G543" i="18"/>
  <c r="G545" i="18"/>
  <c r="G547" i="18"/>
  <c r="G549" i="18"/>
  <c r="G551" i="18"/>
  <c r="G553" i="18"/>
  <c r="G555" i="18"/>
  <c r="G557" i="18"/>
  <c r="G559" i="18"/>
  <c r="G560" i="18"/>
  <c r="G561" i="18"/>
  <c r="G562" i="18"/>
  <c r="G563" i="18"/>
  <c r="G564" i="18"/>
  <c r="G565" i="18"/>
  <c r="G566" i="18"/>
  <c r="G567" i="18"/>
  <c r="G568" i="18"/>
  <c r="G569" i="18"/>
  <c r="G571" i="18"/>
  <c r="G573" i="18"/>
  <c r="G575" i="18"/>
  <c r="G577" i="18"/>
  <c r="G579" i="18"/>
  <c r="G581" i="18"/>
  <c r="G583" i="18"/>
  <c r="G585" i="18"/>
  <c r="G587" i="18"/>
  <c r="G589" i="18"/>
  <c r="G591" i="18"/>
  <c r="G593" i="18"/>
  <c r="G595" i="18"/>
  <c r="G597" i="18"/>
  <c r="G599" i="18"/>
  <c r="G601" i="18"/>
  <c r="G603" i="18"/>
  <c r="G605" i="18"/>
  <c r="G607" i="18"/>
  <c r="G609" i="18"/>
  <c r="G611" i="18"/>
  <c r="G613" i="18"/>
  <c r="G615" i="18"/>
  <c r="G617" i="18"/>
  <c r="G619" i="18"/>
  <c r="G621" i="18"/>
  <c r="G623" i="18"/>
  <c r="G625" i="18"/>
  <c r="G627" i="18"/>
  <c r="G629" i="18"/>
  <c r="G631" i="18"/>
  <c r="G633" i="18"/>
  <c r="G635" i="18"/>
  <c r="G637" i="18"/>
  <c r="G639" i="18"/>
  <c r="G641" i="18"/>
  <c r="G643" i="18"/>
  <c r="G645" i="18"/>
  <c r="G647" i="18"/>
  <c r="G649" i="18"/>
  <c r="G651" i="18"/>
  <c r="G653" i="18"/>
  <c r="G655" i="18"/>
  <c r="G657" i="18"/>
  <c r="G659" i="18"/>
  <c r="G661" i="18"/>
  <c r="G663" i="18"/>
  <c r="G665" i="18"/>
  <c r="G667" i="18"/>
  <c r="G669" i="18"/>
  <c r="G671" i="18"/>
  <c r="G673" i="18"/>
  <c r="G675" i="18"/>
  <c r="G677" i="18"/>
  <c r="G679" i="18"/>
  <c r="G681" i="18"/>
  <c r="G683" i="18"/>
  <c r="G685" i="18"/>
  <c r="G687" i="18"/>
  <c r="G690" i="18"/>
  <c r="G692" i="18"/>
  <c r="G694" i="18"/>
  <c r="G696" i="18"/>
  <c r="G698" i="18"/>
  <c r="G700" i="18"/>
  <c r="G702" i="18"/>
  <c r="G705" i="18"/>
  <c r="G707" i="18"/>
  <c r="G709" i="18"/>
  <c r="G711" i="18"/>
  <c r="G713" i="18"/>
  <c r="G715" i="18"/>
  <c r="G718" i="18"/>
  <c r="G720" i="18"/>
  <c r="G722" i="18"/>
  <c r="G724" i="18"/>
  <c r="G726" i="18"/>
  <c r="G728" i="18"/>
  <c r="G730" i="18"/>
  <c r="G732" i="18"/>
  <c r="G734" i="18"/>
  <c r="G736" i="18"/>
  <c r="G737" i="18"/>
  <c r="G738" i="18"/>
  <c r="G739" i="18"/>
  <c r="G740" i="18"/>
  <c r="G741" i="18"/>
  <c r="G742" i="18"/>
  <c r="G743" i="18"/>
  <c r="G745" i="18"/>
  <c r="G747" i="18"/>
  <c r="G749" i="18"/>
  <c r="G751" i="18"/>
  <c r="G753" i="18"/>
  <c r="G755" i="18"/>
  <c r="G757" i="18"/>
  <c r="G759" i="18"/>
  <c r="G761" i="18"/>
  <c r="G763" i="18"/>
  <c r="G765" i="18"/>
  <c r="G767" i="18"/>
  <c r="G769" i="18"/>
  <c r="G771" i="18"/>
  <c r="G773" i="18"/>
  <c r="G774" i="18"/>
  <c r="G775" i="18"/>
  <c r="G776" i="18"/>
  <c r="G777" i="18"/>
  <c r="G779" i="18"/>
  <c r="G781" i="18"/>
  <c r="G783" i="18"/>
  <c r="G785" i="18"/>
  <c r="G787" i="18"/>
  <c r="G789" i="18"/>
  <c r="G791" i="18"/>
  <c r="G793" i="18"/>
  <c r="G795" i="18"/>
  <c r="G797" i="18"/>
  <c r="G799" i="18"/>
  <c r="G801" i="18"/>
  <c r="G803" i="18"/>
  <c r="G805" i="18"/>
  <c r="G807" i="18"/>
  <c r="G810" i="18"/>
  <c r="G812" i="18"/>
  <c r="G814" i="18"/>
  <c r="G815" i="18"/>
  <c r="G816" i="18"/>
  <c r="G817" i="18"/>
  <c r="G818" i="18"/>
  <c r="G819" i="18"/>
  <c r="G820" i="18"/>
  <c r="G821" i="18"/>
  <c r="G822" i="18"/>
  <c r="G823" i="18"/>
  <c r="G824" i="18"/>
  <c r="G825" i="18"/>
  <c r="G826" i="18"/>
  <c r="G827" i="18"/>
  <c r="G828" i="18"/>
  <c r="G829" i="18"/>
  <c r="G830" i="18"/>
  <c r="G831" i="18"/>
  <c r="G832" i="18"/>
  <c r="G833" i="18"/>
  <c r="G834" i="18"/>
  <c r="G835" i="18"/>
  <c r="G836" i="18"/>
  <c r="G837" i="18"/>
  <c r="G838" i="18"/>
  <c r="G839" i="18"/>
  <c r="G840" i="18"/>
  <c r="G841" i="18"/>
  <c r="G842" i="18"/>
  <c r="G843" i="18"/>
  <c r="G844" i="18"/>
  <c r="G845" i="18"/>
  <c r="G846" i="18"/>
  <c r="G847" i="18"/>
  <c r="G848" i="18"/>
  <c r="G849" i="18"/>
  <c r="G850" i="18"/>
  <c r="G851" i="18"/>
  <c r="G852" i="18"/>
  <c r="G853" i="18"/>
  <c r="G854" i="18"/>
  <c r="G855" i="18"/>
  <c r="G856" i="18"/>
  <c r="G857" i="18"/>
  <c r="G858" i="18"/>
  <c r="G859" i="18"/>
  <c r="G860" i="18"/>
  <c r="G861" i="18"/>
  <c r="G862" i="18"/>
  <c r="G863" i="18"/>
  <c r="G864" i="18"/>
  <c r="G865" i="18"/>
  <c r="G866" i="18"/>
  <c r="G867" i="18"/>
  <c r="G868" i="18"/>
  <c r="G869" i="18"/>
  <c r="G870" i="18"/>
  <c r="G871" i="18"/>
  <c r="G872" i="18"/>
  <c r="G873" i="18"/>
  <c r="G874" i="18"/>
  <c r="G875" i="18"/>
  <c r="G876" i="18"/>
  <c r="G877" i="18"/>
  <c r="G878" i="18"/>
  <c r="G879" i="18"/>
  <c r="G880" i="18"/>
  <c r="G881" i="18"/>
  <c r="G882" i="18"/>
  <c r="G883" i="18"/>
  <c r="G884" i="18"/>
  <c r="G885" i="18"/>
  <c r="G886" i="18"/>
  <c r="G887" i="18"/>
  <c r="G888" i="18"/>
  <c r="G889" i="18"/>
  <c r="G890" i="18"/>
  <c r="G891" i="18"/>
  <c r="G892" i="18"/>
  <c r="G893" i="18"/>
  <c r="G894" i="18"/>
  <c r="G895" i="18"/>
  <c r="G896" i="18"/>
  <c r="G897" i="18"/>
  <c r="G898" i="18"/>
  <c r="G899" i="18"/>
  <c r="G900" i="18"/>
  <c r="G901" i="18"/>
  <c r="G902" i="18"/>
  <c r="G903" i="18"/>
  <c r="G904" i="18"/>
  <c r="G905" i="18"/>
  <c r="G906" i="18"/>
  <c r="G907" i="18"/>
  <c r="G908" i="18"/>
  <c r="G909" i="18"/>
  <c r="G910" i="18"/>
  <c r="G911" i="18"/>
  <c r="G912" i="18"/>
  <c r="G913" i="18"/>
  <c r="G914" i="18"/>
  <c r="G915" i="18"/>
  <c r="G916" i="18"/>
  <c r="G917" i="18"/>
  <c r="G918" i="18"/>
  <c r="G919" i="18"/>
  <c r="G920" i="18"/>
  <c r="G921" i="18"/>
  <c r="G922" i="18"/>
  <c r="G923" i="18"/>
  <c r="G924" i="18"/>
  <c r="G925" i="18"/>
  <c r="G926" i="18"/>
  <c r="G927" i="18"/>
  <c r="G928" i="18"/>
  <c r="G929" i="18"/>
  <c r="G930" i="18"/>
  <c r="G931" i="18"/>
  <c r="G932" i="18"/>
  <c r="G933" i="18"/>
  <c r="G934" i="18"/>
  <c r="G935" i="18"/>
  <c r="G936" i="18"/>
  <c r="G937" i="18"/>
  <c r="G938" i="18"/>
  <c r="G939" i="18"/>
  <c r="G940" i="18"/>
  <c r="G941" i="18"/>
  <c r="G942" i="18"/>
  <c r="G943" i="18"/>
  <c r="G944" i="18"/>
  <c r="G945" i="18"/>
  <c r="G946" i="18"/>
  <c r="G947" i="18"/>
  <c r="G948" i="18"/>
  <c r="G949" i="18"/>
  <c r="G950" i="18"/>
  <c r="G951" i="18"/>
  <c r="G952" i="18"/>
  <c r="G953" i="18"/>
  <c r="G954" i="18"/>
  <c r="G955" i="18"/>
  <c r="G956" i="18"/>
  <c r="G957" i="18"/>
  <c r="G958" i="18"/>
  <c r="G959" i="18"/>
  <c r="G960" i="18"/>
  <c r="G961" i="18"/>
  <c r="G962" i="18"/>
  <c r="G963" i="18"/>
  <c r="G964" i="18"/>
  <c r="G13" i="18"/>
  <c r="G966" i="18"/>
  <c r="G967" i="18"/>
  <c r="G968" i="18"/>
  <c r="G969" i="18"/>
  <c r="G970" i="18"/>
  <c r="G971" i="18"/>
  <c r="G972" i="18"/>
  <c r="G973" i="18"/>
  <c r="G974" i="18"/>
  <c r="G975" i="18"/>
  <c r="G976" i="18"/>
  <c r="G977" i="18"/>
  <c r="G978" i="18"/>
  <c r="G979" i="18"/>
  <c r="G980" i="18"/>
  <c r="G981" i="18"/>
  <c r="G982" i="18"/>
  <c r="G983" i="18"/>
  <c r="G984" i="18"/>
  <c r="G985" i="18"/>
  <c r="G986" i="18"/>
  <c r="G987" i="18"/>
  <c r="G988" i="18"/>
  <c r="G989" i="18"/>
  <c r="G990" i="18"/>
  <c r="G991" i="18"/>
  <c r="G992" i="18"/>
  <c r="G993" i="18"/>
  <c r="G994" i="18"/>
  <c r="G995" i="18"/>
  <c r="G996" i="18"/>
  <c r="G997" i="18"/>
  <c r="G998" i="18"/>
  <c r="G999" i="18"/>
  <c r="G1000" i="18"/>
  <c r="G1001" i="18"/>
  <c r="G1002" i="18"/>
  <c r="G1003" i="18"/>
  <c r="G1004" i="18"/>
  <c r="G1005" i="18"/>
  <c r="G1006" i="18"/>
  <c r="G1007" i="18"/>
  <c r="G1008" i="18"/>
  <c r="G1009" i="18"/>
  <c r="G1010" i="18"/>
  <c r="G1011" i="18"/>
  <c r="G1012" i="18"/>
  <c r="G1013" i="18"/>
  <c r="G1014" i="18"/>
  <c r="G1015" i="18"/>
  <c r="G1016" i="18"/>
  <c r="G1017" i="18"/>
  <c r="G1018" i="18"/>
  <c r="G1019" i="18"/>
  <c r="G1020" i="18"/>
  <c r="G1021" i="18"/>
  <c r="G1022" i="18"/>
  <c r="G1023" i="18"/>
  <c r="G1024" i="18"/>
  <c r="G1025" i="18"/>
  <c r="G1026" i="18"/>
  <c r="G1027" i="18"/>
  <c r="G1028" i="18"/>
  <c r="G1029" i="18"/>
  <c r="G1030" i="18"/>
  <c r="G1031" i="18"/>
  <c r="G1032" i="18"/>
  <c r="G1033" i="18"/>
  <c r="G1034" i="18"/>
  <c r="G1035" i="18"/>
  <c r="G1036" i="18"/>
  <c r="G1037" i="18"/>
  <c r="G1038" i="18"/>
  <c r="G1039" i="18"/>
  <c r="G1040" i="18"/>
  <c r="G1041" i="18"/>
  <c r="G1042" i="18"/>
  <c r="G1043" i="18"/>
  <c r="G1044" i="18"/>
  <c r="G1045" i="18"/>
  <c r="G1046" i="18"/>
  <c r="G1047" i="18"/>
  <c r="G1048" i="18"/>
  <c r="G1049" i="18"/>
  <c r="G1050" i="18"/>
  <c r="G1051" i="18"/>
  <c r="G1052" i="18"/>
  <c r="G1053" i="18"/>
  <c r="G1054" i="18"/>
  <c r="G1055" i="18"/>
  <c r="G1056" i="18"/>
  <c r="G1057" i="18"/>
  <c r="G1058" i="18"/>
  <c r="G1059" i="18"/>
  <c r="G1060" i="18"/>
  <c r="G1061" i="18"/>
  <c r="G1062" i="18"/>
  <c r="G1063" i="18"/>
  <c r="G1064" i="18"/>
  <c r="G1065" i="18"/>
  <c r="G1066" i="18"/>
  <c r="G1067" i="18"/>
  <c r="G1068" i="18"/>
  <c r="G1069" i="18"/>
  <c r="G1070" i="18"/>
  <c r="G1071" i="18"/>
  <c r="G1072" i="18"/>
  <c r="G1073" i="18"/>
  <c r="G1074" i="18"/>
  <c r="G1075" i="18"/>
  <c r="G1076" i="18"/>
  <c r="G1077" i="18"/>
  <c r="G1078" i="18"/>
  <c r="G1079" i="18"/>
  <c r="G1080" i="18"/>
  <c r="G1081" i="18"/>
  <c r="G1082" i="18"/>
  <c r="G1083" i="18"/>
  <c r="G1084" i="18"/>
  <c r="G1085" i="18"/>
  <c r="G1086" i="18"/>
  <c r="G1087" i="18"/>
  <c r="G1088" i="18"/>
  <c r="G1089" i="18"/>
  <c r="G1090" i="18"/>
  <c r="G1091" i="18"/>
  <c r="G1092" i="18"/>
  <c r="G1093" i="18"/>
  <c r="G1094" i="18"/>
  <c r="G1095" i="18"/>
  <c r="G1096" i="18"/>
  <c r="G1097" i="18"/>
  <c r="G1098" i="18"/>
  <c r="G1099" i="18"/>
  <c r="G1100" i="18"/>
  <c r="G1101" i="18"/>
  <c r="G1102" i="18"/>
  <c r="G1103" i="18"/>
  <c r="G1104" i="18"/>
  <c r="G1105" i="18"/>
  <c r="G1106" i="18"/>
  <c r="G1107" i="18"/>
  <c r="G1108" i="18"/>
  <c r="G1109" i="18"/>
  <c r="G1110" i="18"/>
  <c r="G1111" i="18"/>
  <c r="G1112" i="18"/>
  <c r="G1113" i="18"/>
  <c r="G1114" i="18"/>
  <c r="G1115" i="18"/>
  <c r="G1116" i="18"/>
  <c r="G1117" i="18"/>
  <c r="G1118" i="18"/>
  <c r="G1119" i="18"/>
  <c r="G1120" i="18"/>
  <c r="G1121" i="18"/>
  <c r="G1122" i="18"/>
  <c r="G1123" i="18"/>
  <c r="G1124" i="18"/>
  <c r="G1125" i="18"/>
  <c r="G1126" i="18"/>
  <c r="G1127" i="18"/>
  <c r="G1128" i="18"/>
  <c r="G1129" i="18"/>
  <c r="G1130" i="18"/>
  <c r="G1131" i="18"/>
  <c r="G1132" i="18"/>
  <c r="G1133" i="18"/>
  <c r="G1134" i="18"/>
  <c r="G1135" i="18"/>
  <c r="G1136" i="18"/>
  <c r="G1137" i="18"/>
  <c r="G1138" i="18"/>
  <c r="G1139" i="18"/>
  <c r="G1140" i="18"/>
  <c r="G1141" i="18"/>
  <c r="G1142" i="18"/>
  <c r="G1143" i="18"/>
  <c r="G1144" i="18"/>
  <c r="G1145" i="18"/>
  <c r="G1146" i="18"/>
  <c r="G1147" i="18"/>
  <c r="G1148" i="18"/>
  <c r="G1149" i="18"/>
  <c r="G1150" i="18"/>
  <c r="G1151" i="18"/>
  <c r="G1152" i="18"/>
  <c r="G1153" i="18"/>
  <c r="G1154" i="18"/>
  <c r="G1155" i="18"/>
  <c r="G1156" i="18"/>
  <c r="G1157" i="18"/>
  <c r="G1158" i="18"/>
  <c r="G1159" i="18"/>
  <c r="G1160" i="18"/>
  <c r="G1161" i="18"/>
  <c r="G1162" i="18"/>
  <c r="G1163" i="18"/>
  <c r="G1164" i="18"/>
  <c r="G1165" i="18"/>
  <c r="G1166" i="18"/>
  <c r="G1167" i="18"/>
  <c r="G1168" i="18"/>
  <c r="G1169" i="18"/>
  <c r="G1170" i="18"/>
  <c r="G1171" i="18"/>
  <c r="G1172" i="18"/>
  <c r="G1173" i="18"/>
  <c r="G1174" i="18"/>
  <c r="G1175" i="18"/>
  <c r="G1176" i="18"/>
  <c r="G1177" i="18"/>
  <c r="G1178" i="18"/>
  <c r="G1179" i="18"/>
  <c r="G1180" i="18"/>
  <c r="G1181" i="18"/>
  <c r="G1182" i="18"/>
  <c r="G1183" i="18"/>
  <c r="G1184" i="18"/>
  <c r="G1185" i="18"/>
  <c r="G1186" i="18"/>
  <c r="G1187" i="18"/>
  <c r="G1188" i="18"/>
  <c r="G1189" i="18"/>
  <c r="G1190" i="18"/>
  <c r="G1191" i="18"/>
  <c r="G1192" i="18"/>
  <c r="G1193" i="18"/>
  <c r="G1194" i="18"/>
  <c r="G1195" i="18"/>
  <c r="G1196" i="18"/>
  <c r="G1197" i="18"/>
  <c r="G1198" i="18"/>
  <c r="G1199" i="18"/>
  <c r="G1200" i="18"/>
  <c r="G1201" i="18"/>
  <c r="G1202" i="18"/>
  <c r="G1203" i="18"/>
  <c r="G1204" i="18"/>
  <c r="G1205" i="18"/>
  <c r="G1206" i="18"/>
  <c r="G1207" i="18"/>
  <c r="G1208" i="18"/>
  <c r="G1209" i="18"/>
  <c r="G1210" i="18"/>
  <c r="G1211" i="18"/>
  <c r="G1212" i="18"/>
  <c r="G1213" i="18"/>
  <c r="G1214" i="18"/>
  <c r="G1215" i="18"/>
  <c r="G1216" i="18"/>
  <c r="G1217" i="18"/>
  <c r="G1218" i="18"/>
  <c r="G1219" i="18"/>
  <c r="G1220" i="18"/>
  <c r="G1221" i="18"/>
  <c r="G1222" i="18"/>
  <c r="G1223" i="18"/>
  <c r="G1224" i="18"/>
  <c r="G1225" i="18"/>
  <c r="G1226" i="18"/>
  <c r="G1227" i="18"/>
  <c r="G1228" i="18"/>
  <c r="G1229" i="18"/>
  <c r="G1230" i="18"/>
  <c r="G1231" i="18"/>
  <c r="G1232" i="18"/>
  <c r="G1233" i="18"/>
  <c r="G1234" i="18"/>
  <c r="G1235" i="18"/>
  <c r="G1236" i="18"/>
  <c r="G1237" i="18"/>
  <c r="G1238" i="18"/>
  <c r="G1239" i="18"/>
  <c r="G1240" i="18"/>
  <c r="G1241" i="18"/>
  <c r="G1242" i="18"/>
  <c r="G1243" i="18"/>
  <c r="G1244" i="18"/>
  <c r="G1245" i="18"/>
  <c r="G1246" i="18"/>
  <c r="G1247" i="18"/>
  <c r="G1248" i="18"/>
  <c r="G1249" i="18"/>
  <c r="G1250" i="18"/>
  <c r="G1251" i="18"/>
  <c r="G1252" i="18"/>
  <c r="G1253" i="18"/>
  <c r="G1254" i="18"/>
  <c r="G1255" i="18"/>
  <c r="G1256" i="18"/>
  <c r="G1257" i="18"/>
  <c r="G1258" i="18"/>
  <c r="G1259" i="18"/>
  <c r="G1260" i="18"/>
  <c r="G1261" i="18"/>
  <c r="G1262" i="18"/>
  <c r="G1263" i="18"/>
  <c r="G1264" i="18"/>
  <c r="G1265" i="18"/>
  <c r="G1266" i="18"/>
  <c r="G1267" i="18"/>
  <c r="G1268" i="18"/>
  <c r="G1269" i="18"/>
  <c r="G1270" i="18"/>
  <c r="G1271" i="18"/>
  <c r="G1272" i="18"/>
  <c r="G1273" i="18"/>
  <c r="G1274" i="18"/>
  <c r="G1275" i="18"/>
  <c r="G1276" i="18"/>
  <c r="G1277" i="18"/>
  <c r="G1278" i="18"/>
  <c r="G1279" i="18"/>
  <c r="G1280" i="18"/>
  <c r="G1281" i="18"/>
  <c r="G1282" i="18"/>
  <c r="G1283" i="18"/>
  <c r="G1284" i="18"/>
  <c r="G1285" i="18"/>
  <c r="G1286" i="18"/>
  <c r="G1287" i="18"/>
  <c r="G1288" i="18"/>
  <c r="G1289" i="18"/>
  <c r="G1290" i="18"/>
  <c r="G1291" i="18"/>
  <c r="G1292" i="18"/>
  <c r="G1293" i="18"/>
  <c r="G1294" i="18"/>
  <c r="G1295" i="18"/>
  <c r="G1296" i="18"/>
  <c r="G1297" i="18"/>
  <c r="G1298" i="18"/>
  <c r="G1299" i="18"/>
  <c r="G1300" i="18"/>
  <c r="G1301" i="18"/>
  <c r="G1302" i="18"/>
  <c r="G1303" i="18"/>
  <c r="G1304" i="18"/>
  <c r="G1305" i="18"/>
  <c r="G1306" i="18"/>
  <c r="G1307" i="18"/>
  <c r="G1308" i="18"/>
  <c r="G1309" i="18"/>
  <c r="G1310" i="18"/>
  <c r="G1311" i="18"/>
  <c r="G1312" i="18"/>
  <c r="G1313" i="18"/>
  <c r="G1314" i="18"/>
  <c r="G1315" i="18"/>
  <c r="G1316" i="18"/>
  <c r="G1317" i="18"/>
  <c r="G1318" i="18"/>
  <c r="G1319" i="18"/>
  <c r="G1320" i="18"/>
  <c r="G1321" i="18"/>
  <c r="G1322" i="18"/>
  <c r="G1323" i="18"/>
  <c r="G1324" i="18"/>
  <c r="G1325" i="18"/>
  <c r="G1326" i="18"/>
  <c r="G1327" i="18"/>
  <c r="G1328" i="18"/>
  <c r="G1329" i="18"/>
  <c r="G1330" i="18"/>
  <c r="G1331" i="18"/>
  <c r="G1332" i="18"/>
  <c r="G1333" i="18"/>
  <c r="G1334" i="18"/>
  <c r="G1335" i="18"/>
  <c r="G1336" i="18"/>
  <c r="G1337" i="18"/>
  <c r="G1338" i="18"/>
  <c r="G1339" i="18"/>
  <c r="G1340" i="18"/>
  <c r="G1341" i="18"/>
  <c r="G1342" i="18"/>
  <c r="G1343" i="18"/>
  <c r="G1344" i="18"/>
  <c r="G1345" i="18"/>
  <c r="G1346" i="18"/>
  <c r="G1347" i="18"/>
  <c r="G1348" i="18"/>
  <c r="G1349" i="18"/>
  <c r="G1350" i="18"/>
  <c r="G1351" i="18"/>
  <c r="G1352" i="18"/>
  <c r="G1353" i="18"/>
  <c r="G1354" i="18"/>
  <c r="G1355" i="18"/>
  <c r="G1356" i="18"/>
  <c r="G1357" i="18"/>
  <c r="G1358" i="18"/>
  <c r="G1359" i="18"/>
  <c r="G1360" i="18"/>
  <c r="G1361" i="18"/>
  <c r="G1362" i="18"/>
  <c r="G1363" i="18"/>
  <c r="G1364" i="18"/>
  <c r="G1365" i="18"/>
  <c r="G1366" i="18"/>
  <c r="G1367" i="18"/>
  <c r="G1368" i="18"/>
  <c r="G1369" i="18"/>
  <c r="G1370" i="18"/>
  <c r="G1371" i="18"/>
  <c r="G1372" i="18"/>
  <c r="G1373" i="18"/>
  <c r="G1374" i="18"/>
  <c r="G1375" i="18"/>
  <c r="G1376" i="18"/>
  <c r="G1377" i="18"/>
  <c r="G1378" i="18"/>
  <c r="G1379" i="18"/>
  <c r="G1380" i="18"/>
  <c r="G1381" i="18"/>
  <c r="G1382" i="18"/>
  <c r="G1383" i="18"/>
  <c r="G1384" i="18"/>
  <c r="G1385" i="18"/>
  <c r="G1386" i="18"/>
  <c r="G1387" i="18"/>
  <c r="G1388" i="18"/>
  <c r="G1389" i="18"/>
  <c r="G1390" i="18"/>
  <c r="G1391" i="18"/>
  <c r="G1392" i="18"/>
  <c r="G1393" i="18"/>
  <c r="G1394" i="18"/>
  <c r="G1395" i="18"/>
  <c r="G1396" i="18"/>
  <c r="G1397" i="18"/>
  <c r="G1398" i="18"/>
  <c r="G1399" i="18"/>
  <c r="G1400" i="18"/>
  <c r="G1401" i="18"/>
  <c r="G1402" i="18"/>
  <c r="G1403" i="18"/>
  <c r="G1404" i="18"/>
  <c r="G1405" i="18"/>
  <c r="G1406" i="18"/>
  <c r="G1407" i="18"/>
  <c r="G1408" i="18"/>
  <c r="G1409" i="18"/>
  <c r="G1410" i="18"/>
  <c r="G1411" i="18"/>
  <c r="G1412" i="18"/>
  <c r="G1413" i="18"/>
  <c r="G1414" i="18"/>
  <c r="G1415" i="18"/>
  <c r="G1416" i="18"/>
  <c r="G1417" i="18"/>
  <c r="G1418" i="18"/>
  <c r="G1419" i="18"/>
  <c r="G1420" i="18"/>
  <c r="G1421" i="18"/>
  <c r="G1422" i="18"/>
  <c r="G1423" i="18"/>
  <c r="G1424" i="18"/>
  <c r="G1425" i="18"/>
  <c r="G1426" i="18"/>
  <c r="G1427" i="18"/>
  <c r="G1428" i="18"/>
  <c r="G1429" i="18"/>
  <c r="G1430" i="18"/>
  <c r="G1431" i="18"/>
  <c r="G1432" i="18"/>
  <c r="G1433" i="18"/>
  <c r="G1434" i="18"/>
  <c r="G1435" i="18"/>
  <c r="G1436" i="18"/>
  <c r="G1437" i="18"/>
  <c r="G1438" i="18"/>
  <c r="G1439" i="18"/>
  <c r="G1440" i="18"/>
  <c r="G1441" i="18"/>
  <c r="G1442" i="18"/>
  <c r="G1443" i="18"/>
  <c r="G1444" i="18"/>
  <c r="G1445" i="18"/>
  <c r="G1446" i="18"/>
  <c r="G1447" i="18"/>
  <c r="G1448" i="18"/>
  <c r="G1449" i="18"/>
  <c r="G1450" i="18"/>
  <c r="G1451" i="18"/>
  <c r="G1452" i="18"/>
  <c r="G1453" i="18"/>
  <c r="G1454" i="18"/>
  <c r="G1455" i="18"/>
  <c r="G1456" i="18"/>
  <c r="G1457" i="18"/>
  <c r="G1458" i="18"/>
  <c r="G1459" i="18"/>
  <c r="G1460" i="18"/>
  <c r="G1461" i="18"/>
  <c r="G1462" i="18"/>
  <c r="G1463" i="18"/>
  <c r="G1464" i="18"/>
  <c r="G1465" i="18"/>
  <c r="G1466" i="18"/>
  <c r="G1467" i="18"/>
  <c r="G1468" i="18"/>
  <c r="G1469" i="18"/>
  <c r="G1470" i="18"/>
  <c r="G1471" i="18"/>
  <c r="G1472" i="18"/>
  <c r="G1473" i="18"/>
  <c r="G1474" i="18"/>
  <c r="G1475" i="18"/>
  <c r="G1476" i="18"/>
  <c r="G1477" i="18"/>
  <c r="G1478" i="18"/>
  <c r="G1479" i="18"/>
  <c r="G1480" i="18"/>
  <c r="G1481" i="18"/>
  <c r="G1482" i="18"/>
  <c r="G1483" i="18"/>
  <c r="G1484" i="18"/>
  <c r="G1485" i="18"/>
  <c r="G1486" i="18"/>
  <c r="G1487" i="18"/>
  <c r="G1488" i="18"/>
  <c r="G1489" i="18"/>
  <c r="G1490" i="18"/>
  <c r="G1491" i="18"/>
  <c r="G1492" i="18"/>
  <c r="G1493" i="18"/>
  <c r="G1494" i="18"/>
  <c r="G1495" i="18"/>
  <c r="G1496" i="18"/>
  <c r="G1497" i="18"/>
  <c r="G1498" i="18"/>
  <c r="G1499" i="18"/>
  <c r="G1500" i="18"/>
  <c r="G1501" i="18"/>
  <c r="G1502" i="18"/>
  <c r="G1503" i="18"/>
  <c r="G1504" i="18"/>
  <c r="G1505" i="18"/>
  <c r="G1506" i="18"/>
  <c r="G12" i="18"/>
  <c r="G355" i="18"/>
  <c r="G391" i="18"/>
  <c r="G394" i="18"/>
  <c r="G396" i="18"/>
  <c r="G398" i="18"/>
  <c r="G400" i="18"/>
  <c r="G402" i="18"/>
  <c r="G404" i="18"/>
  <c r="G406" i="18"/>
  <c r="G408" i="18"/>
  <c r="G410" i="18"/>
  <c r="G412" i="18"/>
  <c r="G414" i="18"/>
  <c r="G416" i="18"/>
  <c r="G418" i="18"/>
  <c r="G420" i="18"/>
  <c r="G422" i="18"/>
  <c r="G424" i="18"/>
  <c r="G426" i="18"/>
  <c r="G428" i="18"/>
  <c r="G430" i="18"/>
  <c r="G432" i="18"/>
  <c r="G434" i="18"/>
  <c r="G436" i="18"/>
  <c r="G438" i="18"/>
  <c r="G440" i="18"/>
  <c r="G442" i="18"/>
  <c r="G444" i="18"/>
  <c r="G447" i="18"/>
  <c r="G449" i="18"/>
  <c r="G451" i="18"/>
  <c r="G453" i="18"/>
  <c r="G455" i="18"/>
  <c r="G457" i="18"/>
  <c r="G458" i="18"/>
  <c r="G460" i="18"/>
  <c r="G462" i="18"/>
  <c r="G464" i="18"/>
  <c r="G466" i="18"/>
  <c r="G468" i="18"/>
  <c r="G471" i="18"/>
  <c r="G472" i="18"/>
  <c r="G474" i="18"/>
  <c r="G476" i="18"/>
  <c r="G478" i="18"/>
  <c r="G480" i="18"/>
  <c r="G482" i="18"/>
  <c r="G484" i="18"/>
  <c r="G486" i="18"/>
  <c r="G488" i="18"/>
  <c r="G490" i="18"/>
  <c r="G492" i="18"/>
  <c r="G494" i="18"/>
  <c r="G496" i="18"/>
  <c r="G498" i="18"/>
  <c r="G500" i="18"/>
  <c r="G502" i="18"/>
  <c r="G504" i="18"/>
  <c r="G506" i="18"/>
  <c r="G508" i="18"/>
  <c r="G510" i="18"/>
  <c r="G512" i="18"/>
  <c r="G514" i="18"/>
  <c r="G516" i="18"/>
  <c r="G518" i="18"/>
  <c r="G520" i="18"/>
  <c r="G522" i="18"/>
  <c r="G524" i="18"/>
  <c r="G526" i="18"/>
  <c r="G528" i="18"/>
  <c r="G530" i="18"/>
  <c r="G532" i="18"/>
  <c r="G533" i="18"/>
  <c r="G535" i="18"/>
  <c r="G537" i="18"/>
  <c r="G538" i="18"/>
  <c r="G540" i="18"/>
  <c r="G542" i="18"/>
  <c r="G544" i="18"/>
  <c r="G546" i="18"/>
  <c r="G548" i="18"/>
  <c r="G550" i="18"/>
  <c r="G552" i="18"/>
  <c r="G554" i="18"/>
  <c r="G556" i="18"/>
  <c r="G558" i="18"/>
  <c r="G570" i="18"/>
  <c r="G572" i="18"/>
  <c r="G574" i="18"/>
  <c r="G576" i="18"/>
  <c r="G578" i="18"/>
  <c r="G580" i="18"/>
  <c r="G582" i="18"/>
  <c r="G584" i="18"/>
  <c r="G586" i="18"/>
  <c r="G588" i="18"/>
  <c r="G590" i="18"/>
  <c r="G592" i="18"/>
  <c r="G594" i="18"/>
  <c r="G596" i="18"/>
  <c r="G598" i="18"/>
  <c r="G600" i="18"/>
  <c r="G602" i="18"/>
  <c r="G604" i="18"/>
  <c r="G606" i="18"/>
  <c r="G608" i="18"/>
  <c r="G610" i="18"/>
  <c r="G612" i="18"/>
  <c r="G614" i="18"/>
  <c r="G616" i="18"/>
  <c r="G618" i="18"/>
  <c r="G620" i="18"/>
  <c r="G622" i="18"/>
  <c r="G624" i="18"/>
  <c r="G626" i="18"/>
  <c r="G628" i="18"/>
  <c r="G630" i="18"/>
  <c r="G632" i="18"/>
  <c r="G634" i="18"/>
  <c r="G636" i="18"/>
  <c r="G638" i="18"/>
  <c r="G640" i="18"/>
  <c r="G642" i="18"/>
  <c r="G644" i="18"/>
  <c r="G646" i="18"/>
  <c r="G648" i="18"/>
  <c r="G650" i="18"/>
  <c r="G652" i="18"/>
  <c r="G654" i="18"/>
  <c r="G656" i="18"/>
  <c r="G658" i="18"/>
  <c r="G660" i="18"/>
  <c r="G662" i="18"/>
  <c r="G664" i="18"/>
  <c r="G666" i="18"/>
  <c r="G668" i="18"/>
  <c r="G670" i="18"/>
  <c r="G672" i="18"/>
  <c r="G674" i="18"/>
  <c r="G676" i="18"/>
  <c r="G678" i="18"/>
  <c r="G680" i="18"/>
  <c r="G682" i="18"/>
  <c r="G684" i="18"/>
  <c r="G686" i="18"/>
  <c r="G688" i="18"/>
  <c r="G689" i="18"/>
  <c r="G691" i="18"/>
  <c r="G693" i="18"/>
  <c r="G695" i="18"/>
  <c r="G697" i="18"/>
  <c r="G699" i="18"/>
  <c r="G701" i="18"/>
  <c r="G703" i="18"/>
  <c r="G704" i="18"/>
  <c r="G706" i="18"/>
  <c r="G708" i="18"/>
  <c r="G710" i="18"/>
  <c r="G712" i="18"/>
  <c r="G714" i="18"/>
  <c r="G716" i="18"/>
  <c r="G717" i="18"/>
  <c r="G719" i="18"/>
  <c r="G721" i="18"/>
  <c r="G723" i="18"/>
  <c r="G725" i="18"/>
  <c r="G727" i="18"/>
  <c r="G729" i="18"/>
  <c r="G731" i="18"/>
  <c r="G733" i="18"/>
  <c r="G735" i="18"/>
  <c r="G744" i="18"/>
  <c r="G746" i="18"/>
  <c r="G748" i="18"/>
  <c r="G750" i="18"/>
  <c r="G752" i="18"/>
  <c r="G754" i="18"/>
  <c r="G756" i="18"/>
  <c r="G758" i="18"/>
  <c r="G760" i="18"/>
  <c r="G762" i="18"/>
  <c r="G764" i="18"/>
  <c r="G766" i="18"/>
  <c r="G768" i="18"/>
  <c r="G770" i="18"/>
  <c r="G772" i="18"/>
  <c r="G778" i="18"/>
  <c r="G780" i="18"/>
  <c r="G782" i="18"/>
  <c r="G784" i="18"/>
  <c r="G786" i="18"/>
  <c r="G788" i="18"/>
  <c r="G790" i="18"/>
  <c r="G792" i="18"/>
  <c r="G794" i="18"/>
  <c r="G796" i="18"/>
  <c r="G798" i="18"/>
  <c r="G800" i="18"/>
  <c r="G802" i="18"/>
  <c r="G804" i="18"/>
  <c r="G806" i="18"/>
  <c r="G808" i="18"/>
  <c r="G809" i="18"/>
  <c r="G811" i="18"/>
  <c r="G813" i="18"/>
  <c r="D8" i="10"/>
  <c r="D22" i="10" s="1"/>
  <c r="B26" i="10"/>
  <c r="H760"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13"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1002" i="18"/>
  <c r="H1003" i="18"/>
  <c r="H1004" i="18"/>
  <c r="H1005" i="18"/>
  <c r="H1006" i="18"/>
  <c r="H1007" i="18"/>
  <c r="H1008" i="18"/>
  <c r="H1009" i="18"/>
  <c r="H1010" i="18"/>
  <c r="H1011" i="18"/>
  <c r="H1012" i="18"/>
  <c r="H1013" i="18"/>
  <c r="H1014" i="18"/>
  <c r="H1015" i="18"/>
  <c r="H1016" i="18"/>
  <c r="H1017" i="18"/>
  <c r="H1018" i="18"/>
  <c r="H1019" i="18"/>
  <c r="H1020" i="18"/>
  <c r="H1021" i="18"/>
  <c r="H1022" i="18"/>
  <c r="H1023" i="18"/>
  <c r="H1024" i="18"/>
  <c r="H1025" i="18"/>
  <c r="H1026" i="18"/>
  <c r="H1027" i="18"/>
  <c r="H1028" i="18"/>
  <c r="H1029" i="18"/>
  <c r="H1030" i="18"/>
  <c r="H1031" i="18"/>
  <c r="H1032" i="18"/>
  <c r="H1033" i="18"/>
  <c r="H1034" i="18"/>
  <c r="H1035" i="18"/>
  <c r="H1036" i="18"/>
  <c r="H1037" i="18"/>
  <c r="H1038" i="18"/>
  <c r="H1039" i="18"/>
  <c r="H1040" i="18"/>
  <c r="H1041" i="18"/>
  <c r="H1042" i="18"/>
  <c r="H1043" i="18"/>
  <c r="H1044" i="18"/>
  <c r="H1045" i="18"/>
  <c r="H1046" i="18"/>
  <c r="H1047" i="18"/>
  <c r="H1048" i="18"/>
  <c r="H1049" i="18"/>
  <c r="H1050" i="18"/>
  <c r="H1051" i="18"/>
  <c r="H1052" i="18"/>
  <c r="H1053" i="18"/>
  <c r="H1054" i="18"/>
  <c r="H1055" i="18"/>
  <c r="H1056" i="18"/>
  <c r="H1057" i="18"/>
  <c r="H1058" i="18"/>
  <c r="H1059" i="18"/>
  <c r="H1060" i="18"/>
  <c r="H1061" i="18"/>
  <c r="H1062" i="18"/>
  <c r="H1063" i="18"/>
  <c r="H1064" i="18"/>
  <c r="H1065" i="18"/>
  <c r="H1066" i="18"/>
  <c r="H1067" i="18"/>
  <c r="H1068" i="18"/>
  <c r="H1069" i="18"/>
  <c r="H1070" i="18"/>
  <c r="H1071" i="18"/>
  <c r="H1072" i="18"/>
  <c r="H1073" i="18"/>
  <c r="H1074" i="18"/>
  <c r="H1075" i="18"/>
  <c r="H1076" i="18"/>
  <c r="H1077" i="18"/>
  <c r="H1078" i="18"/>
  <c r="H1079" i="18"/>
  <c r="H1080" i="18"/>
  <c r="H1081" i="18"/>
  <c r="H1082" i="18"/>
  <c r="H1083" i="18"/>
  <c r="H1084" i="18"/>
  <c r="H1085" i="18"/>
  <c r="H1086" i="18"/>
  <c r="H1087" i="18"/>
  <c r="H1088" i="18"/>
  <c r="H1089" i="18"/>
  <c r="H1090" i="18"/>
  <c r="H1091" i="18"/>
  <c r="H1092" i="18"/>
  <c r="H1093" i="18"/>
  <c r="H1094" i="18"/>
  <c r="H1095" i="18"/>
  <c r="H1096" i="18"/>
  <c r="H1097" i="18"/>
  <c r="H1098" i="18"/>
  <c r="H1099" i="18"/>
  <c r="H1100" i="18"/>
  <c r="H1101" i="18"/>
  <c r="H1102" i="18"/>
  <c r="H1103" i="18"/>
  <c r="H1104" i="18"/>
  <c r="H1105" i="18"/>
  <c r="H1106" i="18"/>
  <c r="H1107" i="18"/>
  <c r="H1108" i="18"/>
  <c r="H1109" i="18"/>
  <c r="H1110" i="18"/>
  <c r="H1111" i="18"/>
  <c r="H1112" i="18"/>
  <c r="H1113" i="18"/>
  <c r="H1114" i="18"/>
  <c r="H1115" i="18"/>
  <c r="H1116" i="18"/>
  <c r="H1117" i="18"/>
  <c r="H1118" i="18"/>
  <c r="H1119" i="18"/>
  <c r="H1120" i="18"/>
  <c r="H1121" i="18"/>
  <c r="H1122" i="18"/>
  <c r="H1123" i="18"/>
  <c r="H1124" i="18"/>
  <c r="H1125" i="18"/>
  <c r="H1126" i="18"/>
  <c r="H1127" i="18"/>
  <c r="H1128" i="18"/>
  <c r="H1129" i="18"/>
  <c r="H1130" i="18"/>
  <c r="H1131" i="18"/>
  <c r="H1132" i="18"/>
  <c r="H1133" i="18"/>
  <c r="H1134" i="18"/>
  <c r="H1135" i="18"/>
  <c r="H1136" i="18"/>
  <c r="H1137" i="18"/>
  <c r="H1138" i="18"/>
  <c r="H1139" i="18"/>
  <c r="H1140" i="18"/>
  <c r="H1141" i="18"/>
  <c r="H1142" i="18"/>
  <c r="H1143" i="18"/>
  <c r="H1144" i="18"/>
  <c r="H1145" i="18"/>
  <c r="H1146" i="18"/>
  <c r="H1147" i="18"/>
  <c r="H1148" i="18"/>
  <c r="H1149" i="18"/>
  <c r="H1150" i="18"/>
  <c r="H1151" i="18"/>
  <c r="H1152" i="18"/>
  <c r="H1153" i="18"/>
  <c r="H1154" i="18"/>
  <c r="H1155" i="18"/>
  <c r="H1156" i="18"/>
  <c r="H1157" i="18"/>
  <c r="H1158" i="18"/>
  <c r="H1159" i="18"/>
  <c r="H1160" i="18"/>
  <c r="H1161" i="18"/>
  <c r="H1162" i="18"/>
  <c r="H1163" i="18"/>
  <c r="H1164" i="18"/>
  <c r="H1165" i="18"/>
  <c r="H1166" i="18"/>
  <c r="H1167" i="18"/>
  <c r="H1168" i="18"/>
  <c r="H1169" i="18"/>
  <c r="H1170" i="18"/>
  <c r="H1171" i="18"/>
  <c r="H1172" i="18"/>
  <c r="H1173" i="18"/>
  <c r="H1174" i="18"/>
  <c r="H1175" i="18"/>
  <c r="H1176" i="18"/>
  <c r="H1177" i="18"/>
  <c r="H1178" i="18"/>
  <c r="H1179" i="18"/>
  <c r="H1180" i="18"/>
  <c r="H1181" i="18"/>
  <c r="H1182" i="18"/>
  <c r="H1183" i="18"/>
  <c r="H1184" i="18"/>
  <c r="H1185" i="18"/>
  <c r="H1186" i="18"/>
  <c r="H1187" i="18"/>
  <c r="H1188" i="18"/>
  <c r="H1189" i="18"/>
  <c r="H1190" i="18"/>
  <c r="H1191" i="18"/>
  <c r="H1192" i="18"/>
  <c r="H1193" i="18"/>
  <c r="H1194" i="18"/>
  <c r="H1195" i="18"/>
  <c r="H1196" i="18"/>
  <c r="H1197" i="18"/>
  <c r="H1198" i="18"/>
  <c r="H1199" i="18"/>
  <c r="H1200" i="18"/>
  <c r="H1201" i="18"/>
  <c r="H1202" i="18"/>
  <c r="H1203" i="18"/>
  <c r="H1204" i="18"/>
  <c r="H1205" i="18"/>
  <c r="H1206" i="18"/>
  <c r="H1207" i="18"/>
  <c r="H1208" i="18"/>
  <c r="H1209" i="18"/>
  <c r="H1210" i="18"/>
  <c r="H1211" i="18"/>
  <c r="H1212" i="18"/>
  <c r="H1213" i="18"/>
  <c r="H1214" i="18"/>
  <c r="H1215" i="18"/>
  <c r="H1216" i="18"/>
  <c r="H1217" i="18"/>
  <c r="H1218" i="18"/>
  <c r="H1219" i="18"/>
  <c r="H1220" i="18"/>
  <c r="H1221" i="18"/>
  <c r="H1222" i="18"/>
  <c r="H1223" i="18"/>
  <c r="H1224" i="18"/>
  <c r="H1225" i="18"/>
  <c r="H1226" i="18"/>
  <c r="H1227" i="18"/>
  <c r="H1228" i="18"/>
  <c r="H1229" i="18"/>
  <c r="H1230" i="18"/>
  <c r="H1231" i="18"/>
  <c r="H1232" i="18"/>
  <c r="H1233" i="18"/>
  <c r="H1234" i="18"/>
  <c r="H1235" i="18"/>
  <c r="H1236" i="18"/>
  <c r="H1237" i="18"/>
  <c r="H1238" i="18"/>
  <c r="H1239" i="18"/>
  <c r="H1240" i="18"/>
  <c r="H1241" i="18"/>
  <c r="H1242" i="18"/>
  <c r="H1243" i="18"/>
  <c r="H1244" i="18"/>
  <c r="H1245" i="18"/>
  <c r="H1246" i="18"/>
  <c r="H1247" i="18"/>
  <c r="H1248" i="18"/>
  <c r="H1249" i="18"/>
  <c r="H1250" i="18"/>
  <c r="H1251" i="18"/>
  <c r="H1252" i="18"/>
  <c r="H1253" i="18"/>
  <c r="H1254" i="18"/>
  <c r="H1255" i="18"/>
  <c r="H1256" i="18"/>
  <c r="H1257" i="18"/>
  <c r="H1258" i="18"/>
  <c r="H1259" i="18"/>
  <c r="H1260" i="18"/>
  <c r="H1261" i="18"/>
  <c r="H1262" i="18"/>
  <c r="H1263" i="18"/>
  <c r="H1264" i="18"/>
  <c r="H1265" i="18"/>
  <c r="H1266" i="18"/>
  <c r="H1267" i="18"/>
  <c r="H1268" i="18"/>
  <c r="H1269" i="18"/>
  <c r="H1270" i="18"/>
  <c r="H1271" i="18"/>
  <c r="H1272" i="18"/>
  <c r="H1273" i="18"/>
  <c r="H1274" i="18"/>
  <c r="H1275" i="18"/>
  <c r="H1276" i="18"/>
  <c r="H1277" i="18"/>
  <c r="H1278" i="18"/>
  <c r="H1279" i="18"/>
  <c r="H1280" i="18"/>
  <c r="H1281" i="18"/>
  <c r="H1282" i="18"/>
  <c r="H1283" i="18"/>
  <c r="H1284" i="18"/>
  <c r="H1285" i="18"/>
  <c r="H1286" i="18"/>
  <c r="H1287" i="18"/>
  <c r="H1288" i="18"/>
  <c r="H1289" i="18"/>
  <c r="H1290" i="18"/>
  <c r="H1291" i="18"/>
  <c r="H1292" i="18"/>
  <c r="H1293" i="18"/>
  <c r="H1294" i="18"/>
  <c r="H1295" i="18"/>
  <c r="H1296" i="18"/>
  <c r="H1297" i="18"/>
  <c r="H1298" i="18"/>
  <c r="H1299" i="18"/>
  <c r="H1300" i="18"/>
  <c r="H1301" i="18"/>
  <c r="H1302" i="18"/>
  <c r="H1303" i="18"/>
  <c r="H1304" i="18"/>
  <c r="H1305" i="18"/>
  <c r="H1306" i="18"/>
  <c r="H1307" i="18"/>
  <c r="H1308" i="18"/>
  <c r="H1309" i="18"/>
  <c r="H1310" i="18"/>
  <c r="H1311" i="18"/>
  <c r="H1312" i="18"/>
  <c r="H1313" i="18"/>
  <c r="H1314" i="18"/>
  <c r="H1315" i="18"/>
  <c r="H1316" i="18"/>
  <c r="H1317" i="18"/>
  <c r="H1318" i="18"/>
  <c r="H1319" i="18"/>
  <c r="H1320" i="18"/>
  <c r="H1321" i="18"/>
  <c r="H1322" i="18"/>
  <c r="H1323" i="18"/>
  <c r="H1324" i="18"/>
  <c r="H1325" i="18"/>
  <c r="H1326" i="18"/>
  <c r="H1327" i="18"/>
  <c r="H1328" i="18"/>
  <c r="H1329" i="18"/>
  <c r="H1330" i="18"/>
  <c r="H1331" i="18"/>
  <c r="H1332" i="18"/>
  <c r="H1333" i="18"/>
  <c r="H1334" i="18"/>
  <c r="H1335" i="18"/>
  <c r="H1336" i="18"/>
  <c r="H1337" i="18"/>
  <c r="H1338" i="18"/>
  <c r="H1339" i="18"/>
  <c r="H1340" i="18"/>
  <c r="H1341" i="18"/>
  <c r="H1342" i="18"/>
  <c r="H1343" i="18"/>
  <c r="H1344" i="18"/>
  <c r="H1345" i="18"/>
  <c r="H1346" i="18"/>
  <c r="H1347" i="18"/>
  <c r="H1348" i="18"/>
  <c r="H1349" i="18"/>
  <c r="H1350" i="18"/>
  <c r="H1351" i="18"/>
  <c r="H1352" i="18"/>
  <c r="H1353" i="18"/>
  <c r="H1354" i="18"/>
  <c r="H1355" i="18"/>
  <c r="H1356" i="18"/>
  <c r="H1357" i="18"/>
  <c r="H1358" i="18"/>
  <c r="H1359" i="18"/>
  <c r="H1360" i="18"/>
  <c r="H1361" i="18"/>
  <c r="H1362" i="18"/>
  <c r="H1363" i="18"/>
  <c r="H1364" i="18"/>
  <c r="H1365" i="18"/>
  <c r="H1366" i="18"/>
  <c r="H1367" i="18"/>
  <c r="H1368" i="18"/>
  <c r="H1369" i="18"/>
  <c r="H1370" i="18"/>
  <c r="H1371" i="18"/>
  <c r="H1372" i="18"/>
  <c r="H1373" i="18"/>
  <c r="H1374" i="18"/>
  <c r="H1375" i="18"/>
  <c r="H1376" i="18"/>
  <c r="H1377" i="18"/>
  <c r="H1378" i="18"/>
  <c r="H1379" i="18"/>
  <c r="H1380" i="18"/>
  <c r="H1381" i="18"/>
  <c r="H1382" i="18"/>
  <c r="H1383" i="18"/>
  <c r="H1384" i="18"/>
  <c r="H1385" i="18"/>
  <c r="H1386" i="18"/>
  <c r="H1387" i="18"/>
  <c r="H1388" i="18"/>
  <c r="H1389" i="18"/>
  <c r="H1390" i="18"/>
  <c r="H1391" i="18"/>
  <c r="H1392" i="18"/>
  <c r="H1393" i="18"/>
  <c r="H1394" i="18"/>
  <c r="H1395" i="18"/>
  <c r="H1396" i="18"/>
  <c r="H1397" i="18"/>
  <c r="H1398" i="18"/>
  <c r="H1399" i="18"/>
  <c r="H1400" i="18"/>
  <c r="H1401" i="18"/>
  <c r="H1402" i="18"/>
  <c r="H1403" i="18"/>
  <c r="H1404" i="18"/>
  <c r="H1405" i="18"/>
  <c r="H1406" i="18"/>
  <c r="H1407" i="18"/>
  <c r="H1408" i="18"/>
  <c r="H1409" i="18"/>
  <c r="H1410" i="18"/>
  <c r="H1411" i="18"/>
  <c r="H1412" i="18"/>
  <c r="H1413" i="18"/>
  <c r="H1414" i="18"/>
  <c r="H1415" i="18"/>
  <c r="H1416" i="18"/>
  <c r="H1417" i="18"/>
  <c r="H1418" i="18"/>
  <c r="H1419" i="18"/>
  <c r="H1420" i="18"/>
  <c r="H1421" i="18"/>
  <c r="H1422" i="18"/>
  <c r="H1423" i="18"/>
  <c r="H1424" i="18"/>
  <c r="H1425" i="18"/>
  <c r="H1426" i="18"/>
  <c r="H1427" i="18"/>
  <c r="H1428" i="18"/>
  <c r="H1429" i="18"/>
  <c r="H1430" i="18"/>
  <c r="H1431" i="18"/>
  <c r="H1432" i="18"/>
  <c r="H1433" i="18"/>
  <c r="H1434" i="18"/>
  <c r="H1435" i="18"/>
  <c r="H1436" i="18"/>
  <c r="H1437" i="18"/>
  <c r="H1438" i="18"/>
  <c r="H1439" i="18"/>
  <c r="H1440" i="18"/>
  <c r="H1441" i="18"/>
  <c r="H1442" i="18"/>
  <c r="H1443" i="18"/>
  <c r="H1444" i="18"/>
  <c r="H1445" i="18"/>
  <c r="H1446" i="18"/>
  <c r="H1447" i="18"/>
  <c r="H1448" i="18"/>
  <c r="H1449" i="18"/>
  <c r="H1450" i="18"/>
  <c r="H1451" i="18"/>
  <c r="H1452" i="18"/>
  <c r="H1453" i="18"/>
  <c r="H1454" i="18"/>
  <c r="H1455" i="18"/>
  <c r="H1456" i="18"/>
  <c r="H1457" i="18"/>
  <c r="H1458" i="18"/>
  <c r="H1459" i="18"/>
  <c r="H1460" i="18"/>
  <c r="H1461" i="18"/>
  <c r="H1462" i="18"/>
  <c r="H1463" i="18"/>
  <c r="H1464" i="18"/>
  <c r="H1465" i="18"/>
  <c r="H1466" i="18"/>
  <c r="H1467" i="18"/>
  <c r="H1468" i="18"/>
  <c r="H1469" i="18"/>
  <c r="H1470" i="18"/>
  <c r="H1471" i="18"/>
  <c r="H1472" i="18"/>
  <c r="H1473" i="18"/>
  <c r="H1474" i="18"/>
  <c r="H1475" i="18"/>
  <c r="H1476" i="18"/>
  <c r="H1477" i="18"/>
  <c r="H1478" i="18"/>
  <c r="H1479" i="18"/>
  <c r="H1480" i="18"/>
  <c r="H1481" i="18"/>
  <c r="H1482" i="18"/>
  <c r="H1483" i="18"/>
  <c r="H1484" i="18"/>
  <c r="H1485" i="18"/>
  <c r="H1486" i="18"/>
  <c r="H1487" i="18"/>
  <c r="H1488" i="18"/>
  <c r="H1489" i="18"/>
  <c r="H1490" i="18"/>
  <c r="H1491" i="18"/>
  <c r="H1492" i="18"/>
  <c r="H1493" i="18"/>
  <c r="H1494" i="18"/>
  <c r="H1495" i="18"/>
  <c r="H1496" i="18"/>
  <c r="H1497" i="18"/>
  <c r="H1498" i="18"/>
  <c r="H1499" i="18"/>
  <c r="H1500" i="18"/>
  <c r="H1501" i="18"/>
  <c r="H1502" i="18"/>
  <c r="H1503" i="18"/>
  <c r="H1504" i="18"/>
  <c r="H1505" i="18"/>
  <c r="H1506" i="18"/>
  <c r="H12" i="18"/>
  <c r="E391" i="18"/>
  <c r="E378" i="18"/>
  <c r="E390" i="18"/>
  <c r="E315" i="18"/>
  <c r="E393" i="18"/>
  <c r="E392" i="18"/>
  <c r="E389" i="18"/>
  <c r="E388" i="18"/>
  <c r="E387" i="18"/>
  <c r="E386" i="18"/>
  <c r="E385" i="18"/>
  <c r="E384" i="18"/>
  <c r="E383" i="18"/>
  <c r="E382" i="18"/>
  <c r="E381" i="18"/>
  <c r="E380" i="18"/>
  <c r="E379" i="18"/>
  <c r="E377" i="18"/>
  <c r="E376" i="18"/>
  <c r="E375" i="18"/>
  <c r="E374" i="18"/>
  <c r="E373" i="18"/>
  <c r="E372" i="18"/>
  <c r="E371" i="18"/>
  <c r="E370" i="18"/>
  <c r="E369" i="18"/>
  <c r="E368" i="18"/>
  <c r="E367" i="18"/>
  <c r="E366" i="18"/>
  <c r="E365" i="18"/>
  <c r="E364" i="18"/>
  <c r="E363" i="18"/>
  <c r="E362" i="18"/>
  <c r="E361" i="18"/>
  <c r="E360" i="18"/>
  <c r="E359" i="18"/>
  <c r="E358" i="18"/>
  <c r="E357" i="18"/>
  <c r="E356" i="18"/>
  <c r="E355" i="18"/>
  <c r="E354" i="18"/>
  <c r="E353" i="18"/>
  <c r="E352" i="18"/>
  <c r="E351" i="18"/>
  <c r="E350" i="18"/>
  <c r="E349" i="18"/>
  <c r="E348" i="18"/>
  <c r="E347" i="18"/>
  <c r="E346" i="18"/>
  <c r="E345" i="18"/>
  <c r="E344" i="18"/>
  <c r="E343" i="18"/>
  <c r="E342" i="18"/>
  <c r="E341" i="18"/>
  <c r="E340" i="18"/>
  <c r="E339" i="18"/>
  <c r="E338" i="18"/>
  <c r="E337" i="18"/>
  <c r="E336" i="18"/>
  <c r="E335" i="18"/>
  <c r="E334" i="18"/>
  <c r="E333" i="18"/>
  <c r="E332" i="18"/>
  <c r="E331" i="18"/>
  <c r="E330" i="18"/>
  <c r="E329" i="18"/>
  <c r="E328" i="18"/>
  <c r="E327" i="18"/>
  <c r="E326" i="18"/>
  <c r="E325" i="18"/>
  <c r="E324" i="18"/>
  <c r="E323" i="18"/>
  <c r="E322" i="18"/>
  <c r="E321" i="18"/>
  <c r="E320" i="18"/>
  <c r="E319" i="18"/>
  <c r="E318" i="18"/>
  <c r="E317" i="18"/>
  <c r="E316" i="18"/>
  <c r="E314" i="18"/>
  <c r="E313" i="18"/>
  <c r="E312" i="18"/>
  <c r="E311" i="18"/>
  <c r="E310" i="18"/>
  <c r="E309" i="18"/>
  <c r="E308" i="18"/>
  <c r="E307" i="18"/>
  <c r="E306" i="18"/>
  <c r="E305" i="18"/>
  <c r="E304" i="18"/>
  <c r="E303" i="18"/>
  <c r="E302" i="18"/>
  <c r="E301" i="18"/>
  <c r="E300" i="18"/>
  <c r="E299" i="18"/>
  <c r="E298" i="18"/>
  <c r="E297" i="18"/>
  <c r="E296" i="18"/>
  <c r="E295" i="18"/>
  <c r="E294" i="18"/>
  <c r="E293" i="18"/>
  <c r="E292" i="18"/>
  <c r="E291" i="18"/>
  <c r="E290" i="18"/>
  <c r="E289" i="18"/>
  <c r="E288" i="18"/>
  <c r="E287" i="18"/>
  <c r="E286" i="18"/>
  <c r="E285" i="18"/>
  <c r="E284" i="18"/>
  <c r="E283" i="18"/>
  <c r="E282" i="18"/>
  <c r="E281" i="18"/>
  <c r="E280" i="18"/>
  <c r="E279" i="18"/>
  <c r="E278" i="18"/>
  <c r="E277" i="18"/>
  <c r="E276" i="18"/>
  <c r="E275" i="18"/>
  <c r="E274" i="18"/>
  <c r="E273" i="18"/>
  <c r="E272" i="18"/>
  <c r="E271" i="18"/>
  <c r="E270" i="18"/>
  <c r="E269" i="18"/>
  <c r="E268" i="18"/>
  <c r="E267" i="18"/>
  <c r="E266" i="18"/>
  <c r="E265" i="18"/>
  <c r="E264" i="18"/>
  <c r="E263" i="18"/>
  <c r="E262" i="18"/>
  <c r="E261" i="18"/>
  <c r="E260" i="18"/>
  <c r="E259" i="18"/>
  <c r="E258" i="18"/>
  <c r="E257" i="18"/>
  <c r="E256" i="18"/>
  <c r="E255" i="18"/>
  <c r="E254" i="18"/>
  <c r="E253" i="18"/>
  <c r="E252" i="18"/>
  <c r="E251" i="18"/>
  <c r="E250" i="18"/>
  <c r="E249" i="18"/>
  <c r="E248" i="18"/>
  <c r="E247" i="18"/>
  <c r="E246" i="18"/>
  <c r="E245" i="18"/>
  <c r="E244" i="18"/>
  <c r="E243" i="18"/>
  <c r="E242" i="18"/>
  <c r="E241" i="18"/>
  <c r="E240" i="18"/>
  <c r="E239" i="18"/>
  <c r="E238" i="18"/>
  <c r="E237" i="18"/>
  <c r="E236" i="18"/>
  <c r="E235" i="18"/>
  <c r="E234" i="18"/>
  <c r="E233" i="18"/>
  <c r="E232" i="18"/>
  <c r="E231" i="18"/>
  <c r="E230" i="18"/>
  <c r="E229" i="18"/>
  <c r="E228" i="18"/>
  <c r="E227" i="18"/>
  <c r="E226" i="18"/>
  <c r="E225" i="18"/>
  <c r="E224" i="18"/>
  <c r="E223" i="18"/>
  <c r="E222" i="18"/>
  <c r="E221" i="18"/>
  <c r="E220" i="18"/>
  <c r="E219" i="18"/>
  <c r="E218" i="18"/>
  <c r="E217" i="18"/>
  <c r="E216" i="18"/>
  <c r="E214" i="18"/>
  <c r="E213" i="18"/>
  <c r="E212" i="18"/>
  <c r="E211" i="18"/>
  <c r="E210" i="18"/>
  <c r="E209" i="18"/>
  <c r="E208" i="18"/>
  <c r="E207" i="18"/>
  <c r="E206" i="18"/>
  <c r="E205" i="18"/>
  <c r="E204" i="18"/>
  <c r="E13" i="18"/>
  <c r="E202" i="18"/>
  <c r="E201" i="18"/>
  <c r="E200" i="18"/>
  <c r="E198" i="18"/>
  <c r="E195" i="18"/>
  <c r="E190" i="18"/>
  <c r="E188" i="18"/>
  <c r="E187" i="18"/>
  <c r="E184" i="18"/>
  <c r="E183" i="18"/>
  <c r="E182" i="18"/>
  <c r="E179" i="18"/>
  <c r="E176" i="18"/>
  <c r="E175" i="18"/>
  <c r="E172" i="18"/>
  <c r="E171" i="18"/>
  <c r="E170" i="18"/>
  <c r="E169" i="18"/>
  <c r="E168" i="18"/>
  <c r="E167" i="18"/>
  <c r="E166" i="18"/>
  <c r="E165" i="18"/>
  <c r="E164" i="18"/>
  <c r="E163" i="18"/>
  <c r="E162" i="18"/>
  <c r="E161" i="18"/>
  <c r="E160" i="18"/>
  <c r="E159" i="18"/>
  <c r="E158" i="18"/>
  <c r="E157" i="18"/>
  <c r="E156" i="18"/>
  <c r="E155" i="18"/>
  <c r="E154" i="18"/>
  <c r="E153" i="18"/>
  <c r="E152" i="18"/>
  <c r="E151" i="18"/>
  <c r="E150" i="18"/>
  <c r="E149" i="18"/>
  <c r="E148" i="18"/>
  <c r="E147" i="18"/>
  <c r="E146" i="18"/>
  <c r="E145" i="18"/>
  <c r="E144" i="18"/>
  <c r="E143" i="18"/>
  <c r="E142" i="18"/>
  <c r="E141" i="18"/>
  <c r="E140" i="18"/>
  <c r="E139" i="18"/>
  <c r="E138" i="18"/>
  <c r="E137" i="18"/>
  <c r="E136" i="18"/>
  <c r="E135" i="18"/>
  <c r="E134" i="18"/>
  <c r="E133" i="18"/>
  <c r="E132" i="18"/>
  <c r="E131" i="18"/>
  <c r="E130" i="18"/>
  <c r="E129" i="18"/>
  <c r="E128" i="18"/>
  <c r="E127" i="18"/>
  <c r="E126" i="18"/>
  <c r="E125" i="18"/>
  <c r="E124" i="18"/>
  <c r="E123" i="18"/>
  <c r="E122" i="18"/>
  <c r="E121" i="18"/>
  <c r="E120" i="18"/>
  <c r="E119" i="18"/>
  <c r="E118" i="18"/>
  <c r="E117" i="18"/>
  <c r="E116" i="18"/>
  <c r="E115" i="18"/>
  <c r="E114" i="18"/>
  <c r="E113" i="18"/>
  <c r="E112" i="18"/>
  <c r="E111" i="18"/>
  <c r="E110" i="18"/>
  <c r="E109" i="18"/>
  <c r="E108" i="18"/>
  <c r="E106" i="18"/>
  <c r="E105" i="18"/>
  <c r="E104" i="18"/>
  <c r="E103" i="18"/>
  <c r="E102" i="18"/>
  <c r="E101" i="18"/>
  <c r="E100" i="18"/>
  <c r="E99" i="18"/>
  <c r="E98" i="18"/>
  <c r="E97" i="18"/>
  <c r="E96" i="18"/>
  <c r="E95" i="18"/>
  <c r="E94" i="18"/>
  <c r="E93" i="18"/>
  <c r="E92" i="18"/>
  <c r="E91" i="18"/>
  <c r="E90" i="18"/>
  <c r="E89" i="18"/>
  <c r="E88" i="18"/>
  <c r="E87" i="18"/>
  <c r="E86" i="18"/>
  <c r="E85" i="18"/>
  <c r="E84" i="18"/>
  <c r="E83" i="18"/>
  <c r="E82" i="18"/>
  <c r="E81" i="18"/>
  <c r="E80" i="18"/>
  <c r="E79" i="18"/>
  <c r="E78" i="18"/>
  <c r="E77"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46" i="18"/>
  <c r="E45" i="18"/>
  <c r="E44" i="18"/>
  <c r="E43" i="18"/>
  <c r="E42" i="18"/>
  <c r="E41" i="18"/>
  <c r="E40" i="18"/>
  <c r="E39" i="18"/>
  <c r="E38" i="18"/>
  <c r="E37" i="18"/>
  <c r="E36" i="18"/>
  <c r="E35" i="18"/>
  <c r="E34" i="18"/>
  <c r="E33" i="18"/>
  <c r="E32" i="18"/>
  <c r="E31" i="18"/>
  <c r="E30" i="18"/>
  <c r="E29" i="18"/>
  <c r="E28" i="18"/>
  <c r="E27" i="18"/>
  <c r="E26" i="18"/>
  <c r="E25" i="18"/>
  <c r="E24" i="18"/>
  <c r="E23" i="18"/>
  <c r="E22" i="18"/>
  <c r="E21" i="18"/>
  <c r="E20" i="18"/>
  <c r="E19" i="18"/>
  <c r="E18" i="18"/>
  <c r="E17" i="18"/>
  <c r="E16" i="18"/>
  <c r="E15" i="18"/>
  <c r="E14" i="18"/>
  <c r="E203" i="18"/>
  <c r="E396" i="18"/>
  <c r="E397" i="18"/>
  <c r="E398" i="18"/>
  <c r="E399" i="18"/>
  <c r="E411" i="18"/>
  <c r="E420" i="18"/>
  <c r="E422" i="18"/>
  <c r="E425" i="18"/>
  <c r="E426" i="18"/>
  <c r="E428" i="18"/>
  <c r="E496" i="18"/>
  <c r="E498" i="18"/>
  <c r="E500" i="18"/>
  <c r="E501" i="18"/>
  <c r="E503" i="18"/>
  <c r="E505" i="18"/>
  <c r="E506" i="18"/>
  <c r="E508" i="18"/>
  <c r="E394" i="18"/>
  <c r="E409" i="18"/>
  <c r="E410" i="18"/>
  <c r="E419" i="18"/>
  <c r="E423" i="18"/>
  <c r="E493" i="18"/>
  <c r="E494" i="18"/>
  <c r="E495" i="18"/>
  <c r="E499" i="18"/>
  <c r="E509" i="18"/>
  <c r="E511" i="18"/>
  <c r="E512" i="18"/>
  <c r="E514" i="18"/>
  <c r="E395" i="18"/>
  <c r="E412" i="18"/>
  <c r="E415" i="18"/>
  <c r="E421" i="18"/>
  <c r="E492" i="18"/>
  <c r="E497" i="18"/>
  <c r="E502" i="18"/>
  <c r="E504" i="18"/>
  <c r="E507" i="18"/>
  <c r="E510" i="18"/>
  <c r="E513" i="18"/>
  <c r="E515" i="18"/>
  <c r="F8" i="14"/>
  <c r="B22" i="10"/>
  <c r="D17" i="14"/>
  <c r="D16" i="14"/>
  <c r="B10" i="9"/>
  <c r="B39" i="10" l="1"/>
  <c r="E39" i="10" s="1"/>
  <c r="E26" i="10"/>
  <c r="I1002" i="18"/>
  <c r="I1140" i="18"/>
  <c r="I1130" i="18"/>
  <c r="I1016" i="18"/>
  <c r="I1118" i="18"/>
  <c r="I1101" i="18"/>
  <c r="I1045" i="18"/>
  <c r="I1047" i="18"/>
  <c r="I1049" i="18"/>
  <c r="I1080" i="18"/>
  <c r="I1077" i="18"/>
  <c r="I1070" i="18"/>
  <c r="I765" i="18"/>
  <c r="I762" i="18"/>
  <c r="I760" i="18"/>
  <c r="I755" i="18"/>
  <c r="I754" i="18"/>
  <c r="I751" i="18"/>
  <c r="I747" i="18"/>
  <c r="I635" i="18"/>
  <c r="I743" i="18"/>
  <c r="I740" i="18"/>
  <c r="I739" i="18"/>
  <c r="I677" i="18"/>
  <c r="I759" i="18"/>
  <c r="I661" i="18"/>
  <c r="I641" i="18"/>
  <c r="I741" i="18"/>
  <c r="I735" i="18"/>
  <c r="J735" i="18" s="1"/>
  <c r="K735" i="18" s="1"/>
  <c r="L735" i="18" s="1"/>
  <c r="I730" i="18"/>
  <c r="I729" i="18"/>
  <c r="I686" i="18"/>
  <c r="I646" i="18"/>
  <c r="I687" i="18"/>
  <c r="I723" i="18"/>
  <c r="I688" i="18"/>
  <c r="I721" i="18"/>
  <c r="I657" i="18"/>
  <c r="I696" i="18"/>
  <c r="I705" i="18"/>
  <c r="I655" i="18"/>
  <c r="I703" i="18"/>
  <c r="I699" i="18"/>
  <c r="I654" i="18"/>
  <c r="I1141" i="18"/>
  <c r="I1003" i="18"/>
  <c r="I1132" i="18"/>
  <c r="I1014" i="18"/>
  <c r="I1027" i="18"/>
  <c r="J1027" i="18" s="1"/>
  <c r="K1027" i="18" s="1"/>
  <c r="L1027" i="18" s="1"/>
  <c r="I1111" i="18"/>
  <c r="I1041" i="18"/>
  <c r="I1102" i="18"/>
  <c r="I1091" i="18"/>
  <c r="I1057" i="18"/>
  <c r="I1083" i="18"/>
  <c r="I1082" i="18"/>
  <c r="I1062" i="18"/>
  <c r="I1063" i="18"/>
  <c r="I668" i="18"/>
  <c r="I670" i="18"/>
  <c r="I764" i="18"/>
  <c r="I663" i="18"/>
  <c r="I662" i="18"/>
  <c r="I736" i="18"/>
  <c r="I685" i="18"/>
  <c r="I725" i="18"/>
  <c r="I647" i="18"/>
  <c r="J647" i="18" s="1"/>
  <c r="K647" i="18" s="1"/>
  <c r="L647" i="18" s="1"/>
  <c r="I719" i="18"/>
  <c r="I718" i="18"/>
  <c r="I717" i="18"/>
  <c r="J717" i="18" s="1"/>
  <c r="K717" i="18" s="1"/>
  <c r="L717" i="18" s="1"/>
  <c r="I715" i="18"/>
  <c r="I712" i="18"/>
  <c r="I650" i="18"/>
  <c r="I704" i="18"/>
  <c r="I697" i="18"/>
  <c r="J697" i="18" s="1"/>
  <c r="K697" i="18" s="1"/>
  <c r="L697" i="18" s="1"/>
  <c r="I701" i="18"/>
  <c r="I733" i="18"/>
  <c r="J733" i="18" s="1"/>
  <c r="K733" i="18" s="1"/>
  <c r="L733" i="18" s="1"/>
  <c r="I1143" i="18"/>
  <c r="I1142" i="18"/>
  <c r="J1142" i="18" s="1"/>
  <c r="K1142" i="18" s="1"/>
  <c r="L1142" i="18" s="1"/>
  <c r="I1007" i="18"/>
  <c r="I1135" i="18"/>
  <c r="I1129" i="18"/>
  <c r="I1017" i="18"/>
  <c r="I1123" i="18"/>
  <c r="J1123" i="18" s="1"/>
  <c r="K1123" i="18" s="1"/>
  <c r="L1123" i="18" s="1"/>
  <c r="I1024" i="18"/>
  <c r="I1030" i="18"/>
  <c r="I1110" i="18"/>
  <c r="I1037" i="18"/>
  <c r="J1037" i="18" s="1"/>
  <c r="K1037" i="18" s="1"/>
  <c r="L1037" i="18" s="1"/>
  <c r="I1042" i="18"/>
  <c r="I1096" i="18"/>
  <c r="J1096" i="18" s="1"/>
  <c r="K1096" i="18" s="1"/>
  <c r="L1096" i="18" s="1"/>
  <c r="I1092" i="18"/>
  <c r="J1092" i="18" s="1"/>
  <c r="K1092" i="18" s="1"/>
  <c r="L1092" i="18" s="1"/>
  <c r="I1058" i="18"/>
  <c r="I1061" i="18"/>
  <c r="I1079" i="18"/>
  <c r="I1074" i="18"/>
  <c r="I1071" i="18"/>
  <c r="I666" i="18"/>
  <c r="I744" i="18"/>
  <c r="J744" i="18" s="1"/>
  <c r="K744" i="18" s="1"/>
  <c r="L744" i="18" s="1"/>
  <c r="I634" i="18"/>
  <c r="I672" i="18"/>
  <c r="J672" i="18" s="1"/>
  <c r="K672" i="18" s="1"/>
  <c r="L672" i="18" s="1"/>
  <c r="I756" i="18"/>
  <c r="J756" i="18" s="1"/>
  <c r="K756" i="18" s="1"/>
  <c r="L756" i="18" s="1"/>
  <c r="I674" i="18"/>
  <c r="I746" i="18"/>
  <c r="J746" i="18" s="1"/>
  <c r="K746" i="18" s="1"/>
  <c r="L746" i="18" s="1"/>
  <c r="I678" i="18"/>
  <c r="J678" i="18" s="1"/>
  <c r="K678" i="18" s="1"/>
  <c r="L678" i="18" s="1"/>
  <c r="I683" i="18"/>
  <c r="I684" i="18"/>
  <c r="I659" i="18"/>
  <c r="I720" i="18"/>
  <c r="I706" i="18"/>
  <c r="I1139" i="18"/>
  <c r="I1009" i="18"/>
  <c r="I1133" i="18"/>
  <c r="I1031" i="18"/>
  <c r="J1031" i="18" s="1"/>
  <c r="K1031" i="18" s="1"/>
  <c r="L1031" i="18" s="1"/>
  <c r="I1035" i="18"/>
  <c r="I1108" i="18"/>
  <c r="J1108" i="18" s="1"/>
  <c r="K1108" i="18" s="1"/>
  <c r="L1108" i="18" s="1"/>
  <c r="I1100" i="18"/>
  <c r="I1046" i="18"/>
  <c r="I1048" i="18"/>
  <c r="I1094" i="18"/>
  <c r="I1050" i="18"/>
  <c r="I1055" i="18"/>
  <c r="J1055" i="18" s="1"/>
  <c r="K1055" i="18" s="1"/>
  <c r="L1055" i="18" s="1"/>
  <c r="I1087" i="18"/>
  <c r="J1087" i="18" s="1"/>
  <c r="K1087" i="18" s="1"/>
  <c r="L1087" i="18" s="1"/>
  <c r="I1084" i="18"/>
  <c r="I698" i="18"/>
  <c r="J698" i="18" s="1"/>
  <c r="K698" i="18" s="1"/>
  <c r="L698" i="18" s="1"/>
  <c r="I761" i="18"/>
  <c r="I665" i="18"/>
  <c r="J665" i="18" s="1"/>
  <c r="K665" i="18" s="1"/>
  <c r="L665" i="18" s="1"/>
  <c r="I752" i="18"/>
  <c r="I669" i="18"/>
  <c r="J669" i="18" s="1"/>
  <c r="K669" i="18" s="1"/>
  <c r="L669" i="18" s="1"/>
  <c r="I748" i="18"/>
  <c r="J748" i="18" s="1"/>
  <c r="K748" i="18" s="1"/>
  <c r="L748" i="18" s="1"/>
  <c r="I639" i="18"/>
  <c r="J639" i="18" s="1"/>
  <c r="K639" i="18" s="1"/>
  <c r="L639" i="18" s="1"/>
  <c r="I750" i="18"/>
  <c r="J750" i="18" s="1"/>
  <c r="K750" i="18" s="1"/>
  <c r="L750" i="18" s="1"/>
  <c r="I642" i="18"/>
  <c r="J642" i="18" s="1"/>
  <c r="K642" i="18" s="1"/>
  <c r="L642" i="18" s="1"/>
  <c r="I732" i="18"/>
  <c r="J732" i="18" s="1"/>
  <c r="K732" i="18" s="1"/>
  <c r="L732" i="18" s="1"/>
  <c r="I728" i="18"/>
  <c r="J728" i="18" s="1"/>
  <c r="K728" i="18" s="1"/>
  <c r="L728" i="18" s="1"/>
  <c r="I722" i="18"/>
  <c r="I658" i="18"/>
  <c r="J658" i="18" s="1"/>
  <c r="K658" i="18" s="1"/>
  <c r="L658" i="18" s="1"/>
  <c r="I689" i="18"/>
  <c r="J689" i="18" s="1"/>
  <c r="K689" i="18" s="1"/>
  <c r="L689" i="18" s="1"/>
  <c r="I648" i="18"/>
  <c r="I690" i="18"/>
  <c r="J690" i="18" s="1"/>
  <c r="K690" i="18" s="1"/>
  <c r="L690" i="18" s="1"/>
  <c r="I691" i="18"/>
  <c r="J691" i="18" s="1"/>
  <c r="K691" i="18" s="1"/>
  <c r="L691" i="18" s="1"/>
  <c r="I649" i="18"/>
  <c r="J649" i="18" s="1"/>
  <c r="K649" i="18" s="1"/>
  <c r="L649" i="18" s="1"/>
  <c r="I713" i="18"/>
  <c r="J713" i="18" s="1"/>
  <c r="K713" i="18" s="1"/>
  <c r="L713" i="18" s="1"/>
  <c r="I651" i="18"/>
  <c r="J651" i="18" s="1"/>
  <c r="K651" i="18" s="1"/>
  <c r="L651" i="18" s="1"/>
  <c r="I652" i="18"/>
  <c r="J652" i="18" s="1"/>
  <c r="K652" i="18" s="1"/>
  <c r="L652" i="18" s="1"/>
  <c r="I1000" i="18"/>
  <c r="I1001" i="18"/>
  <c r="I1004" i="18"/>
  <c r="I1005" i="18"/>
  <c r="I1134" i="18"/>
  <c r="I1131" i="18"/>
  <c r="I1126" i="18"/>
  <c r="J1126" i="18" s="1"/>
  <c r="K1126" i="18" s="1"/>
  <c r="L1126" i="18" s="1"/>
  <c r="I1018" i="18"/>
  <c r="I1125" i="18"/>
  <c r="J1125" i="18" s="1"/>
  <c r="K1125" i="18" s="1"/>
  <c r="L1125" i="18" s="1"/>
  <c r="I1020" i="18"/>
  <c r="I1122" i="18"/>
  <c r="J1122" i="18" s="1"/>
  <c r="K1122" i="18" s="1"/>
  <c r="L1122" i="18" s="1"/>
  <c r="I1120" i="18"/>
  <c r="I1119" i="18"/>
  <c r="I1116" i="18"/>
  <c r="J1116" i="18" s="1"/>
  <c r="K1116" i="18" s="1"/>
  <c r="L1116" i="18" s="1"/>
  <c r="I1029" i="18"/>
  <c r="I1104" i="18"/>
  <c r="J1104" i="18" s="1"/>
  <c r="K1104" i="18" s="1"/>
  <c r="L1104" i="18" s="1"/>
  <c r="I1095" i="18"/>
  <c r="J1095" i="18" s="1"/>
  <c r="K1095" i="18" s="1"/>
  <c r="L1095" i="18" s="1"/>
  <c r="I1052" i="18"/>
  <c r="J1052" i="18" s="1"/>
  <c r="K1052" i="18" s="1"/>
  <c r="L1052" i="18" s="1"/>
  <c r="I1054" i="18"/>
  <c r="I1086" i="18"/>
  <c r="I1078" i="18"/>
  <c r="J1078" i="18" s="1"/>
  <c r="K1078" i="18" s="1"/>
  <c r="L1078" i="18" s="1"/>
  <c r="I1066" i="18"/>
  <c r="J1066" i="18" s="1"/>
  <c r="K1066" i="18" s="1"/>
  <c r="L1066" i="18" s="1"/>
  <c r="I667" i="18"/>
  <c r="J667" i="18" s="1"/>
  <c r="K667" i="18" s="1"/>
  <c r="L667" i="18" s="1"/>
  <c r="I753" i="18"/>
  <c r="J753" i="18" s="1"/>
  <c r="K753" i="18" s="1"/>
  <c r="L753" i="18" s="1"/>
  <c r="I671" i="18"/>
  <c r="J671" i="18" s="1"/>
  <c r="K671" i="18" s="1"/>
  <c r="L671" i="18" s="1"/>
  <c r="I749" i="18"/>
  <c r="J749" i="18" s="1"/>
  <c r="K749" i="18" s="1"/>
  <c r="L749" i="18" s="1"/>
  <c r="I745" i="18"/>
  <c r="J745" i="18" s="1"/>
  <c r="K745" i="18" s="1"/>
  <c r="L745" i="18" s="1"/>
  <c r="I676" i="18"/>
  <c r="J676" i="18" s="1"/>
  <c r="K676" i="18" s="1"/>
  <c r="L676" i="18" s="1"/>
  <c r="I637" i="18"/>
  <c r="J637" i="18" s="1"/>
  <c r="K637" i="18" s="1"/>
  <c r="L637" i="18" s="1"/>
  <c r="I679" i="18"/>
  <c r="I640" i="18"/>
  <c r="I681" i="18"/>
  <c r="J681" i="18" s="1"/>
  <c r="K681" i="18" s="1"/>
  <c r="L681" i="18" s="1"/>
  <c r="I727" i="18"/>
  <c r="I711" i="18"/>
  <c r="J711" i="18" s="1"/>
  <c r="K711" i="18" s="1"/>
  <c r="L711" i="18" s="1"/>
  <c r="I710" i="18"/>
  <c r="I709" i="18"/>
  <c r="J709" i="18" s="1"/>
  <c r="K709" i="18" s="1"/>
  <c r="L709" i="18" s="1"/>
  <c r="I708" i="18"/>
  <c r="J708" i="18" s="1"/>
  <c r="K708" i="18" s="1"/>
  <c r="L708" i="18" s="1"/>
  <c r="I702" i="18"/>
  <c r="J702" i="18" s="1"/>
  <c r="K702" i="18" s="1"/>
  <c r="L702" i="18" s="1"/>
  <c r="I1138" i="18"/>
  <c r="J1138" i="18" s="1"/>
  <c r="K1138" i="18" s="1"/>
  <c r="L1138" i="18" s="1"/>
  <c r="I1137" i="18"/>
  <c r="J1137" i="18" s="1"/>
  <c r="K1137" i="18" s="1"/>
  <c r="L1137" i="18" s="1"/>
  <c r="I1136" i="18"/>
  <c r="I1008" i="18"/>
  <c r="J1008" i="18" s="1"/>
  <c r="K1008" i="18" s="1"/>
  <c r="L1008" i="18" s="1"/>
  <c r="I1011" i="18"/>
  <c r="J1011" i="18" s="1"/>
  <c r="K1011" i="18" s="1"/>
  <c r="L1011" i="18" s="1"/>
  <c r="I1021" i="18"/>
  <c r="J1021" i="18" s="1"/>
  <c r="K1021" i="18" s="1"/>
  <c r="L1021" i="18" s="1"/>
  <c r="I1112" i="18"/>
  <c r="J1112" i="18" s="1"/>
  <c r="K1112" i="18" s="1"/>
  <c r="L1112" i="18" s="1"/>
  <c r="I1109" i="18"/>
  <c r="J1109" i="18" s="1"/>
  <c r="K1109" i="18" s="1"/>
  <c r="L1109" i="18" s="1"/>
  <c r="I1107" i="18"/>
  <c r="J1107" i="18" s="1"/>
  <c r="K1107" i="18" s="1"/>
  <c r="L1107" i="18" s="1"/>
  <c r="I1038" i="18"/>
  <c r="J1038" i="18" s="1"/>
  <c r="K1038" i="18" s="1"/>
  <c r="L1038" i="18" s="1"/>
  <c r="I1105" i="18"/>
  <c r="J1105" i="18" s="1"/>
  <c r="K1105" i="18" s="1"/>
  <c r="L1105" i="18" s="1"/>
  <c r="I1043" i="18"/>
  <c r="I1097" i="18"/>
  <c r="J1097" i="18" s="1"/>
  <c r="K1097" i="18" s="1"/>
  <c r="L1097" i="18" s="1"/>
  <c r="I1089" i="18"/>
  <c r="I1085" i="18"/>
  <c r="I1060" i="18"/>
  <c r="I1081" i="18"/>
  <c r="I1064" i="18"/>
  <c r="I1067" i="18"/>
  <c r="I1068" i="18"/>
  <c r="J1068" i="18" s="1"/>
  <c r="K1068" i="18" s="1"/>
  <c r="L1068" i="18" s="1"/>
  <c r="I516" i="18"/>
  <c r="I1073" i="18"/>
  <c r="I757" i="18"/>
  <c r="J757" i="18" s="1"/>
  <c r="K757" i="18" s="1"/>
  <c r="L757" i="18" s="1"/>
  <c r="I738" i="18"/>
  <c r="J738" i="18" s="1"/>
  <c r="K738" i="18" s="1"/>
  <c r="L738" i="18" s="1"/>
  <c r="I673" i="18"/>
  <c r="J673" i="18" s="1"/>
  <c r="K673" i="18" s="1"/>
  <c r="L673" i="18" s="1"/>
  <c r="I636" i="18"/>
  <c r="J636" i="18" s="1"/>
  <c r="K636" i="18" s="1"/>
  <c r="L636" i="18" s="1"/>
  <c r="I675" i="18"/>
  <c r="J675" i="18" s="1"/>
  <c r="K675" i="18" s="1"/>
  <c r="L675" i="18" s="1"/>
  <c r="I763" i="18"/>
  <c r="J763" i="18" s="1"/>
  <c r="K763" i="18" s="1"/>
  <c r="L763" i="18" s="1"/>
  <c r="I758" i="18"/>
  <c r="I734" i="18"/>
  <c r="I643" i="18"/>
  <c r="I645" i="18"/>
  <c r="I726" i="18"/>
  <c r="I724" i="18"/>
  <c r="J724" i="18" s="1"/>
  <c r="K724" i="18" s="1"/>
  <c r="L724" i="18" s="1"/>
  <c r="I714" i="18"/>
  <c r="J714" i="18" s="1"/>
  <c r="K714" i="18" s="1"/>
  <c r="L714" i="18" s="1"/>
  <c r="I656" i="18"/>
  <c r="J656" i="18" s="1"/>
  <c r="K656" i="18" s="1"/>
  <c r="L656" i="18" s="1"/>
  <c r="I707" i="18"/>
  <c r="J707" i="18" s="1"/>
  <c r="K707" i="18" s="1"/>
  <c r="L707" i="18" s="1"/>
  <c r="I653" i="18"/>
  <c r="J653" i="18" s="1"/>
  <c r="K653" i="18" s="1"/>
  <c r="L653" i="18" s="1"/>
  <c r="I1006" i="18"/>
  <c r="J1006" i="18" s="1"/>
  <c r="K1006" i="18" s="1"/>
  <c r="L1006" i="18" s="1"/>
  <c r="I1010" i="18"/>
  <c r="I1013" i="18"/>
  <c r="J1013" i="18" s="1"/>
  <c r="K1013" i="18" s="1"/>
  <c r="L1013" i="18" s="1"/>
  <c r="I1015" i="18"/>
  <c r="J1015" i="18" s="1"/>
  <c r="K1015" i="18" s="1"/>
  <c r="L1015" i="18" s="1"/>
  <c r="I1127" i="18"/>
  <c r="I1124" i="18"/>
  <c r="J1124" i="18" s="1"/>
  <c r="K1124" i="18" s="1"/>
  <c r="L1124" i="18" s="1"/>
  <c r="I1022" i="18"/>
  <c r="J1022" i="18" s="1"/>
  <c r="K1022" i="18" s="1"/>
  <c r="L1022" i="18" s="1"/>
  <c r="I1121" i="18"/>
  <c r="I1117" i="18"/>
  <c r="J1117" i="18" s="1"/>
  <c r="K1117" i="18" s="1"/>
  <c r="L1117" i="18" s="1"/>
  <c r="I1028" i="18"/>
  <c r="J1028" i="18" s="1"/>
  <c r="K1028" i="18" s="1"/>
  <c r="L1028" i="18" s="1"/>
  <c r="I1114" i="18"/>
  <c r="J1114" i="18" s="1"/>
  <c r="K1114" i="18" s="1"/>
  <c r="L1114" i="18" s="1"/>
  <c r="I1106" i="18"/>
  <c r="J1106" i="18" s="1"/>
  <c r="K1106" i="18" s="1"/>
  <c r="L1106" i="18" s="1"/>
  <c r="I1103" i="18"/>
  <c r="J1103" i="18" s="1"/>
  <c r="K1103" i="18" s="1"/>
  <c r="L1103" i="18" s="1"/>
  <c r="I1044" i="18"/>
  <c r="J1044" i="18" s="1"/>
  <c r="K1044" i="18" s="1"/>
  <c r="L1044" i="18" s="1"/>
  <c r="I1098" i="18"/>
  <c r="J1098" i="18" s="1"/>
  <c r="K1098" i="18" s="1"/>
  <c r="L1098" i="18" s="1"/>
  <c r="I1093" i="18"/>
  <c r="I1051" i="18"/>
  <c r="I1090" i="18"/>
  <c r="J1090" i="18" s="1"/>
  <c r="K1090" i="18" s="1"/>
  <c r="L1090" i="18" s="1"/>
  <c r="I1088" i="18"/>
  <c r="J1088" i="18" s="1"/>
  <c r="K1088" i="18" s="1"/>
  <c r="L1088" i="18" s="1"/>
  <c r="I1056" i="18"/>
  <c r="J1056" i="18" s="1"/>
  <c r="K1056" i="18" s="1"/>
  <c r="L1056" i="18" s="1"/>
  <c r="I1076" i="18"/>
  <c r="J1076" i="18" s="1"/>
  <c r="K1076" i="18" s="1"/>
  <c r="L1076" i="18" s="1"/>
  <c r="I1069" i="18"/>
  <c r="I268" i="18"/>
  <c r="I266" i="18"/>
  <c r="I267" i="18"/>
  <c r="I15" i="18"/>
  <c r="I12" i="18"/>
  <c r="I515" i="18"/>
  <c r="I514" i="18"/>
  <c r="I513" i="18"/>
  <c r="I512" i="18"/>
  <c r="I511" i="18"/>
  <c r="I510" i="18"/>
  <c r="I509" i="18"/>
  <c r="I508" i="18"/>
  <c r="I507" i="18"/>
  <c r="I506" i="18"/>
  <c r="I505" i="18"/>
  <c r="J505" i="18" s="1"/>
  <c r="K505" i="18" s="1"/>
  <c r="L505" i="18" s="1"/>
  <c r="I504" i="18"/>
  <c r="I503" i="18"/>
  <c r="I502" i="18"/>
  <c r="I501" i="18"/>
  <c r="I500" i="18"/>
  <c r="I499" i="18"/>
  <c r="I498" i="18"/>
  <c r="I497" i="18"/>
  <c r="I496" i="18"/>
  <c r="I495" i="18"/>
  <c r="I494" i="18"/>
  <c r="I493" i="18"/>
  <c r="I492" i="18"/>
  <c r="I491" i="18"/>
  <c r="I490" i="18"/>
  <c r="I489" i="18"/>
  <c r="I488" i="18"/>
  <c r="I487" i="18"/>
  <c r="I486" i="18"/>
  <c r="I485" i="18"/>
  <c r="I484" i="18"/>
  <c r="I483" i="18"/>
  <c r="I482" i="18"/>
  <c r="I481" i="18"/>
  <c r="I480" i="18"/>
  <c r="I479" i="18"/>
  <c r="I478" i="18"/>
  <c r="I477" i="18"/>
  <c r="I476" i="18"/>
  <c r="I475" i="18"/>
  <c r="I474" i="18"/>
  <c r="I473" i="18"/>
  <c r="I472" i="18"/>
  <c r="I471" i="18"/>
  <c r="I470" i="18"/>
  <c r="I469" i="18"/>
  <c r="I468" i="18"/>
  <c r="I467" i="18"/>
  <c r="I466" i="18"/>
  <c r="I465" i="18"/>
  <c r="I464" i="18"/>
  <c r="I463" i="18"/>
  <c r="I462" i="18"/>
  <c r="I461" i="18"/>
  <c r="I460" i="18"/>
  <c r="I459" i="18"/>
  <c r="I458" i="18"/>
  <c r="I457" i="18"/>
  <c r="I456" i="18"/>
  <c r="I455" i="18"/>
  <c r="I454" i="18"/>
  <c r="I453" i="18"/>
  <c r="I452" i="18"/>
  <c r="I451" i="18"/>
  <c r="I450" i="18"/>
  <c r="I449" i="18"/>
  <c r="I448" i="18"/>
  <c r="I447" i="18"/>
  <c r="I446" i="18"/>
  <c r="I445" i="18"/>
  <c r="I444" i="18"/>
  <c r="I443" i="18"/>
  <c r="I442" i="18"/>
  <c r="I441" i="18"/>
  <c r="I440" i="18"/>
  <c r="I439" i="18"/>
  <c r="I438" i="18"/>
  <c r="I437" i="18"/>
  <c r="I436" i="18"/>
  <c r="I435" i="18"/>
  <c r="I434" i="18"/>
  <c r="I433" i="18"/>
  <c r="I432" i="18"/>
  <c r="I431" i="18"/>
  <c r="I430" i="18"/>
  <c r="I429" i="18"/>
  <c r="I428" i="18"/>
  <c r="I427" i="18"/>
  <c r="I426" i="18"/>
  <c r="I425" i="18"/>
  <c r="I424" i="18"/>
  <c r="I423" i="18"/>
  <c r="I422" i="18"/>
  <c r="I421" i="18"/>
  <c r="I420" i="18"/>
  <c r="I419" i="18"/>
  <c r="I418" i="18"/>
  <c r="I417" i="18"/>
  <c r="I416" i="18"/>
  <c r="I415" i="18"/>
  <c r="I414" i="18"/>
  <c r="I413" i="18"/>
  <c r="I412" i="18"/>
  <c r="I411" i="18"/>
  <c r="I410" i="18"/>
  <c r="I409" i="18"/>
  <c r="I408" i="18"/>
  <c r="I407" i="18"/>
  <c r="I406" i="18"/>
  <c r="I405" i="18"/>
  <c r="I404" i="18"/>
  <c r="I403" i="18"/>
  <c r="I402" i="18"/>
  <c r="I401" i="18"/>
  <c r="I400" i="18"/>
  <c r="I399" i="18"/>
  <c r="I398" i="18"/>
  <c r="I397" i="18"/>
  <c r="I396" i="18"/>
  <c r="I395" i="18"/>
  <c r="I394" i="18"/>
  <c r="I393" i="18"/>
  <c r="I392" i="18"/>
  <c r="I391" i="18"/>
  <c r="I390" i="18"/>
  <c r="I389" i="18"/>
  <c r="I388" i="18"/>
  <c r="I387" i="18"/>
  <c r="I386" i="18"/>
  <c r="I385" i="18"/>
  <c r="I384" i="18"/>
  <c r="I383" i="18"/>
  <c r="I382" i="18"/>
  <c r="I381" i="18"/>
  <c r="I380" i="18"/>
  <c r="I379" i="18"/>
  <c r="I378" i="18"/>
  <c r="I377" i="18"/>
  <c r="I376" i="18"/>
  <c r="I375" i="18"/>
  <c r="I374" i="18"/>
  <c r="I373" i="18"/>
  <c r="I372" i="18"/>
  <c r="I371" i="18"/>
  <c r="I370" i="18"/>
  <c r="I369" i="18"/>
  <c r="I368" i="18"/>
  <c r="I367" i="18"/>
  <c r="I366" i="18"/>
  <c r="I365" i="18"/>
  <c r="I364" i="18"/>
  <c r="I363" i="18"/>
  <c r="I362" i="18"/>
  <c r="I361" i="18"/>
  <c r="I360" i="18"/>
  <c r="I359" i="18"/>
  <c r="I358" i="18"/>
  <c r="I357" i="18"/>
  <c r="I356" i="18"/>
  <c r="I355" i="18"/>
  <c r="I354" i="18"/>
  <c r="I353" i="18"/>
  <c r="I352" i="18"/>
  <c r="I351" i="18"/>
  <c r="I350" i="18"/>
  <c r="I349" i="18"/>
  <c r="I348" i="18"/>
  <c r="I347" i="18"/>
  <c r="I346" i="18"/>
  <c r="I345" i="18"/>
  <c r="I344" i="18"/>
  <c r="I343" i="18"/>
  <c r="I342" i="18"/>
  <c r="I341" i="18"/>
  <c r="I340" i="18"/>
  <c r="I339" i="18"/>
  <c r="I338" i="18"/>
  <c r="J338" i="18" s="1"/>
  <c r="K338" i="18" s="1"/>
  <c r="L338" i="18" s="1"/>
  <c r="I337" i="18"/>
  <c r="I336" i="18"/>
  <c r="I335" i="18"/>
  <c r="I334" i="18"/>
  <c r="I333" i="18"/>
  <c r="I332" i="18"/>
  <c r="I331" i="18"/>
  <c r="I330" i="18"/>
  <c r="I329" i="18"/>
  <c r="I328" i="18"/>
  <c r="I327" i="18"/>
  <c r="I326" i="18"/>
  <c r="I325" i="18"/>
  <c r="I324" i="18"/>
  <c r="I323" i="18"/>
  <c r="I322" i="18"/>
  <c r="I321" i="18"/>
  <c r="I320" i="18"/>
  <c r="I319" i="18"/>
  <c r="I318" i="18"/>
  <c r="I317" i="18"/>
  <c r="I316" i="18"/>
  <c r="I315" i="18"/>
  <c r="I314" i="18"/>
  <c r="I313" i="18"/>
  <c r="I312" i="18"/>
  <c r="I311" i="18"/>
  <c r="I310" i="18"/>
  <c r="I309" i="18"/>
  <c r="I308" i="18"/>
  <c r="I307" i="18"/>
  <c r="I306" i="18"/>
  <c r="I305" i="18"/>
  <c r="I304" i="18"/>
  <c r="I303" i="18"/>
  <c r="I302" i="18"/>
  <c r="I301" i="18"/>
  <c r="I300" i="18"/>
  <c r="I299" i="18"/>
  <c r="I298" i="18"/>
  <c r="I297" i="18"/>
  <c r="I296" i="18"/>
  <c r="I295" i="18"/>
  <c r="I294" i="18"/>
  <c r="I293" i="18"/>
  <c r="I292" i="18"/>
  <c r="I291" i="18"/>
  <c r="I290" i="18"/>
  <c r="I289" i="18"/>
  <c r="I288" i="18"/>
  <c r="I287" i="18"/>
  <c r="I286" i="18"/>
  <c r="I285" i="18"/>
  <c r="I284" i="18"/>
  <c r="I283" i="18"/>
  <c r="I282" i="18"/>
  <c r="I281" i="18"/>
  <c r="I280" i="18"/>
  <c r="I279" i="18"/>
  <c r="I278" i="18"/>
  <c r="J278" i="18" s="1"/>
  <c r="K278" i="18" s="1"/>
  <c r="L278" i="18" s="1"/>
  <c r="I277" i="18"/>
  <c r="I276" i="18"/>
  <c r="I275" i="18"/>
  <c r="I274" i="18"/>
  <c r="I273" i="18"/>
  <c r="I272" i="18"/>
  <c r="I271" i="18"/>
  <c r="I270" i="18"/>
  <c r="I269" i="18"/>
  <c r="I14" i="18"/>
  <c r="I16" i="18"/>
  <c r="J16" i="18" s="1"/>
  <c r="K16" i="18" s="1"/>
  <c r="L16" i="18" s="1"/>
  <c r="I265" i="18"/>
  <c r="I264" i="18"/>
  <c r="I263" i="18"/>
  <c r="I262" i="18"/>
  <c r="I261" i="18"/>
  <c r="I260" i="18"/>
  <c r="I259" i="18"/>
  <c r="I258" i="18"/>
  <c r="I257" i="18"/>
  <c r="I256" i="18"/>
  <c r="I255" i="18"/>
  <c r="I254" i="18"/>
  <c r="I253" i="18"/>
  <c r="I252" i="18"/>
  <c r="I251" i="18"/>
  <c r="I250" i="18"/>
  <c r="I249" i="18"/>
  <c r="I248" i="18"/>
  <c r="I247" i="18"/>
  <c r="I246" i="18"/>
  <c r="I245" i="18"/>
  <c r="I244" i="18"/>
  <c r="I243" i="18"/>
  <c r="I242" i="18"/>
  <c r="I241" i="18"/>
  <c r="I240" i="18"/>
  <c r="I239" i="18"/>
  <c r="I238" i="18"/>
  <c r="I237" i="18"/>
  <c r="I236" i="18"/>
  <c r="I235" i="18"/>
  <c r="I234" i="18"/>
  <c r="I233" i="18"/>
  <c r="I232" i="18"/>
  <c r="I231" i="18"/>
  <c r="I230" i="18"/>
  <c r="I229" i="18"/>
  <c r="I228" i="18"/>
  <c r="I227" i="18"/>
  <c r="I226" i="18"/>
  <c r="J226" i="18" s="1"/>
  <c r="K226" i="18" s="1"/>
  <c r="L226" i="18" s="1"/>
  <c r="I225" i="18"/>
  <c r="J225" i="18" s="1"/>
  <c r="K225" i="18" s="1"/>
  <c r="L225" i="18" s="1"/>
  <c r="I224" i="18"/>
  <c r="J224" i="18" s="1"/>
  <c r="K224" i="18" s="1"/>
  <c r="L224" i="18" s="1"/>
  <c r="I223" i="18"/>
  <c r="J223" i="18" s="1"/>
  <c r="K223" i="18" s="1"/>
  <c r="L223" i="18" s="1"/>
  <c r="I222" i="18"/>
  <c r="J222" i="18" s="1"/>
  <c r="K222" i="18" s="1"/>
  <c r="L222" i="18" s="1"/>
  <c r="I221" i="18"/>
  <c r="J221" i="18" s="1"/>
  <c r="K221" i="18" s="1"/>
  <c r="L221" i="18" s="1"/>
  <c r="I220" i="18"/>
  <c r="I219" i="18"/>
  <c r="J219" i="18" s="1"/>
  <c r="K219" i="18" s="1"/>
  <c r="L219" i="18" s="1"/>
  <c r="I218" i="18"/>
  <c r="J218" i="18" s="1"/>
  <c r="K218" i="18" s="1"/>
  <c r="L218" i="18" s="1"/>
  <c r="I217" i="18"/>
  <c r="J217" i="18" s="1"/>
  <c r="K217" i="18" s="1"/>
  <c r="L217" i="18" s="1"/>
  <c r="I216" i="18"/>
  <c r="J216" i="18" s="1"/>
  <c r="K216" i="18" s="1"/>
  <c r="L216" i="18" s="1"/>
  <c r="I215" i="18"/>
  <c r="J215" i="18" s="1"/>
  <c r="K215" i="18" s="1"/>
  <c r="L215" i="18" s="1"/>
  <c r="I214" i="18"/>
  <c r="I213" i="18"/>
  <c r="J213" i="18" s="1"/>
  <c r="K213" i="18" s="1"/>
  <c r="L213" i="18" s="1"/>
  <c r="I212" i="18"/>
  <c r="I211" i="18"/>
  <c r="I210" i="18"/>
  <c r="I209" i="18"/>
  <c r="J209" i="18" s="1"/>
  <c r="K209" i="18" s="1"/>
  <c r="L209" i="18" s="1"/>
  <c r="I208" i="18"/>
  <c r="J208" i="18" s="1"/>
  <c r="K208" i="18" s="1"/>
  <c r="L208" i="18" s="1"/>
  <c r="I207" i="18"/>
  <c r="J207" i="18" s="1"/>
  <c r="K207" i="18" s="1"/>
  <c r="L207" i="18" s="1"/>
  <c r="I206" i="18"/>
  <c r="I205" i="18"/>
  <c r="J205" i="18" s="1"/>
  <c r="K205" i="18" s="1"/>
  <c r="L205" i="18" s="1"/>
  <c r="I204" i="18"/>
  <c r="J204" i="18" s="1"/>
  <c r="K204" i="18" s="1"/>
  <c r="L204" i="18" s="1"/>
  <c r="I203" i="18"/>
  <c r="J203" i="18" s="1"/>
  <c r="K203" i="18" s="1"/>
  <c r="L203" i="18" s="1"/>
  <c r="I202" i="18"/>
  <c r="J202" i="18" s="1"/>
  <c r="K202" i="18" s="1"/>
  <c r="L202" i="18" s="1"/>
  <c r="I201" i="18"/>
  <c r="J201" i="18" s="1"/>
  <c r="K201" i="18" s="1"/>
  <c r="L201" i="18" s="1"/>
  <c r="I200" i="18"/>
  <c r="J200" i="18" s="1"/>
  <c r="K200" i="18" s="1"/>
  <c r="L200" i="18" s="1"/>
  <c r="I199" i="18"/>
  <c r="I198" i="18"/>
  <c r="I197" i="18"/>
  <c r="J197" i="18" s="1"/>
  <c r="K197" i="18" s="1"/>
  <c r="L197" i="18" s="1"/>
  <c r="I196" i="18"/>
  <c r="J196" i="18" s="1"/>
  <c r="K196" i="18" s="1"/>
  <c r="L196" i="18" s="1"/>
  <c r="I195" i="18"/>
  <c r="I194" i="18"/>
  <c r="I193" i="18"/>
  <c r="I192" i="18"/>
  <c r="I191" i="18"/>
  <c r="J191" i="18" s="1"/>
  <c r="K191" i="18" s="1"/>
  <c r="L191" i="18" s="1"/>
  <c r="I190" i="18"/>
  <c r="I189" i="18"/>
  <c r="I188" i="18"/>
  <c r="I187" i="18"/>
  <c r="I186" i="18"/>
  <c r="I185" i="18"/>
  <c r="J185" i="18" s="1"/>
  <c r="K185" i="18" s="1"/>
  <c r="L185" i="18" s="1"/>
  <c r="I184" i="18"/>
  <c r="I183" i="18"/>
  <c r="I182" i="18"/>
  <c r="I181" i="18"/>
  <c r="I180" i="18"/>
  <c r="I179" i="18"/>
  <c r="I178" i="18"/>
  <c r="I177" i="18"/>
  <c r="I176" i="18"/>
  <c r="J176" i="18" s="1"/>
  <c r="K176" i="18" s="1"/>
  <c r="L176" i="18" s="1"/>
  <c r="I175" i="18"/>
  <c r="J175" i="18" s="1"/>
  <c r="K175" i="18" s="1"/>
  <c r="L175" i="18" s="1"/>
  <c r="I174" i="18"/>
  <c r="I173" i="18"/>
  <c r="I172" i="18"/>
  <c r="J172" i="18" s="1"/>
  <c r="K172" i="18" s="1"/>
  <c r="L172" i="18" s="1"/>
  <c r="I171" i="18"/>
  <c r="I170" i="18"/>
  <c r="J170" i="18" s="1"/>
  <c r="K170" i="18" s="1"/>
  <c r="L170" i="18" s="1"/>
  <c r="I169" i="18"/>
  <c r="I168" i="18"/>
  <c r="I167" i="18"/>
  <c r="I166" i="18"/>
  <c r="J166" i="18" s="1"/>
  <c r="K166" i="18" s="1"/>
  <c r="L166" i="18" s="1"/>
  <c r="I165" i="18"/>
  <c r="I164" i="18"/>
  <c r="I163" i="18"/>
  <c r="I162" i="18"/>
  <c r="I161" i="18"/>
  <c r="I160" i="18"/>
  <c r="J160" i="18" s="1"/>
  <c r="K160" i="18" s="1"/>
  <c r="L160" i="18" s="1"/>
  <c r="I159" i="18"/>
  <c r="J159" i="18" s="1"/>
  <c r="K159" i="18" s="1"/>
  <c r="L159" i="18" s="1"/>
  <c r="I158" i="18"/>
  <c r="I157" i="18"/>
  <c r="I156" i="18"/>
  <c r="I155" i="18"/>
  <c r="J155" i="18" s="1"/>
  <c r="K155" i="18" s="1"/>
  <c r="L155" i="18" s="1"/>
  <c r="I154" i="18"/>
  <c r="I153" i="18"/>
  <c r="I152" i="18"/>
  <c r="I151" i="18"/>
  <c r="I150" i="18"/>
  <c r="I149" i="18"/>
  <c r="I148" i="18"/>
  <c r="I147" i="18"/>
  <c r="J147" i="18" s="1"/>
  <c r="K147" i="18" s="1"/>
  <c r="L147" i="18" s="1"/>
  <c r="I146" i="18"/>
  <c r="I145" i="18"/>
  <c r="I144" i="18"/>
  <c r="I143" i="18"/>
  <c r="J143" i="18" s="1"/>
  <c r="K143" i="18" s="1"/>
  <c r="L143" i="18" s="1"/>
  <c r="I142" i="18"/>
  <c r="I141" i="18"/>
  <c r="J141" i="18" s="1"/>
  <c r="K141" i="18" s="1"/>
  <c r="L141" i="18" s="1"/>
  <c r="I140" i="18"/>
  <c r="I139" i="18"/>
  <c r="I138" i="18"/>
  <c r="I137" i="18"/>
  <c r="I136" i="18"/>
  <c r="I135" i="18"/>
  <c r="I134" i="18"/>
  <c r="I133" i="18"/>
  <c r="I132" i="18"/>
  <c r="I131" i="18"/>
  <c r="I130" i="18"/>
  <c r="I129" i="18"/>
  <c r="I128" i="18"/>
  <c r="I127" i="18"/>
  <c r="I126" i="18"/>
  <c r="I125" i="18"/>
  <c r="I124" i="18"/>
  <c r="I123" i="18"/>
  <c r="I122" i="18"/>
  <c r="I121" i="18"/>
  <c r="I120" i="18"/>
  <c r="I119" i="18"/>
  <c r="I118" i="18"/>
  <c r="J118" i="18" s="1"/>
  <c r="K118" i="18" s="1"/>
  <c r="L118" i="18" s="1"/>
  <c r="I117" i="18"/>
  <c r="J117" i="18" s="1"/>
  <c r="K117" i="18" s="1"/>
  <c r="L117" i="18" s="1"/>
  <c r="I116" i="18"/>
  <c r="I115" i="18"/>
  <c r="I114" i="18"/>
  <c r="I113" i="18"/>
  <c r="I112" i="18"/>
  <c r="I111" i="18"/>
  <c r="I110" i="18"/>
  <c r="I109" i="18"/>
  <c r="I108" i="18"/>
  <c r="I107" i="18"/>
  <c r="I106" i="18"/>
  <c r="I105" i="18"/>
  <c r="J105" i="18" s="1"/>
  <c r="K105" i="18" s="1"/>
  <c r="L105" i="18" s="1"/>
  <c r="I104" i="18"/>
  <c r="I103" i="18"/>
  <c r="I102" i="18"/>
  <c r="I101" i="18"/>
  <c r="I100" i="18"/>
  <c r="I99" i="18"/>
  <c r="I98" i="18"/>
  <c r="I97" i="18"/>
  <c r="I96" i="18"/>
  <c r="I95" i="18"/>
  <c r="I94" i="18"/>
  <c r="J94" i="18" s="1"/>
  <c r="K94" i="18" s="1"/>
  <c r="L94" i="18" s="1"/>
  <c r="I93" i="18"/>
  <c r="J93" i="18" s="1"/>
  <c r="K93" i="18" s="1"/>
  <c r="L93" i="18" s="1"/>
  <c r="I92" i="18"/>
  <c r="I91" i="18"/>
  <c r="I90" i="18"/>
  <c r="I89" i="18"/>
  <c r="I88" i="18"/>
  <c r="I87" i="18"/>
  <c r="I86" i="18"/>
  <c r="I85" i="18"/>
  <c r="I84" i="18"/>
  <c r="I83" i="18"/>
  <c r="I82" i="18"/>
  <c r="I81" i="18"/>
  <c r="I80" i="18"/>
  <c r="I79" i="18"/>
  <c r="I78" i="18"/>
  <c r="I77" i="18"/>
  <c r="I76" i="18"/>
  <c r="I75" i="18"/>
  <c r="J75" i="18" s="1"/>
  <c r="K75" i="18" s="1"/>
  <c r="L75" i="18" s="1"/>
  <c r="I74" i="18"/>
  <c r="I73" i="18"/>
  <c r="I72" i="18"/>
  <c r="I71" i="18"/>
  <c r="J71" i="18" s="1"/>
  <c r="K71" i="18" s="1"/>
  <c r="L71" i="18" s="1"/>
  <c r="I70" i="18"/>
  <c r="I69" i="18"/>
  <c r="J69" i="18" s="1"/>
  <c r="K69" i="18" s="1"/>
  <c r="L69" i="18" s="1"/>
  <c r="I68" i="18"/>
  <c r="I67" i="18"/>
  <c r="I66" i="18"/>
  <c r="I65" i="18"/>
  <c r="I64" i="18"/>
  <c r="I63" i="18"/>
  <c r="I62" i="18"/>
  <c r="J62" i="18" s="1"/>
  <c r="K62" i="18" s="1"/>
  <c r="L62" i="18" s="1"/>
  <c r="I61" i="18"/>
  <c r="I60" i="18"/>
  <c r="I59" i="18"/>
  <c r="I58" i="18"/>
  <c r="I57" i="18"/>
  <c r="I56" i="18"/>
  <c r="I55" i="18"/>
  <c r="I54" i="18"/>
  <c r="I53" i="18"/>
  <c r="J53" i="18" s="1"/>
  <c r="K53" i="18" s="1"/>
  <c r="L53" i="18" s="1"/>
  <c r="I52" i="18"/>
  <c r="I51" i="18"/>
  <c r="I50" i="18"/>
  <c r="I49" i="18"/>
  <c r="I48" i="18"/>
  <c r="I47" i="18"/>
  <c r="I46" i="18"/>
  <c r="I45" i="18"/>
  <c r="I44" i="18"/>
  <c r="J44" i="18" s="1"/>
  <c r="K44" i="18" s="1"/>
  <c r="L44" i="18" s="1"/>
  <c r="I43" i="18"/>
  <c r="I42" i="18"/>
  <c r="I41" i="18"/>
  <c r="I40" i="18"/>
  <c r="I39" i="18"/>
  <c r="I38" i="18"/>
  <c r="I37" i="18"/>
  <c r="I36" i="18"/>
  <c r="I35" i="18"/>
  <c r="I34" i="18"/>
  <c r="I33" i="18"/>
  <c r="J33" i="18" s="1"/>
  <c r="K33" i="18" s="1"/>
  <c r="L33" i="18" s="1"/>
  <c r="I32" i="18"/>
  <c r="I31" i="18"/>
  <c r="I30" i="18"/>
  <c r="I29" i="18"/>
  <c r="I28" i="18"/>
  <c r="I27" i="18"/>
  <c r="I26" i="18"/>
  <c r="I25" i="18"/>
  <c r="I24" i="18"/>
  <c r="I23" i="18"/>
  <c r="I22" i="18"/>
  <c r="I21" i="18"/>
  <c r="I20" i="18"/>
  <c r="I19" i="18"/>
  <c r="I18" i="18"/>
  <c r="I17" i="18"/>
  <c r="I13" i="18"/>
  <c r="I862" i="18"/>
  <c r="I1506" i="18"/>
  <c r="J1506" i="18" s="1"/>
  <c r="K1506" i="18" s="1"/>
  <c r="L1506" i="18" s="1"/>
  <c r="I1505" i="18"/>
  <c r="I517" i="18"/>
  <c r="I1504" i="18"/>
  <c r="I518" i="18"/>
  <c r="I1503" i="18"/>
  <c r="J1503" i="18" s="1"/>
  <c r="K1503" i="18" s="1"/>
  <c r="L1503" i="18" s="1"/>
  <c r="I519" i="18"/>
  <c r="I1502" i="18"/>
  <c r="I520" i="18"/>
  <c r="I1501" i="18"/>
  <c r="I521" i="18"/>
  <c r="I1500" i="18"/>
  <c r="I522" i="18"/>
  <c r="I1499" i="18"/>
  <c r="I523" i="18"/>
  <c r="I1498" i="18"/>
  <c r="I524" i="18"/>
  <c r="I1497" i="18"/>
  <c r="I525" i="18"/>
  <c r="I1496" i="18"/>
  <c r="I526" i="18"/>
  <c r="I1495" i="18"/>
  <c r="I527" i="18"/>
  <c r="I1494" i="18"/>
  <c r="I528" i="18"/>
  <c r="I1493" i="18"/>
  <c r="I529" i="18"/>
  <c r="I1492" i="18"/>
  <c r="I530" i="18"/>
  <c r="I1491" i="18"/>
  <c r="I531" i="18"/>
  <c r="I1490" i="18"/>
  <c r="I532" i="18"/>
  <c r="I1489" i="18"/>
  <c r="I533" i="18"/>
  <c r="I1488" i="18"/>
  <c r="I534" i="18"/>
  <c r="I1487" i="18"/>
  <c r="I535" i="18"/>
  <c r="I1486" i="18"/>
  <c r="I536" i="18"/>
  <c r="I1485" i="18"/>
  <c r="I537" i="18"/>
  <c r="I1484" i="18"/>
  <c r="I538" i="18"/>
  <c r="I1483" i="18"/>
  <c r="I539" i="18"/>
  <c r="I1482" i="18"/>
  <c r="I540" i="18"/>
  <c r="I1481" i="18"/>
  <c r="I541" i="18"/>
  <c r="I1480" i="18"/>
  <c r="I542" i="18"/>
  <c r="I1479" i="18"/>
  <c r="I543" i="18"/>
  <c r="I1478" i="18"/>
  <c r="I544" i="18"/>
  <c r="I1477" i="18"/>
  <c r="I545" i="18"/>
  <c r="I1476" i="18"/>
  <c r="I546" i="18"/>
  <c r="I1475" i="18"/>
  <c r="I547" i="18"/>
  <c r="I1474" i="18"/>
  <c r="I548" i="18"/>
  <c r="I1473" i="18"/>
  <c r="I549" i="18"/>
  <c r="I1472" i="18"/>
  <c r="I550" i="18"/>
  <c r="I1471" i="18"/>
  <c r="I551" i="18"/>
  <c r="I1470" i="18"/>
  <c r="I552" i="18"/>
  <c r="I1469" i="18"/>
  <c r="I553" i="18"/>
  <c r="I1468" i="18"/>
  <c r="I554" i="18"/>
  <c r="I1467" i="18"/>
  <c r="I555" i="18"/>
  <c r="I1466" i="18"/>
  <c r="I556" i="18"/>
  <c r="I1465" i="18"/>
  <c r="I557" i="18"/>
  <c r="I1464" i="18"/>
  <c r="I558" i="18"/>
  <c r="I1463" i="18"/>
  <c r="I559" i="18"/>
  <c r="I1462" i="18"/>
  <c r="I560" i="18"/>
  <c r="I1461" i="18"/>
  <c r="I561" i="18"/>
  <c r="I1460" i="18"/>
  <c r="I562" i="18"/>
  <c r="I1459" i="18"/>
  <c r="I563" i="18"/>
  <c r="I1458" i="18"/>
  <c r="I564" i="18"/>
  <c r="I1457" i="18"/>
  <c r="I565" i="18"/>
  <c r="I1456" i="18"/>
  <c r="I566" i="18"/>
  <c r="I1455" i="18"/>
  <c r="I567" i="18"/>
  <c r="I1454" i="18"/>
  <c r="I568" i="18"/>
  <c r="I1453" i="18"/>
  <c r="I569" i="18"/>
  <c r="I1452" i="18"/>
  <c r="I570" i="18"/>
  <c r="I1451" i="18"/>
  <c r="I571" i="18"/>
  <c r="I1450" i="18"/>
  <c r="I572" i="18"/>
  <c r="I1449" i="18"/>
  <c r="I573" i="18"/>
  <c r="I1448" i="18"/>
  <c r="I574" i="18"/>
  <c r="I1447" i="18"/>
  <c r="I575" i="18"/>
  <c r="I1446" i="18"/>
  <c r="I576" i="18"/>
  <c r="I1445" i="18"/>
  <c r="I577" i="18"/>
  <c r="I1444" i="18"/>
  <c r="I578" i="18"/>
  <c r="I1443" i="18"/>
  <c r="I579" i="18"/>
  <c r="I1442" i="18"/>
  <c r="I580" i="18"/>
  <c r="I1441" i="18"/>
  <c r="I581" i="18"/>
  <c r="I1440" i="18"/>
  <c r="I582" i="18"/>
  <c r="I1439" i="18"/>
  <c r="I583" i="18"/>
  <c r="I1438" i="18"/>
  <c r="I584" i="18"/>
  <c r="I1437" i="18"/>
  <c r="I585" i="18"/>
  <c r="I1436" i="18"/>
  <c r="I586" i="18"/>
  <c r="I1435" i="18"/>
  <c r="I587" i="18"/>
  <c r="I1434" i="18"/>
  <c r="I588" i="18"/>
  <c r="I1433" i="18"/>
  <c r="I589" i="18"/>
  <c r="I1432" i="18"/>
  <c r="I590" i="18"/>
  <c r="I1431" i="18"/>
  <c r="I591" i="18"/>
  <c r="I1430" i="18"/>
  <c r="I592" i="18"/>
  <c r="I1429" i="18"/>
  <c r="I593" i="18"/>
  <c r="I1428" i="18"/>
  <c r="I594" i="18"/>
  <c r="I1427" i="18"/>
  <c r="I595" i="18"/>
  <c r="I1426" i="18"/>
  <c r="I596" i="18"/>
  <c r="I1425" i="18"/>
  <c r="I597" i="18"/>
  <c r="I1424" i="18"/>
  <c r="J1424" i="18" s="1"/>
  <c r="K1424" i="18" s="1"/>
  <c r="L1424" i="18" s="1"/>
  <c r="I598" i="18"/>
  <c r="I1423" i="18"/>
  <c r="I599" i="18"/>
  <c r="I1422" i="18"/>
  <c r="I600" i="18"/>
  <c r="I1421" i="18"/>
  <c r="I601" i="18"/>
  <c r="I1420" i="18"/>
  <c r="I602" i="18"/>
  <c r="I1419" i="18"/>
  <c r="I603" i="18"/>
  <c r="I1418" i="18"/>
  <c r="I604" i="18"/>
  <c r="I1417" i="18"/>
  <c r="I605" i="18"/>
  <c r="I1416" i="18"/>
  <c r="I606" i="18"/>
  <c r="I1415" i="18"/>
  <c r="I607" i="18"/>
  <c r="I1414" i="18"/>
  <c r="I608" i="18"/>
  <c r="I1413" i="18"/>
  <c r="I609" i="18"/>
  <c r="I1412" i="18"/>
  <c r="I610" i="18"/>
  <c r="I1411" i="18"/>
  <c r="I611" i="18"/>
  <c r="I1410" i="18"/>
  <c r="I612" i="18"/>
  <c r="I1409" i="18"/>
  <c r="I613" i="18"/>
  <c r="I1408" i="18"/>
  <c r="I614" i="18"/>
  <c r="I1407" i="18"/>
  <c r="J1407" i="18" s="1"/>
  <c r="K1407" i="18" s="1"/>
  <c r="L1407" i="18" s="1"/>
  <c r="I615" i="18"/>
  <c r="I1406" i="18"/>
  <c r="I616" i="18"/>
  <c r="I1405" i="18"/>
  <c r="I617" i="18"/>
  <c r="I1404" i="18"/>
  <c r="I618" i="18"/>
  <c r="I1403" i="18"/>
  <c r="I619" i="18"/>
  <c r="I1402" i="18"/>
  <c r="I620" i="18"/>
  <c r="I1401" i="18"/>
  <c r="I621" i="18"/>
  <c r="I1400" i="18"/>
  <c r="I622" i="18"/>
  <c r="I1399" i="18"/>
  <c r="I623" i="18"/>
  <c r="I1398" i="18"/>
  <c r="I624" i="18"/>
  <c r="I1397" i="18"/>
  <c r="I625" i="18"/>
  <c r="I1396" i="18"/>
  <c r="I626" i="18"/>
  <c r="I1395" i="18"/>
  <c r="I627" i="18"/>
  <c r="I1394" i="18"/>
  <c r="I628" i="18"/>
  <c r="I1393" i="18"/>
  <c r="I629" i="18"/>
  <c r="I1392" i="18"/>
  <c r="I630" i="18"/>
  <c r="I1391" i="18"/>
  <c r="I631" i="18"/>
  <c r="I1390" i="18"/>
  <c r="I632" i="18"/>
  <c r="I1389" i="18"/>
  <c r="I633" i="18"/>
  <c r="I1388" i="18"/>
  <c r="I766" i="18"/>
  <c r="I1387" i="18"/>
  <c r="I767" i="18"/>
  <c r="I1386" i="18"/>
  <c r="I768" i="18"/>
  <c r="I1385" i="18"/>
  <c r="I769" i="18"/>
  <c r="I1384" i="18"/>
  <c r="I770" i="18"/>
  <c r="I1383" i="18"/>
  <c r="I771" i="18"/>
  <c r="I1382" i="18"/>
  <c r="I772" i="18"/>
  <c r="I1381" i="18"/>
  <c r="I773" i="18"/>
  <c r="I1380" i="18"/>
  <c r="I774" i="18"/>
  <c r="I1379" i="18"/>
  <c r="I775" i="18"/>
  <c r="I1378" i="18"/>
  <c r="I776" i="18"/>
  <c r="I1377" i="18"/>
  <c r="I777" i="18"/>
  <c r="I1376" i="18"/>
  <c r="I778" i="18"/>
  <c r="I1375" i="18"/>
  <c r="I779" i="18"/>
  <c r="I1374" i="18"/>
  <c r="I780" i="18"/>
  <c r="I1373" i="18"/>
  <c r="I781" i="18"/>
  <c r="I1372" i="18"/>
  <c r="I782" i="18"/>
  <c r="I1371" i="18"/>
  <c r="I783" i="18"/>
  <c r="I1370" i="18"/>
  <c r="I784" i="18"/>
  <c r="I1369" i="18"/>
  <c r="I785" i="18"/>
  <c r="I1368" i="18"/>
  <c r="I786" i="18"/>
  <c r="I1367" i="18"/>
  <c r="I787" i="18"/>
  <c r="I1366" i="18"/>
  <c r="I788" i="18"/>
  <c r="I1365" i="18"/>
  <c r="I789" i="18"/>
  <c r="I1364" i="18"/>
  <c r="I790" i="18"/>
  <c r="I1363" i="18"/>
  <c r="I791" i="18"/>
  <c r="I1362" i="18"/>
  <c r="I792" i="18"/>
  <c r="I1361" i="18"/>
  <c r="I793" i="18"/>
  <c r="I1360" i="18"/>
  <c r="I794" i="18"/>
  <c r="I1359" i="18"/>
  <c r="I795" i="18"/>
  <c r="I1358" i="18"/>
  <c r="I796" i="18"/>
  <c r="I1357" i="18"/>
  <c r="I797" i="18"/>
  <c r="I1356" i="18"/>
  <c r="I798" i="18"/>
  <c r="I1355" i="18"/>
  <c r="I799" i="18"/>
  <c r="I1354" i="18"/>
  <c r="I800" i="18"/>
  <c r="I1353" i="18"/>
  <c r="I801" i="18"/>
  <c r="I1352" i="18"/>
  <c r="I802" i="18"/>
  <c r="I1351" i="18"/>
  <c r="I803" i="18"/>
  <c r="I1350" i="18"/>
  <c r="I804" i="18"/>
  <c r="I1349" i="18"/>
  <c r="I805" i="18"/>
  <c r="I1348" i="18"/>
  <c r="I806" i="18"/>
  <c r="I1347" i="18"/>
  <c r="I807" i="18"/>
  <c r="I1346" i="18"/>
  <c r="I808" i="18"/>
  <c r="I1345" i="18"/>
  <c r="I809" i="18"/>
  <c r="I1344" i="18"/>
  <c r="I810" i="18"/>
  <c r="I1343" i="18"/>
  <c r="I811" i="18"/>
  <c r="I1342" i="18"/>
  <c r="J1342" i="18" s="1"/>
  <c r="K1342" i="18" s="1"/>
  <c r="L1342" i="18" s="1"/>
  <c r="I812" i="18"/>
  <c r="I1341" i="18"/>
  <c r="I813" i="18"/>
  <c r="I1340" i="18"/>
  <c r="I814" i="18"/>
  <c r="I1339" i="18"/>
  <c r="I815" i="18"/>
  <c r="I1338" i="18"/>
  <c r="I816" i="18"/>
  <c r="I1337" i="18"/>
  <c r="I817" i="18"/>
  <c r="I1336" i="18"/>
  <c r="I818" i="18"/>
  <c r="I1335" i="18"/>
  <c r="I819" i="18"/>
  <c r="I1334" i="18"/>
  <c r="I820" i="18"/>
  <c r="I1333" i="18"/>
  <c r="I821" i="18"/>
  <c r="I1332" i="18"/>
  <c r="I822" i="18"/>
  <c r="I1331" i="18"/>
  <c r="I823" i="18"/>
  <c r="I1330" i="18"/>
  <c r="I824" i="18"/>
  <c r="I1329" i="18"/>
  <c r="I825" i="18"/>
  <c r="I1328" i="18"/>
  <c r="I826" i="18"/>
  <c r="I1327" i="18"/>
  <c r="I827" i="18"/>
  <c r="I1326" i="18"/>
  <c r="I828" i="18"/>
  <c r="I1325" i="18"/>
  <c r="I829" i="18"/>
  <c r="I1324" i="18"/>
  <c r="J1324" i="18" s="1"/>
  <c r="K1324" i="18" s="1"/>
  <c r="L1324" i="18" s="1"/>
  <c r="I830" i="18"/>
  <c r="I1323" i="18"/>
  <c r="J1323" i="18" s="1"/>
  <c r="K1323" i="18" s="1"/>
  <c r="L1323" i="18" s="1"/>
  <c r="I831" i="18"/>
  <c r="I1322" i="18"/>
  <c r="J1322" i="18" s="1"/>
  <c r="K1322" i="18" s="1"/>
  <c r="L1322" i="18" s="1"/>
  <c r="I832" i="18"/>
  <c r="I1321" i="18"/>
  <c r="I833" i="18"/>
  <c r="I1320" i="18"/>
  <c r="J1320" i="18" s="1"/>
  <c r="K1320" i="18" s="1"/>
  <c r="L1320" i="18" s="1"/>
  <c r="I834" i="18"/>
  <c r="I1319" i="18"/>
  <c r="I835" i="18"/>
  <c r="I1318" i="18"/>
  <c r="J1318" i="18" s="1"/>
  <c r="K1318" i="18" s="1"/>
  <c r="L1318" i="18" s="1"/>
  <c r="I836" i="18"/>
  <c r="I1317" i="18"/>
  <c r="I837" i="18"/>
  <c r="I1316" i="18"/>
  <c r="J1316" i="18" s="1"/>
  <c r="K1316" i="18" s="1"/>
  <c r="L1316" i="18" s="1"/>
  <c r="I838" i="18"/>
  <c r="I1315" i="18"/>
  <c r="I839" i="18"/>
  <c r="I1314" i="18"/>
  <c r="J1314" i="18" s="1"/>
  <c r="K1314" i="18" s="1"/>
  <c r="L1314" i="18" s="1"/>
  <c r="I840" i="18"/>
  <c r="I1313" i="18"/>
  <c r="I841" i="18"/>
  <c r="I1312" i="18"/>
  <c r="J1312" i="18" s="1"/>
  <c r="K1312" i="18" s="1"/>
  <c r="L1312" i="18" s="1"/>
  <c r="I842" i="18"/>
  <c r="I1311" i="18"/>
  <c r="J1311" i="18" s="1"/>
  <c r="K1311" i="18" s="1"/>
  <c r="L1311" i="18" s="1"/>
  <c r="I843" i="18"/>
  <c r="I1310" i="18"/>
  <c r="J1310" i="18" s="1"/>
  <c r="K1310" i="18" s="1"/>
  <c r="L1310" i="18" s="1"/>
  <c r="I844" i="18"/>
  <c r="I1309" i="18"/>
  <c r="I845" i="18"/>
  <c r="I1308" i="18"/>
  <c r="I846" i="18"/>
  <c r="I1307" i="18"/>
  <c r="I847" i="18"/>
  <c r="I1306" i="18"/>
  <c r="J1306" i="18" s="1"/>
  <c r="K1306" i="18" s="1"/>
  <c r="L1306" i="18" s="1"/>
  <c r="I848" i="18"/>
  <c r="I1305" i="18"/>
  <c r="I849" i="18"/>
  <c r="I1304" i="18"/>
  <c r="I850" i="18"/>
  <c r="I1303" i="18"/>
  <c r="J1303" i="18" s="1"/>
  <c r="K1303" i="18" s="1"/>
  <c r="L1303" i="18" s="1"/>
  <c r="I851" i="18"/>
  <c r="I1302" i="18"/>
  <c r="J1302" i="18" s="1"/>
  <c r="K1302" i="18" s="1"/>
  <c r="L1302" i="18" s="1"/>
  <c r="I852" i="18"/>
  <c r="I1301" i="18"/>
  <c r="I853" i="18"/>
  <c r="I1300" i="18"/>
  <c r="I854" i="18"/>
  <c r="I1299" i="18"/>
  <c r="I855" i="18"/>
  <c r="I1298" i="18"/>
  <c r="I856" i="18"/>
  <c r="I1297" i="18"/>
  <c r="J1297" i="18" s="1"/>
  <c r="K1297" i="18" s="1"/>
  <c r="L1297" i="18" s="1"/>
  <c r="I857" i="18"/>
  <c r="I1296" i="18"/>
  <c r="I858" i="18"/>
  <c r="I1295" i="18"/>
  <c r="I859" i="18"/>
  <c r="I1294" i="18"/>
  <c r="I860" i="18"/>
  <c r="I1293" i="18"/>
  <c r="I861" i="18"/>
  <c r="I1292" i="18"/>
  <c r="I1072" i="18"/>
  <c r="I1291" i="18"/>
  <c r="I863" i="18"/>
  <c r="I1290" i="18"/>
  <c r="I864" i="18"/>
  <c r="I1289" i="18"/>
  <c r="I865" i="18"/>
  <c r="I1288" i="18"/>
  <c r="I866" i="18"/>
  <c r="I1287" i="18"/>
  <c r="I867" i="18"/>
  <c r="I1286" i="18"/>
  <c r="I868" i="18"/>
  <c r="I1285" i="18"/>
  <c r="I869" i="18"/>
  <c r="I1284" i="18"/>
  <c r="I870" i="18"/>
  <c r="I1283" i="18"/>
  <c r="J1283" i="18" s="1"/>
  <c r="K1283" i="18" s="1"/>
  <c r="L1283" i="18" s="1"/>
  <c r="I871" i="18"/>
  <c r="I1282" i="18"/>
  <c r="I872" i="18"/>
  <c r="I1281" i="18"/>
  <c r="I873" i="18"/>
  <c r="I1280" i="18"/>
  <c r="I874" i="18"/>
  <c r="I1279" i="18"/>
  <c r="I875" i="18"/>
  <c r="I1278" i="18"/>
  <c r="I876" i="18"/>
  <c r="I1277" i="18"/>
  <c r="I877" i="18"/>
  <c r="I1276" i="18"/>
  <c r="I878" i="18"/>
  <c r="I1275" i="18"/>
  <c r="I879" i="18"/>
  <c r="I1274" i="18"/>
  <c r="I880" i="18"/>
  <c r="I1273" i="18"/>
  <c r="I881" i="18"/>
  <c r="I1272" i="18"/>
  <c r="I882" i="18"/>
  <c r="I1271" i="18"/>
  <c r="I883" i="18"/>
  <c r="I1270" i="18"/>
  <c r="I884" i="18"/>
  <c r="I1269" i="18"/>
  <c r="I885" i="18"/>
  <c r="I1268" i="18"/>
  <c r="I886" i="18"/>
  <c r="I1267" i="18"/>
  <c r="I887" i="18"/>
  <c r="I1266" i="18"/>
  <c r="I888" i="18"/>
  <c r="I1265" i="18"/>
  <c r="I889" i="18"/>
  <c r="I1264" i="18"/>
  <c r="I890" i="18"/>
  <c r="I1263" i="18"/>
  <c r="I891" i="18"/>
  <c r="I1262" i="18"/>
  <c r="I892" i="18"/>
  <c r="I1261" i="18"/>
  <c r="I893" i="18"/>
  <c r="I1260" i="18"/>
  <c r="I894" i="18"/>
  <c r="I1259" i="18"/>
  <c r="I895" i="18"/>
  <c r="I1258" i="18"/>
  <c r="I896" i="18"/>
  <c r="I1257" i="18"/>
  <c r="I897" i="18"/>
  <c r="I1256" i="18"/>
  <c r="I898" i="18"/>
  <c r="I1255" i="18"/>
  <c r="I899" i="18"/>
  <c r="I1254" i="18"/>
  <c r="I900" i="18"/>
  <c r="I901" i="18"/>
  <c r="I1252" i="18"/>
  <c r="I902" i="18"/>
  <c r="I903" i="18"/>
  <c r="I904" i="18"/>
  <c r="I905" i="18"/>
  <c r="I1243" i="18"/>
  <c r="I906" i="18"/>
  <c r="I1242" i="18"/>
  <c r="I907" i="18"/>
  <c r="I1241" i="18"/>
  <c r="I908" i="18"/>
  <c r="I1240" i="18"/>
  <c r="I909" i="18"/>
  <c r="I1239" i="18"/>
  <c r="I910" i="18"/>
  <c r="I1238" i="18"/>
  <c r="I911" i="18"/>
  <c r="I1237" i="18"/>
  <c r="I912" i="18"/>
  <c r="I1236" i="18"/>
  <c r="I913" i="18"/>
  <c r="I1235" i="18"/>
  <c r="I914" i="18"/>
  <c r="I1234" i="18"/>
  <c r="I915" i="18"/>
  <c r="I1233" i="18"/>
  <c r="I916" i="18"/>
  <c r="I1232" i="18"/>
  <c r="I917" i="18"/>
  <c r="I1231" i="18"/>
  <c r="I918" i="18"/>
  <c r="I1230" i="18"/>
  <c r="I919" i="18"/>
  <c r="I1229" i="18"/>
  <c r="I920" i="18"/>
  <c r="I1228" i="18"/>
  <c r="I921" i="18"/>
  <c r="I1227" i="18"/>
  <c r="I922" i="18"/>
  <c r="I1226" i="18"/>
  <c r="I923" i="18"/>
  <c r="I1225" i="18"/>
  <c r="J1225" i="18" s="1"/>
  <c r="K1225" i="18" s="1"/>
  <c r="L1225" i="18" s="1"/>
  <c r="I924" i="18"/>
  <c r="I1224" i="18"/>
  <c r="I925" i="18"/>
  <c r="I1223" i="18"/>
  <c r="I926" i="18"/>
  <c r="I1222" i="18"/>
  <c r="I927" i="18"/>
  <c r="I1221" i="18"/>
  <c r="I928" i="18"/>
  <c r="I1220" i="18"/>
  <c r="I929" i="18"/>
  <c r="I1219" i="18"/>
  <c r="I930" i="18"/>
  <c r="I1218" i="18"/>
  <c r="I931" i="18"/>
  <c r="I1217" i="18"/>
  <c r="I932" i="18"/>
  <c r="I1216" i="18"/>
  <c r="I933" i="18"/>
  <c r="I1215" i="18"/>
  <c r="I934" i="18"/>
  <c r="I1214" i="18"/>
  <c r="I935" i="18"/>
  <c r="I1213" i="18"/>
  <c r="I936" i="18"/>
  <c r="I1212" i="18"/>
  <c r="I937" i="18"/>
  <c r="I1211" i="18"/>
  <c r="I938" i="18"/>
  <c r="I1210" i="18"/>
  <c r="I939" i="18"/>
  <c r="I1209" i="18"/>
  <c r="I940" i="18"/>
  <c r="I1208" i="18"/>
  <c r="I941" i="18"/>
  <c r="I1207" i="18"/>
  <c r="I942" i="18"/>
  <c r="I1206" i="18"/>
  <c r="I943" i="18"/>
  <c r="I1205" i="18"/>
  <c r="I944" i="18"/>
  <c r="I1204" i="18"/>
  <c r="I945" i="18"/>
  <c r="I1203" i="18"/>
  <c r="I946" i="18"/>
  <c r="I1202" i="18"/>
  <c r="I947" i="18"/>
  <c r="I1201" i="18"/>
  <c r="I948" i="18"/>
  <c r="I1200" i="18"/>
  <c r="I949" i="18"/>
  <c r="I1199" i="18"/>
  <c r="I950" i="18"/>
  <c r="I1198" i="18"/>
  <c r="I951" i="18"/>
  <c r="I1197" i="18"/>
  <c r="I952" i="18"/>
  <c r="I1196" i="18"/>
  <c r="I953" i="18"/>
  <c r="I1195" i="18"/>
  <c r="I954" i="18"/>
  <c r="I1194" i="18"/>
  <c r="I955" i="18"/>
  <c r="I1193" i="18"/>
  <c r="I956" i="18"/>
  <c r="I1192" i="18"/>
  <c r="I957" i="18"/>
  <c r="I1191" i="18"/>
  <c r="I958" i="18"/>
  <c r="I1190" i="18"/>
  <c r="I959" i="18"/>
  <c r="I1189" i="18"/>
  <c r="I960" i="18"/>
  <c r="I1188" i="18"/>
  <c r="I961" i="18"/>
  <c r="I1187" i="18"/>
  <c r="J1187" i="18" s="1"/>
  <c r="K1187" i="18" s="1"/>
  <c r="L1187" i="18" s="1"/>
  <c r="I962" i="18"/>
  <c r="I1186" i="18"/>
  <c r="I963" i="18"/>
  <c r="I1185" i="18"/>
  <c r="I964" i="18"/>
  <c r="I1184" i="18"/>
  <c r="J1184" i="18" s="1"/>
  <c r="K1184" i="18" s="1"/>
  <c r="L1184" i="18" s="1"/>
  <c r="I965" i="18"/>
  <c r="I1183" i="18"/>
  <c r="I966" i="18"/>
  <c r="I1182" i="18"/>
  <c r="I967" i="18"/>
  <c r="I1181" i="18"/>
  <c r="I968" i="18"/>
  <c r="I1180" i="18"/>
  <c r="I969" i="18"/>
  <c r="I1179" i="18"/>
  <c r="I970" i="18"/>
  <c r="I1178" i="18"/>
  <c r="I971" i="18"/>
  <c r="I1177" i="18"/>
  <c r="I972" i="18"/>
  <c r="I1176" i="18"/>
  <c r="I973" i="18"/>
  <c r="I1175" i="18"/>
  <c r="I974" i="18"/>
  <c r="I1174" i="18"/>
  <c r="I975" i="18"/>
  <c r="I1173" i="18"/>
  <c r="I976" i="18"/>
  <c r="I1172" i="18"/>
  <c r="I977" i="18"/>
  <c r="I1171" i="18"/>
  <c r="I978" i="18"/>
  <c r="I1170" i="18"/>
  <c r="I979" i="18"/>
  <c r="I1169" i="18"/>
  <c r="I980" i="18"/>
  <c r="I1168" i="18"/>
  <c r="I981" i="18"/>
  <c r="I1167" i="18"/>
  <c r="I982" i="18"/>
  <c r="I1166" i="18"/>
  <c r="I983" i="18"/>
  <c r="I1165" i="18"/>
  <c r="I984" i="18"/>
  <c r="I1164" i="18"/>
  <c r="I1244" i="18"/>
  <c r="I1245" i="18"/>
  <c r="I1163" i="18"/>
  <c r="I1246" i="18"/>
  <c r="I1247" i="18"/>
  <c r="I1162" i="18"/>
  <c r="I1248" i="18"/>
  <c r="I1249" i="18"/>
  <c r="I1161" i="18"/>
  <c r="I1250" i="18"/>
  <c r="I1251" i="18"/>
  <c r="I1160" i="18"/>
  <c r="I1253" i="18"/>
  <c r="I1159" i="18"/>
  <c r="I985" i="18"/>
  <c r="I1158" i="18"/>
  <c r="I986" i="18"/>
  <c r="I1157" i="18"/>
  <c r="I987" i="18"/>
  <c r="I1156" i="18"/>
  <c r="I988" i="18"/>
  <c r="I1155" i="18"/>
  <c r="I989" i="18"/>
  <c r="I1154" i="18"/>
  <c r="I990" i="18"/>
  <c r="I1153" i="18"/>
  <c r="I991" i="18"/>
  <c r="I1152" i="18"/>
  <c r="I992" i="18"/>
  <c r="I1151" i="18"/>
  <c r="I993" i="18"/>
  <c r="I1150" i="18"/>
  <c r="I994" i="18"/>
  <c r="I1149" i="18"/>
  <c r="I995" i="18"/>
  <c r="I1148" i="18"/>
  <c r="I996" i="18"/>
  <c r="I1147" i="18"/>
  <c r="I997" i="18"/>
  <c r="I1146" i="18"/>
  <c r="I998" i="18"/>
  <c r="I1145" i="18"/>
  <c r="I999" i="18"/>
  <c r="I1144" i="18"/>
  <c r="I1012" i="18"/>
  <c r="I1128" i="18"/>
  <c r="I1019" i="18"/>
  <c r="I1023" i="18"/>
  <c r="I1025" i="18"/>
  <c r="I1026" i="18"/>
  <c r="I1115" i="18"/>
  <c r="I1113" i="18"/>
  <c r="I1032" i="18"/>
  <c r="I1033" i="18"/>
  <c r="I1034" i="18"/>
  <c r="I1036" i="18"/>
  <c r="I1039" i="18"/>
  <c r="I1040" i="18"/>
  <c r="I1099" i="18"/>
  <c r="I1053" i="18"/>
  <c r="I1059" i="18"/>
  <c r="I1065" i="18"/>
  <c r="I1075" i="18"/>
  <c r="I664" i="18"/>
  <c r="I742" i="18"/>
  <c r="I737" i="18"/>
  <c r="I638" i="18"/>
  <c r="I680" i="18"/>
  <c r="I660" i="18"/>
  <c r="J660" i="18" s="1"/>
  <c r="K660" i="18" s="1"/>
  <c r="L660" i="18" s="1"/>
  <c r="I682" i="18"/>
  <c r="I731" i="18"/>
  <c r="I644" i="18"/>
  <c r="I716" i="18"/>
  <c r="I692" i="18"/>
  <c r="I693" i="18"/>
  <c r="I694" i="18"/>
  <c r="I695" i="18"/>
  <c r="I700" i="18"/>
  <c r="L10" i="14"/>
  <c r="AG10" i="14"/>
  <c r="D19" i="14"/>
  <c r="D18" i="14"/>
  <c r="K14" i="9"/>
  <c r="J21" i="18" l="1"/>
  <c r="K21" i="18" s="1"/>
  <c r="L21" i="18" s="1"/>
  <c r="J193" i="18"/>
  <c r="K193" i="18" s="1"/>
  <c r="L193" i="18" s="1"/>
  <c r="J179" i="18"/>
  <c r="K179" i="18" s="1"/>
  <c r="L179" i="18" s="1"/>
  <c r="J1319" i="18"/>
  <c r="K1319" i="18" s="1"/>
  <c r="L1319" i="18" s="1"/>
  <c r="J1334" i="18"/>
  <c r="K1334" i="18" s="1"/>
  <c r="L1334" i="18" s="1"/>
  <c r="J1413" i="18"/>
  <c r="K1413" i="18" s="1"/>
  <c r="L1413" i="18" s="1"/>
  <c r="J1289" i="18"/>
  <c r="K1289" i="18" s="1"/>
  <c r="L1289" i="18" s="1"/>
  <c r="J274" i="18"/>
  <c r="K274" i="18" s="1"/>
  <c r="L274" i="18" s="1"/>
  <c r="J1331" i="18"/>
  <c r="K1331" i="18" s="1"/>
  <c r="L1331" i="18" s="1"/>
  <c r="J113" i="18"/>
  <c r="K113" i="18" s="1"/>
  <c r="L113" i="18" s="1"/>
  <c r="J1333" i="18"/>
  <c r="K1333" i="18" s="1"/>
  <c r="L1333" i="18" s="1"/>
  <c r="J1348" i="18"/>
  <c r="K1348" i="18" s="1"/>
  <c r="L1348" i="18" s="1"/>
  <c r="J156" i="18"/>
  <c r="K156" i="18" s="1"/>
  <c r="L156" i="18" s="1"/>
  <c r="J238" i="18"/>
  <c r="K238" i="18" s="1"/>
  <c r="L238" i="18" s="1"/>
  <c r="J229" i="18"/>
  <c r="K229" i="18" s="1"/>
  <c r="L229" i="18" s="1"/>
  <c r="J1330" i="18"/>
  <c r="K1330" i="18" s="1"/>
  <c r="L1330" i="18" s="1"/>
  <c r="J1177" i="18"/>
  <c r="K1177" i="18" s="1"/>
  <c r="L1177" i="18" s="1"/>
  <c r="J1488" i="18"/>
  <c r="K1488" i="18" s="1"/>
  <c r="L1488" i="18" s="1"/>
  <c r="J1358" i="18"/>
  <c r="K1358" i="18" s="1"/>
  <c r="L1358" i="18" s="1"/>
  <c r="J103" i="18"/>
  <c r="K103" i="18" s="1"/>
  <c r="L103" i="18" s="1"/>
  <c r="J263" i="18"/>
  <c r="K263" i="18" s="1"/>
  <c r="L263" i="18" s="1"/>
  <c r="J27" i="18"/>
  <c r="K27" i="18" s="1"/>
  <c r="L27" i="18" s="1"/>
  <c r="J100" i="18"/>
  <c r="K100" i="18" s="1"/>
  <c r="L100" i="18" s="1"/>
  <c r="J231" i="18"/>
  <c r="K231" i="18" s="1"/>
  <c r="L231" i="18" s="1"/>
  <c r="J306" i="18"/>
  <c r="K306" i="18" s="1"/>
  <c r="L306" i="18" s="1"/>
  <c r="J82" i="18"/>
  <c r="K82" i="18" s="1"/>
  <c r="L82" i="18" s="1"/>
  <c r="J146" i="18"/>
  <c r="K146" i="18" s="1"/>
  <c r="L146" i="18" s="1"/>
  <c r="J1360" i="18"/>
  <c r="K1360" i="18" s="1"/>
  <c r="L1360" i="18" s="1"/>
  <c r="J230" i="18"/>
  <c r="K230" i="18" s="1"/>
  <c r="L230" i="18" s="1"/>
  <c r="J151" i="18"/>
  <c r="K151" i="18" s="1"/>
  <c r="L151" i="18" s="1"/>
  <c r="J169" i="18"/>
  <c r="K169" i="18" s="1"/>
  <c r="L169" i="18" s="1"/>
  <c r="J236" i="18"/>
  <c r="K236" i="18" s="1"/>
  <c r="L236" i="18" s="1"/>
  <c r="J251" i="18"/>
  <c r="K251" i="18" s="1"/>
  <c r="L251" i="18" s="1"/>
  <c r="J315" i="18"/>
  <c r="K315" i="18" s="1"/>
  <c r="L315" i="18" s="1"/>
  <c r="J1337" i="18"/>
  <c r="K1337" i="18" s="1"/>
  <c r="L1337" i="18" s="1"/>
  <c r="J63" i="18"/>
  <c r="K63" i="18" s="1"/>
  <c r="L63" i="18" s="1"/>
  <c r="J232" i="18"/>
  <c r="K232" i="18" s="1"/>
  <c r="L232" i="18" s="1"/>
  <c r="J1363" i="18"/>
  <c r="K1363" i="18" s="1"/>
  <c r="L1363" i="18" s="1"/>
  <c r="J279" i="18"/>
  <c r="K279" i="18" s="1"/>
  <c r="L279" i="18" s="1"/>
  <c r="J1481" i="18"/>
  <c r="K1481" i="18" s="1"/>
  <c r="L1481" i="18" s="1"/>
  <c r="J1370" i="18"/>
  <c r="K1370" i="18" s="1"/>
  <c r="L1370" i="18" s="1"/>
  <c r="J1166" i="18"/>
  <c r="K1166" i="18" s="1"/>
  <c r="L1166" i="18" s="1"/>
  <c r="J377" i="18"/>
  <c r="K377" i="18" s="1"/>
  <c r="L377" i="18" s="1"/>
  <c r="J1321" i="18"/>
  <c r="K1321" i="18" s="1"/>
  <c r="L1321" i="18" s="1"/>
  <c r="J1317" i="18"/>
  <c r="K1317" i="18" s="1"/>
  <c r="L1317" i="18" s="1"/>
  <c r="J235" i="18"/>
  <c r="K235" i="18" s="1"/>
  <c r="L235" i="18" s="1"/>
  <c r="J1336" i="18"/>
  <c r="K1336" i="18" s="1"/>
  <c r="L1336" i="18" s="1"/>
  <c r="J233" i="18"/>
  <c r="K233" i="18" s="1"/>
  <c r="L233" i="18" s="1"/>
  <c r="J1200" i="18"/>
  <c r="K1200" i="18" s="1"/>
  <c r="L1200" i="18" s="1"/>
  <c r="J1178" i="18"/>
  <c r="K1178" i="18" s="1"/>
  <c r="L1178" i="18" s="1"/>
  <c r="J1425" i="18"/>
  <c r="K1425" i="18" s="1"/>
  <c r="L1425" i="18" s="1"/>
  <c r="J1394" i="18"/>
  <c r="K1394" i="18" s="1"/>
  <c r="L1394" i="18" s="1"/>
  <c r="J1367" i="18"/>
  <c r="K1367" i="18" s="1"/>
  <c r="L1367" i="18" s="1"/>
  <c r="J453" i="18"/>
  <c r="K453" i="18" s="1"/>
  <c r="L453" i="18" s="1"/>
  <c r="J234" i="18"/>
  <c r="K234" i="18" s="1"/>
  <c r="L234" i="18" s="1"/>
  <c r="J461" i="18"/>
  <c r="K461" i="18" s="1"/>
  <c r="L461" i="18" s="1"/>
  <c r="J55" i="18"/>
  <c r="K55" i="18" s="1"/>
  <c r="L55" i="18" s="1"/>
  <c r="J76" i="18"/>
  <c r="K76" i="18" s="1"/>
  <c r="L76" i="18" s="1"/>
  <c r="J67" i="18"/>
  <c r="K67" i="18" s="1"/>
  <c r="L67" i="18" s="1"/>
  <c r="J1343" i="18"/>
  <c r="K1343" i="18" s="1"/>
  <c r="L1343" i="18" s="1"/>
  <c r="J240" i="18"/>
  <c r="K240" i="18" s="1"/>
  <c r="L240" i="18" s="1"/>
  <c r="J416" i="18"/>
  <c r="K416" i="18" s="1"/>
  <c r="L416" i="18" s="1"/>
  <c r="J1327" i="18"/>
  <c r="K1327" i="18" s="1"/>
  <c r="L1327" i="18" s="1"/>
  <c r="J1313" i="18"/>
  <c r="K1313" i="18" s="1"/>
  <c r="L1313" i="18" s="1"/>
  <c r="J1263" i="18"/>
  <c r="K1263" i="18" s="1"/>
  <c r="L1263" i="18" s="1"/>
  <c r="J260" i="18"/>
  <c r="K260" i="18" s="1"/>
  <c r="L260" i="18" s="1"/>
  <c r="J1298" i="18"/>
  <c r="K1298" i="18" s="1"/>
  <c r="L1298" i="18" s="1"/>
  <c r="J1242" i="18"/>
  <c r="K1242" i="18" s="1"/>
  <c r="L1242" i="18" s="1"/>
  <c r="J305" i="18"/>
  <c r="K305" i="18" s="1"/>
  <c r="L305" i="18" s="1"/>
  <c r="J104" i="18"/>
  <c r="K104" i="18" s="1"/>
  <c r="L104" i="18" s="1"/>
  <c r="J129" i="18"/>
  <c r="K129" i="18" s="1"/>
  <c r="L129" i="18" s="1"/>
  <c r="J119" i="18"/>
  <c r="K119" i="18" s="1"/>
  <c r="L119" i="18" s="1"/>
  <c r="J133" i="18"/>
  <c r="K133" i="18" s="1"/>
  <c r="L133" i="18" s="1"/>
  <c r="J273" i="18"/>
  <c r="K273" i="18" s="1"/>
  <c r="L273" i="18" s="1"/>
  <c r="J1183" i="18"/>
  <c r="K1183" i="18" s="1"/>
  <c r="L1183" i="18" s="1"/>
  <c r="J265" i="18"/>
  <c r="K265" i="18" s="1"/>
  <c r="L265" i="18" s="1"/>
  <c r="J1352" i="18"/>
  <c r="K1352" i="18" s="1"/>
  <c r="L1352" i="18" s="1"/>
  <c r="J1210" i="18"/>
  <c r="K1210" i="18" s="1"/>
  <c r="L1210" i="18" s="1"/>
  <c r="J340" i="18"/>
  <c r="K340" i="18" s="1"/>
  <c r="L340" i="18" s="1"/>
  <c r="J1155" i="18"/>
  <c r="K1155" i="18" s="1"/>
  <c r="L1155" i="18" s="1"/>
  <c r="J445" i="18"/>
  <c r="K445" i="18" s="1"/>
  <c r="L445" i="18" s="1"/>
  <c r="J114" i="18"/>
  <c r="K114" i="18" s="1"/>
  <c r="L114" i="18" s="1"/>
  <c r="J1344" i="18"/>
  <c r="K1344" i="18" s="1"/>
  <c r="L1344" i="18" s="1"/>
  <c r="J1180" i="18"/>
  <c r="K1180" i="18" s="1"/>
  <c r="L1180" i="18" s="1"/>
  <c r="J144" i="18"/>
  <c r="K144" i="18" s="1"/>
  <c r="L144" i="18" s="1"/>
  <c r="J1429" i="18"/>
  <c r="K1429" i="18" s="1"/>
  <c r="L1429" i="18" s="1"/>
  <c r="J295" i="18"/>
  <c r="K295" i="18" s="1"/>
  <c r="L295" i="18" s="1"/>
  <c r="J1385" i="18"/>
  <c r="K1385" i="18" s="1"/>
  <c r="L1385" i="18" s="1"/>
  <c r="J1227" i="18"/>
  <c r="K1227" i="18" s="1"/>
  <c r="L1227" i="18" s="1"/>
  <c r="J1379" i="18"/>
  <c r="K1379" i="18" s="1"/>
  <c r="L1379" i="18" s="1"/>
  <c r="J320" i="18"/>
  <c r="K320" i="18" s="1"/>
  <c r="L320" i="18" s="1"/>
  <c r="J1393" i="18"/>
  <c r="K1393" i="18" s="1"/>
  <c r="L1393" i="18" s="1"/>
  <c r="J1366" i="18"/>
  <c r="K1366" i="18" s="1"/>
  <c r="L1366" i="18" s="1"/>
  <c r="J282" i="18"/>
  <c r="K282" i="18" s="1"/>
  <c r="L282" i="18" s="1"/>
  <c r="J1388" i="18"/>
  <c r="K1388" i="18" s="1"/>
  <c r="L1388" i="18" s="1"/>
  <c r="J508" i="18"/>
  <c r="K508" i="18" s="1"/>
  <c r="L508" i="18" s="1"/>
  <c r="J480" i="18"/>
  <c r="K480" i="18" s="1"/>
  <c r="L480" i="18" s="1"/>
  <c r="J41" i="18"/>
  <c r="K41" i="18" s="1"/>
  <c r="L41" i="18" s="1"/>
  <c r="J1260" i="18"/>
  <c r="K1260" i="18" s="1"/>
  <c r="L1260" i="18" s="1"/>
  <c r="J1256" i="18"/>
  <c r="K1256" i="18" s="1"/>
  <c r="L1256" i="18" s="1"/>
  <c r="J1189" i="18"/>
  <c r="K1189" i="18" s="1"/>
  <c r="L1189" i="18" s="1"/>
  <c r="J239" i="18"/>
  <c r="K239" i="18" s="1"/>
  <c r="L239" i="18" s="1"/>
  <c r="J1376" i="18"/>
  <c r="K1376" i="18" s="1"/>
  <c r="L1376" i="18" s="1"/>
  <c r="J415" i="18"/>
  <c r="K415" i="18" s="1"/>
  <c r="L415" i="18" s="1"/>
  <c r="J294" i="18"/>
  <c r="K294" i="18" s="1"/>
  <c r="L294" i="18" s="1"/>
  <c r="J102" i="18"/>
  <c r="K102" i="18" s="1"/>
  <c r="L102" i="18" s="1"/>
  <c r="J47" i="18"/>
  <c r="K47" i="18" s="1"/>
  <c r="L47" i="18" s="1"/>
  <c r="J74" i="18"/>
  <c r="K74" i="18" s="1"/>
  <c r="L74" i="18" s="1"/>
  <c r="J1176" i="18"/>
  <c r="K1176" i="18" s="1"/>
  <c r="L1176" i="18" s="1"/>
  <c r="J1212" i="18"/>
  <c r="K1212" i="18" s="1"/>
  <c r="L1212" i="18" s="1"/>
  <c r="J1365" i="18"/>
  <c r="K1365" i="18" s="1"/>
  <c r="L1365" i="18" s="1"/>
  <c r="J1478" i="18"/>
  <c r="K1478" i="18" s="1"/>
  <c r="L1478" i="18" s="1"/>
  <c r="J253" i="18"/>
  <c r="K253" i="18" s="1"/>
  <c r="L253" i="18" s="1"/>
  <c r="J247" i="18"/>
  <c r="K247" i="18" s="1"/>
  <c r="L247" i="18" s="1"/>
  <c r="J243" i="18"/>
  <c r="K243" i="18" s="1"/>
  <c r="L243" i="18" s="1"/>
  <c r="J116" i="18"/>
  <c r="K116" i="18" s="1"/>
  <c r="L116" i="18" s="1"/>
  <c r="J241" i="18"/>
  <c r="K241" i="18" s="1"/>
  <c r="L241" i="18" s="1"/>
  <c r="J22" i="18"/>
  <c r="K22" i="18" s="1"/>
  <c r="L22" i="18" s="1"/>
  <c r="J1371" i="18"/>
  <c r="K1371" i="18" s="1"/>
  <c r="L1371" i="18" s="1"/>
  <c r="J368" i="18"/>
  <c r="K368" i="18" s="1"/>
  <c r="L368" i="18" s="1"/>
  <c r="J1229" i="18"/>
  <c r="K1229" i="18" s="1"/>
  <c r="L1229" i="18" s="1"/>
  <c r="J1188" i="18"/>
  <c r="K1188" i="18" s="1"/>
  <c r="L1188" i="18" s="1"/>
  <c r="J350" i="18"/>
  <c r="K350" i="18" s="1"/>
  <c r="L350" i="18" s="1"/>
  <c r="J1427" i="18"/>
  <c r="K1427" i="18" s="1"/>
  <c r="L1427" i="18" s="1"/>
  <c r="J13" i="18"/>
  <c r="K13" i="18" s="1"/>
  <c r="L13" i="18" s="1"/>
  <c r="J1353" i="18"/>
  <c r="K1353" i="18" s="1"/>
  <c r="L1353" i="18" s="1"/>
  <c r="J331" i="18"/>
  <c r="K331" i="18" s="1"/>
  <c r="L331" i="18" s="1"/>
  <c r="J455" i="18"/>
  <c r="K455" i="18" s="1"/>
  <c r="L455" i="18" s="1"/>
  <c r="J255" i="18"/>
  <c r="K255" i="18" s="1"/>
  <c r="L255" i="18" s="1"/>
  <c r="J1432" i="18"/>
  <c r="K1432" i="18" s="1"/>
  <c r="L1432" i="18" s="1"/>
  <c r="J1357" i="18"/>
  <c r="K1357" i="18" s="1"/>
  <c r="L1357" i="18" s="1"/>
  <c r="J1401" i="18"/>
  <c r="K1401" i="18" s="1"/>
  <c r="L1401" i="18" s="1"/>
  <c r="J1164" i="18"/>
  <c r="K1164" i="18" s="1"/>
  <c r="L1164" i="18" s="1"/>
  <c r="J1489" i="18"/>
  <c r="K1489" i="18" s="1"/>
  <c r="L1489" i="18" s="1"/>
  <c r="J1243" i="18"/>
  <c r="K1243" i="18" s="1"/>
  <c r="L1243" i="18" s="1"/>
  <c r="J1496" i="18"/>
  <c r="K1496" i="18" s="1"/>
  <c r="L1496" i="18" s="1"/>
  <c r="J1392" i="18"/>
  <c r="K1392" i="18" s="1"/>
  <c r="L1392" i="18" s="1"/>
  <c r="J398" i="18"/>
  <c r="K398" i="18" s="1"/>
  <c r="L398" i="18" s="1"/>
  <c r="J348" i="18"/>
  <c r="K348" i="18" s="1"/>
  <c r="L348" i="18" s="1"/>
  <c r="J36" i="18"/>
  <c r="K36" i="18" s="1"/>
  <c r="L36" i="18" s="1"/>
  <c r="J1426" i="18"/>
  <c r="K1426" i="18" s="1"/>
  <c r="L1426" i="18" s="1"/>
  <c r="J245" i="18"/>
  <c r="K245" i="18" s="1"/>
  <c r="L245" i="18" s="1"/>
  <c r="J120" i="18"/>
  <c r="K120" i="18" s="1"/>
  <c r="L120" i="18" s="1"/>
  <c r="J343" i="18"/>
  <c r="K343" i="18" s="1"/>
  <c r="L343" i="18" s="1"/>
  <c r="J283" i="18"/>
  <c r="K283" i="18" s="1"/>
  <c r="L283" i="18" s="1"/>
  <c r="J1381" i="18"/>
  <c r="K1381" i="18" s="1"/>
  <c r="L1381" i="18" s="1"/>
  <c r="J1405" i="18"/>
  <c r="K1405" i="18" s="1"/>
  <c r="L1405" i="18" s="1"/>
  <c r="J1359" i="18"/>
  <c r="K1359" i="18" s="1"/>
  <c r="L1359" i="18" s="1"/>
  <c r="J1072" i="18"/>
  <c r="K1072" i="18" s="1"/>
  <c r="L1072" i="18" s="1"/>
  <c r="J248" i="18"/>
  <c r="K248" i="18" s="1"/>
  <c r="L248" i="18" s="1"/>
  <c r="J259" i="18"/>
  <c r="K259" i="18" s="1"/>
  <c r="L259" i="18" s="1"/>
  <c r="J313" i="18"/>
  <c r="K313" i="18" s="1"/>
  <c r="L313" i="18" s="1"/>
  <c r="J272" i="18"/>
  <c r="K272" i="18" s="1"/>
  <c r="L272" i="18" s="1"/>
  <c r="J187" i="18"/>
  <c r="K187" i="18" s="1"/>
  <c r="L187" i="18" s="1"/>
  <c r="J1419" i="18"/>
  <c r="K1419" i="18" s="1"/>
  <c r="L1419" i="18" s="1"/>
  <c r="J1446" i="18"/>
  <c r="K1446" i="18" s="1"/>
  <c r="L1446" i="18" s="1"/>
  <c r="J1368" i="18"/>
  <c r="K1368" i="18" s="1"/>
  <c r="L1368" i="18" s="1"/>
  <c r="J1141" i="18"/>
  <c r="K1141" i="18" s="1"/>
  <c r="L1141" i="18" s="1"/>
  <c r="J493" i="18"/>
  <c r="K493" i="18" s="1"/>
  <c r="L493" i="18" s="1"/>
  <c r="J1389" i="18"/>
  <c r="K1389" i="18" s="1"/>
  <c r="L1389" i="18" s="1"/>
  <c r="J1267" i="18"/>
  <c r="K1267" i="18" s="1"/>
  <c r="L1267" i="18" s="1"/>
  <c r="J1369" i="18"/>
  <c r="K1369" i="18" s="1"/>
  <c r="L1369" i="18" s="1"/>
  <c r="J250" i="18"/>
  <c r="K250" i="18" s="1"/>
  <c r="L250" i="18" s="1"/>
  <c r="J60" i="18"/>
  <c r="K60" i="18" s="1"/>
  <c r="L60" i="18" s="1"/>
  <c r="J32" i="18"/>
  <c r="K32" i="18" s="1"/>
  <c r="L32" i="18" s="1"/>
  <c r="J304" i="18"/>
  <c r="K304" i="18" s="1"/>
  <c r="L304" i="18" s="1"/>
  <c r="J38" i="18"/>
  <c r="K38" i="18" s="1"/>
  <c r="L38" i="18" s="1"/>
  <c r="J1234" i="18"/>
  <c r="K1234" i="18" s="1"/>
  <c r="L1234" i="18" s="1"/>
  <c r="J1160" i="18"/>
  <c r="K1160" i="18" s="1"/>
  <c r="L1160" i="18" s="1"/>
  <c r="J394" i="18"/>
  <c r="K394" i="18" s="1"/>
  <c r="L394" i="18" s="1"/>
  <c r="J1236" i="18"/>
  <c r="K1236" i="18" s="1"/>
  <c r="L1236" i="18" s="1"/>
  <c r="J498" i="18"/>
  <c r="K498" i="18" s="1"/>
  <c r="L498" i="18" s="1"/>
  <c r="J252" i="18"/>
  <c r="K252" i="18" s="1"/>
  <c r="L252" i="18" s="1"/>
  <c r="J167" i="18"/>
  <c r="K167" i="18" s="1"/>
  <c r="L167" i="18" s="1"/>
  <c r="J158" i="18"/>
  <c r="K158" i="18" s="1"/>
  <c r="L158" i="18" s="1"/>
  <c r="J1196" i="18"/>
  <c r="K1196" i="18" s="1"/>
  <c r="L1196" i="18" s="1"/>
  <c r="J182" i="18"/>
  <c r="K182" i="18" s="1"/>
  <c r="L182" i="18" s="1"/>
  <c r="J271" i="18"/>
  <c r="K271" i="18" s="1"/>
  <c r="L271" i="18" s="1"/>
  <c r="J1500" i="18"/>
  <c r="K1500" i="18" s="1"/>
  <c r="L1500" i="18" s="1"/>
  <c r="J145" i="18"/>
  <c r="K145" i="18" s="1"/>
  <c r="L145" i="18" s="1"/>
  <c r="J57" i="18"/>
  <c r="K57" i="18" s="1"/>
  <c r="L57" i="18" s="1"/>
  <c r="J1373" i="18"/>
  <c r="K1373" i="18" s="1"/>
  <c r="L1373" i="18" s="1"/>
  <c r="J426" i="18"/>
  <c r="K426" i="18" s="1"/>
  <c r="L426" i="18" s="1"/>
  <c r="J290" i="18"/>
  <c r="K290" i="18" s="1"/>
  <c r="L290" i="18" s="1"/>
  <c r="J1409" i="18"/>
  <c r="K1409" i="18" s="1"/>
  <c r="L1409" i="18" s="1"/>
  <c r="J405" i="18"/>
  <c r="K405" i="18" s="1"/>
  <c r="L405" i="18" s="1"/>
  <c r="J382" i="18"/>
  <c r="K382" i="18" s="1"/>
  <c r="L382" i="18" s="1"/>
  <c r="J1197" i="18"/>
  <c r="K1197" i="18" s="1"/>
  <c r="L1197" i="18" s="1"/>
  <c r="J1262" i="18"/>
  <c r="K1262" i="18" s="1"/>
  <c r="L1262" i="18" s="1"/>
  <c r="J344" i="18"/>
  <c r="K344" i="18" s="1"/>
  <c r="L344" i="18" s="1"/>
  <c r="J386" i="18"/>
  <c r="K386" i="18" s="1"/>
  <c r="L386" i="18" s="1"/>
  <c r="J314" i="18"/>
  <c r="K314" i="18" s="1"/>
  <c r="L314" i="18" s="1"/>
  <c r="J1398" i="18"/>
  <c r="K1398" i="18" s="1"/>
  <c r="L1398" i="18" s="1"/>
  <c r="J1387" i="18"/>
  <c r="K1387" i="18" s="1"/>
  <c r="L1387" i="18" s="1"/>
  <c r="J1182" i="18"/>
  <c r="K1182" i="18" s="1"/>
  <c r="L1182" i="18" s="1"/>
  <c r="J422" i="18"/>
  <c r="K422" i="18" s="1"/>
  <c r="L422" i="18" s="1"/>
  <c r="J45" i="18"/>
  <c r="K45" i="18" s="1"/>
  <c r="L45" i="18" s="1"/>
  <c r="J50" i="18"/>
  <c r="K50" i="18" s="1"/>
  <c r="L50" i="18" s="1"/>
  <c r="J1279" i="18"/>
  <c r="K1279" i="18" s="1"/>
  <c r="L1279" i="18" s="1"/>
  <c r="J303" i="18"/>
  <c r="K303" i="18" s="1"/>
  <c r="L303" i="18" s="1"/>
  <c r="J450" i="18"/>
  <c r="K450" i="18" s="1"/>
  <c r="L450" i="18" s="1"/>
  <c r="J371" i="18"/>
  <c r="K371" i="18" s="1"/>
  <c r="L371" i="18" s="1"/>
  <c r="J56" i="18"/>
  <c r="K56" i="18" s="1"/>
  <c r="L56" i="18" s="1"/>
  <c r="J1418" i="18"/>
  <c r="K1418" i="18" s="1"/>
  <c r="L1418" i="18" s="1"/>
  <c r="J195" i="18"/>
  <c r="K195" i="18" s="1"/>
  <c r="L195" i="18" s="1"/>
  <c r="J254" i="18"/>
  <c r="K254" i="18" s="1"/>
  <c r="L254" i="18" s="1"/>
  <c r="J1305" i="18"/>
  <c r="K1305" i="18" s="1"/>
  <c r="L1305" i="18" s="1"/>
  <c r="J1455" i="18"/>
  <c r="K1455" i="18" s="1"/>
  <c r="L1455" i="18" s="1"/>
  <c r="J1415" i="18"/>
  <c r="K1415" i="18" s="1"/>
  <c r="L1415" i="18" s="1"/>
  <c r="J497" i="18"/>
  <c r="K497" i="18" s="1"/>
  <c r="L497" i="18" s="1"/>
  <c r="J490" i="18"/>
  <c r="K490" i="18" s="1"/>
  <c r="L490" i="18" s="1"/>
  <c r="J261" i="18"/>
  <c r="K261" i="18" s="1"/>
  <c r="L261" i="18" s="1"/>
  <c r="J327" i="18"/>
  <c r="K327" i="18" s="1"/>
  <c r="L327" i="18" s="1"/>
  <c r="J1380" i="18"/>
  <c r="K1380" i="18" s="1"/>
  <c r="L1380" i="18" s="1"/>
  <c r="J1217" i="18"/>
  <c r="K1217" i="18" s="1"/>
  <c r="L1217" i="18" s="1"/>
  <c r="J364" i="18"/>
  <c r="K364" i="18" s="1"/>
  <c r="L364" i="18" s="1"/>
  <c r="J1397" i="18"/>
  <c r="K1397" i="18" s="1"/>
  <c r="L1397" i="18" s="1"/>
  <c r="J311" i="18"/>
  <c r="K311" i="18" s="1"/>
  <c r="L311" i="18" s="1"/>
  <c r="J1238" i="18"/>
  <c r="K1238" i="18" s="1"/>
  <c r="L1238" i="18" s="1"/>
  <c r="J1148" i="18"/>
  <c r="K1148" i="18" s="1"/>
  <c r="L1148" i="18" s="1"/>
  <c r="J1390" i="18"/>
  <c r="K1390" i="18" s="1"/>
  <c r="L1390" i="18" s="1"/>
  <c r="J1469" i="18"/>
  <c r="K1469" i="18" s="1"/>
  <c r="L1469" i="18" s="1"/>
  <c r="J1400" i="18"/>
  <c r="K1400" i="18" s="1"/>
  <c r="L1400" i="18" s="1"/>
  <c r="J1375" i="18"/>
  <c r="K1375" i="18" s="1"/>
  <c r="L1375" i="18" s="1"/>
  <c r="J1170" i="18"/>
  <c r="K1170" i="18" s="1"/>
  <c r="L1170" i="18" s="1"/>
  <c r="J29" i="18"/>
  <c r="K29" i="18" s="1"/>
  <c r="L29" i="18" s="1"/>
  <c r="J1484" i="18"/>
  <c r="K1484" i="18" s="1"/>
  <c r="L1484" i="18" s="1"/>
  <c r="J1213" i="18"/>
  <c r="K1213" i="18" s="1"/>
  <c r="L1213" i="18" s="1"/>
  <c r="J447" i="18"/>
  <c r="K447" i="18" s="1"/>
  <c r="L447" i="18" s="1"/>
  <c r="J362" i="18"/>
  <c r="K362" i="18" s="1"/>
  <c r="L362" i="18" s="1"/>
  <c r="J285" i="18"/>
  <c r="K285" i="18" s="1"/>
  <c r="L285" i="18" s="1"/>
  <c r="J277" i="18"/>
  <c r="K277" i="18" s="1"/>
  <c r="L277" i="18" s="1"/>
  <c r="J291" i="18"/>
  <c r="K291" i="18" s="1"/>
  <c r="L291" i="18" s="1"/>
  <c r="J1146" i="18"/>
  <c r="K1146" i="18" s="1"/>
  <c r="L1146" i="18" s="1"/>
  <c r="J46" i="18"/>
  <c r="K46" i="18" s="1"/>
  <c r="L46" i="18" s="1"/>
  <c r="J1158" i="18"/>
  <c r="K1158" i="18" s="1"/>
  <c r="L1158" i="18" s="1"/>
  <c r="J399" i="18"/>
  <c r="K399" i="18" s="1"/>
  <c r="L399" i="18" s="1"/>
  <c r="J84" i="18"/>
  <c r="K84" i="18" s="1"/>
  <c r="L84" i="18" s="1"/>
  <c r="J1221" i="18"/>
  <c r="K1221" i="18" s="1"/>
  <c r="L1221" i="18" s="1"/>
  <c r="J1171" i="18"/>
  <c r="K1171" i="18" s="1"/>
  <c r="L1171" i="18" s="1"/>
  <c r="J465" i="18"/>
  <c r="K465" i="18" s="1"/>
  <c r="L465" i="18" s="1"/>
  <c r="J292" i="18"/>
  <c r="K292" i="18" s="1"/>
  <c r="L292" i="18" s="1"/>
  <c r="J110" i="18"/>
  <c r="K110" i="18" s="1"/>
  <c r="L110" i="18" s="1"/>
  <c r="J77" i="18"/>
  <c r="K77" i="18" s="1"/>
  <c r="L77" i="18" s="1"/>
  <c r="J1412" i="18"/>
  <c r="K1412" i="18" s="1"/>
  <c r="L1412" i="18" s="1"/>
  <c r="J297" i="18"/>
  <c r="K297" i="18" s="1"/>
  <c r="L297" i="18" s="1"/>
  <c r="J140" i="18"/>
  <c r="K140" i="18" s="1"/>
  <c r="L140" i="18" s="1"/>
  <c r="J1145" i="18"/>
  <c r="K1145" i="18" s="1"/>
  <c r="L1145" i="18" s="1"/>
  <c r="J138" i="18"/>
  <c r="K138" i="18" s="1"/>
  <c r="L138" i="18" s="1"/>
  <c r="J723" i="18"/>
  <c r="K723" i="18" s="1"/>
  <c r="L723" i="18" s="1"/>
  <c r="J1477" i="18"/>
  <c r="K1477" i="18" s="1"/>
  <c r="L1477" i="18" s="1"/>
  <c r="J332" i="18"/>
  <c r="K332" i="18" s="1"/>
  <c r="L332" i="18" s="1"/>
  <c r="J1167" i="18"/>
  <c r="K1167" i="18" s="1"/>
  <c r="L1167" i="18" s="1"/>
  <c r="J387" i="18"/>
  <c r="K387" i="18" s="1"/>
  <c r="L387" i="18" s="1"/>
  <c r="J276" i="18"/>
  <c r="K276" i="18" s="1"/>
  <c r="L276" i="18" s="1"/>
  <c r="J39" i="18"/>
  <c r="K39" i="18" s="1"/>
  <c r="L39" i="18" s="1"/>
  <c r="J1154" i="18"/>
  <c r="K1154" i="18" s="1"/>
  <c r="L1154" i="18" s="1"/>
  <c r="J1383" i="18"/>
  <c r="K1383" i="18" s="1"/>
  <c r="L1383" i="18" s="1"/>
  <c r="J269" i="18"/>
  <c r="K269" i="18" s="1"/>
  <c r="L269" i="18" s="1"/>
  <c r="J81" i="18"/>
  <c r="K81" i="18" s="1"/>
  <c r="L81" i="18" s="1"/>
  <c r="J1403" i="18"/>
  <c r="K1403" i="18" s="1"/>
  <c r="L1403" i="18" s="1"/>
  <c r="J347" i="18"/>
  <c r="K347" i="18" s="1"/>
  <c r="L347" i="18" s="1"/>
  <c r="J1395" i="18"/>
  <c r="K1395" i="18" s="1"/>
  <c r="L1395" i="18" s="1"/>
  <c r="J385" i="18"/>
  <c r="K385" i="18" s="1"/>
  <c r="L385" i="18" s="1"/>
  <c r="J1433" i="18"/>
  <c r="K1433" i="18" s="1"/>
  <c r="L1433" i="18" s="1"/>
  <c r="J479" i="18"/>
  <c r="K479" i="18" s="1"/>
  <c r="L479" i="18" s="1"/>
  <c r="J106" i="18"/>
  <c r="K106" i="18" s="1"/>
  <c r="L106" i="18" s="1"/>
  <c r="J42" i="18"/>
  <c r="K42" i="18" s="1"/>
  <c r="L42" i="18" s="1"/>
  <c r="J434" i="18"/>
  <c r="K434" i="18" s="1"/>
  <c r="L434" i="18" s="1"/>
  <c r="J1402" i="18"/>
  <c r="K1402" i="18" s="1"/>
  <c r="L1402" i="18" s="1"/>
  <c r="J1286" i="18"/>
  <c r="K1286" i="18" s="1"/>
  <c r="L1286" i="18" s="1"/>
  <c r="J85" i="18"/>
  <c r="K85" i="18" s="1"/>
  <c r="L85" i="18" s="1"/>
  <c r="J79" i="18"/>
  <c r="K79" i="18" s="1"/>
  <c r="L79" i="18" s="1"/>
  <c r="J1159" i="18"/>
  <c r="K1159" i="18" s="1"/>
  <c r="L1159" i="18" s="1"/>
  <c r="J161" i="18"/>
  <c r="K161" i="18" s="1"/>
  <c r="L161" i="18" s="1"/>
  <c r="J108" i="18"/>
  <c r="K108" i="18" s="1"/>
  <c r="L108" i="18" s="1"/>
  <c r="J1492" i="18"/>
  <c r="K1492" i="18" s="1"/>
  <c r="L1492" i="18" s="1"/>
  <c r="J1431" i="18"/>
  <c r="K1431" i="18" s="1"/>
  <c r="L1431" i="18" s="1"/>
  <c r="J1163" i="18"/>
  <c r="K1163" i="18" s="1"/>
  <c r="L1163" i="18" s="1"/>
  <c r="J1147" i="18"/>
  <c r="K1147" i="18" s="1"/>
  <c r="L1147" i="18" s="1"/>
  <c r="J280" i="18"/>
  <c r="K280" i="18" s="1"/>
  <c r="L280" i="18" s="1"/>
  <c r="J1410" i="18"/>
  <c r="K1410" i="18" s="1"/>
  <c r="L1410" i="18" s="1"/>
  <c r="J1396" i="18"/>
  <c r="K1396" i="18" s="1"/>
  <c r="L1396" i="18" s="1"/>
  <c r="J457" i="18"/>
  <c r="K457" i="18" s="1"/>
  <c r="L457" i="18" s="1"/>
  <c r="J374" i="18"/>
  <c r="K374" i="18" s="1"/>
  <c r="L374" i="18" s="1"/>
  <c r="J351" i="18"/>
  <c r="K351" i="18" s="1"/>
  <c r="L351" i="18" s="1"/>
  <c r="J1480" i="18"/>
  <c r="K1480" i="18" s="1"/>
  <c r="L1480" i="18" s="1"/>
  <c r="J1449" i="18"/>
  <c r="K1449" i="18" s="1"/>
  <c r="L1449" i="18" s="1"/>
  <c r="J1411" i="18"/>
  <c r="K1411" i="18" s="1"/>
  <c r="L1411" i="18" s="1"/>
  <c r="J26" i="18"/>
  <c r="K26" i="18" s="1"/>
  <c r="L26" i="18" s="1"/>
  <c r="J1173" i="18"/>
  <c r="K1173" i="18" s="1"/>
  <c r="L1173" i="18" s="1"/>
  <c r="J1151" i="18"/>
  <c r="K1151" i="18" s="1"/>
  <c r="L1151" i="18" s="1"/>
  <c r="J300" i="18"/>
  <c r="K300" i="18" s="1"/>
  <c r="L300" i="18" s="1"/>
  <c r="J1174" i="18"/>
  <c r="K1174" i="18" s="1"/>
  <c r="L1174" i="18" s="1"/>
  <c r="J454" i="18"/>
  <c r="K454" i="18" s="1"/>
  <c r="L454" i="18" s="1"/>
  <c r="J390" i="18"/>
  <c r="K390" i="18" s="1"/>
  <c r="L390" i="18" s="1"/>
  <c r="J317" i="18"/>
  <c r="K317" i="18" s="1"/>
  <c r="L317" i="18" s="1"/>
  <c r="J427" i="18"/>
  <c r="K427" i="18" s="1"/>
  <c r="L427" i="18" s="1"/>
  <c r="J357" i="18"/>
  <c r="K357" i="18" s="1"/>
  <c r="L357" i="18" s="1"/>
  <c r="J286" i="18"/>
  <c r="K286" i="18" s="1"/>
  <c r="L286" i="18" s="1"/>
  <c r="J1465" i="18"/>
  <c r="K1465" i="18" s="1"/>
  <c r="L1465" i="18" s="1"/>
  <c r="J1441" i="18"/>
  <c r="K1441" i="18" s="1"/>
  <c r="L1441" i="18" s="1"/>
  <c r="J1354" i="18"/>
  <c r="K1354" i="18" s="1"/>
  <c r="L1354" i="18" s="1"/>
  <c r="J464" i="18"/>
  <c r="K464" i="18" s="1"/>
  <c r="L464" i="18" s="1"/>
  <c r="J375" i="18"/>
  <c r="K375" i="18" s="1"/>
  <c r="L375" i="18" s="1"/>
  <c r="J1430" i="18"/>
  <c r="K1430" i="18" s="1"/>
  <c r="L1430" i="18" s="1"/>
  <c r="J293" i="18"/>
  <c r="K293" i="18" s="1"/>
  <c r="L293" i="18" s="1"/>
  <c r="J491" i="18"/>
  <c r="K491" i="18" s="1"/>
  <c r="L491" i="18" s="1"/>
  <c r="J396" i="18"/>
  <c r="K396" i="18" s="1"/>
  <c r="L396" i="18" s="1"/>
  <c r="J157" i="18"/>
  <c r="K157" i="18" s="1"/>
  <c r="L157" i="18" s="1"/>
  <c r="J1498" i="18"/>
  <c r="K1498" i="18" s="1"/>
  <c r="L1498" i="18" s="1"/>
  <c r="J1456" i="18"/>
  <c r="K1456" i="18" s="1"/>
  <c r="L1456" i="18" s="1"/>
  <c r="J1399" i="18"/>
  <c r="K1399" i="18" s="1"/>
  <c r="L1399" i="18" s="1"/>
  <c r="J489" i="18"/>
  <c r="K489" i="18" s="1"/>
  <c r="L489" i="18" s="1"/>
  <c r="J335" i="18"/>
  <c r="K335" i="18" s="1"/>
  <c r="L335" i="18" s="1"/>
  <c r="J142" i="18"/>
  <c r="K142" i="18" s="1"/>
  <c r="L142" i="18" s="1"/>
  <c r="J438" i="18"/>
  <c r="K438" i="18" s="1"/>
  <c r="L438" i="18" s="1"/>
  <c r="J163" i="18"/>
  <c r="K163" i="18" s="1"/>
  <c r="L163" i="18" s="1"/>
  <c r="J134" i="18"/>
  <c r="K134" i="18" s="1"/>
  <c r="L134" i="18" s="1"/>
  <c r="J1468" i="18"/>
  <c r="K1468" i="18" s="1"/>
  <c r="L1468" i="18" s="1"/>
  <c r="J1406" i="18"/>
  <c r="K1406" i="18" s="1"/>
  <c r="L1406" i="18" s="1"/>
  <c r="J1157" i="18"/>
  <c r="K1157" i="18" s="1"/>
  <c r="L1157" i="18" s="1"/>
  <c r="J1162" i="18"/>
  <c r="K1162" i="18" s="1"/>
  <c r="L1162" i="18" s="1"/>
  <c r="J168" i="18"/>
  <c r="K168" i="18" s="1"/>
  <c r="L168" i="18" s="1"/>
  <c r="J137" i="18"/>
  <c r="K137" i="18" s="1"/>
  <c r="L137" i="18" s="1"/>
  <c r="J1404" i="18"/>
  <c r="K1404" i="18" s="1"/>
  <c r="L1404" i="18" s="1"/>
  <c r="J1152" i="18"/>
  <c r="K1152" i="18" s="1"/>
  <c r="L1152" i="18" s="1"/>
  <c r="J423" i="18"/>
  <c r="K423" i="18" s="1"/>
  <c r="L423" i="18" s="1"/>
  <c r="J281" i="18"/>
  <c r="K281" i="18" s="1"/>
  <c r="L281" i="18" s="1"/>
  <c r="J173" i="18"/>
  <c r="K173" i="18" s="1"/>
  <c r="L173" i="18" s="1"/>
  <c r="J40" i="18"/>
  <c r="K40" i="18" s="1"/>
  <c r="L40" i="18" s="1"/>
  <c r="J1473" i="18"/>
  <c r="K1473" i="18" s="1"/>
  <c r="L1473" i="18" s="1"/>
  <c r="J1199" i="18"/>
  <c r="K1199" i="18" s="1"/>
  <c r="L1199" i="18" s="1"/>
  <c r="J496" i="18"/>
  <c r="K496" i="18" s="1"/>
  <c r="L496" i="18" s="1"/>
  <c r="J433" i="18"/>
  <c r="K433" i="18" s="1"/>
  <c r="L433" i="18" s="1"/>
  <c r="J430" i="18"/>
  <c r="K430" i="18" s="1"/>
  <c r="L430" i="18" s="1"/>
  <c r="J302" i="18"/>
  <c r="K302" i="18" s="1"/>
  <c r="L302" i="18" s="1"/>
  <c r="J296" i="18"/>
  <c r="K296" i="18" s="1"/>
  <c r="L296" i="18" s="1"/>
  <c r="J270" i="18"/>
  <c r="K270" i="18" s="1"/>
  <c r="L270" i="18" s="1"/>
  <c r="J244" i="18"/>
  <c r="K244" i="18" s="1"/>
  <c r="L244" i="18" s="1"/>
  <c r="J98" i="18"/>
  <c r="K98" i="18" s="1"/>
  <c r="L98" i="18" s="1"/>
  <c r="J391" i="18"/>
  <c r="K391" i="18" s="1"/>
  <c r="L391" i="18" s="1"/>
  <c r="J337" i="18"/>
  <c r="K337" i="18" s="1"/>
  <c r="L337" i="18" s="1"/>
  <c r="J325" i="18"/>
  <c r="K325" i="18" s="1"/>
  <c r="L325" i="18" s="1"/>
  <c r="J211" i="18"/>
  <c r="K211" i="18" s="1"/>
  <c r="L211" i="18" s="1"/>
  <c r="J132" i="18"/>
  <c r="K132" i="18" s="1"/>
  <c r="L132" i="18" s="1"/>
  <c r="J1504" i="18"/>
  <c r="K1504" i="18" s="1"/>
  <c r="L1504" i="18" s="1"/>
  <c r="J467" i="18"/>
  <c r="K467" i="18" s="1"/>
  <c r="L467" i="18" s="1"/>
  <c r="J330" i="18"/>
  <c r="K330" i="18" s="1"/>
  <c r="L330" i="18" s="1"/>
  <c r="J264" i="18"/>
  <c r="K264" i="18" s="1"/>
  <c r="L264" i="18" s="1"/>
  <c r="J242" i="18"/>
  <c r="K242" i="18" s="1"/>
  <c r="L242" i="18" s="1"/>
  <c r="J228" i="18"/>
  <c r="K228" i="18" s="1"/>
  <c r="L228" i="18" s="1"/>
  <c r="J174" i="18"/>
  <c r="K174" i="18" s="1"/>
  <c r="L174" i="18" s="1"/>
  <c r="J149" i="18"/>
  <c r="K149" i="18" s="1"/>
  <c r="L149" i="18" s="1"/>
  <c r="J73" i="18"/>
  <c r="K73" i="18" s="1"/>
  <c r="L73" i="18" s="1"/>
  <c r="J54" i="18"/>
  <c r="K54" i="18" s="1"/>
  <c r="L54" i="18" s="1"/>
  <c r="J1428" i="18"/>
  <c r="K1428" i="18" s="1"/>
  <c r="L1428" i="18" s="1"/>
  <c r="J460" i="18"/>
  <c r="K460" i="18" s="1"/>
  <c r="L460" i="18" s="1"/>
  <c r="J452" i="18"/>
  <c r="K452" i="18" s="1"/>
  <c r="L452" i="18" s="1"/>
  <c r="J165" i="18"/>
  <c r="K165" i="18" s="1"/>
  <c r="L165" i="18" s="1"/>
  <c r="J65" i="18"/>
  <c r="K65" i="18" s="1"/>
  <c r="L65" i="18" s="1"/>
  <c r="J449" i="18"/>
  <c r="K449" i="18" s="1"/>
  <c r="L449" i="18" s="1"/>
  <c r="J436" i="18"/>
  <c r="K436" i="18" s="1"/>
  <c r="L436" i="18" s="1"/>
  <c r="J400" i="18"/>
  <c r="K400" i="18" s="1"/>
  <c r="L400" i="18" s="1"/>
  <c r="J1144" i="18"/>
  <c r="K1144" i="18" s="1"/>
  <c r="L1144" i="18" s="1"/>
  <c r="J510" i="18"/>
  <c r="K510" i="18" s="1"/>
  <c r="L510" i="18" s="1"/>
  <c r="J403" i="18"/>
  <c r="K403" i="18" s="1"/>
  <c r="L403" i="18" s="1"/>
  <c r="J125" i="18"/>
  <c r="K125" i="18" s="1"/>
  <c r="L125" i="18" s="1"/>
  <c r="J91" i="18"/>
  <c r="K91" i="18" s="1"/>
  <c r="L91" i="18" s="1"/>
  <c r="J341" i="18"/>
  <c r="K341" i="18" s="1"/>
  <c r="L341" i="18" s="1"/>
  <c r="J318" i="18"/>
  <c r="K318" i="18" s="1"/>
  <c r="L318" i="18" s="1"/>
  <c r="J64" i="18"/>
  <c r="K64" i="18" s="1"/>
  <c r="L64" i="18" s="1"/>
  <c r="J18" i="18"/>
  <c r="K18" i="18" s="1"/>
  <c r="L18" i="18" s="1"/>
  <c r="J1423" i="18"/>
  <c r="K1423" i="18" s="1"/>
  <c r="L1423" i="18" s="1"/>
  <c r="J1408" i="18"/>
  <c r="K1408" i="18" s="1"/>
  <c r="L1408" i="18" s="1"/>
  <c r="J1361" i="18"/>
  <c r="K1361" i="18" s="1"/>
  <c r="L1361" i="18" s="1"/>
  <c r="J1259" i="18"/>
  <c r="K1259" i="18" s="1"/>
  <c r="L1259" i="18" s="1"/>
  <c r="J1382" i="18"/>
  <c r="K1382" i="18" s="1"/>
  <c r="L1382" i="18" s="1"/>
  <c r="J1349" i="18"/>
  <c r="K1349" i="18" s="1"/>
  <c r="L1349" i="18" s="1"/>
  <c r="J1338" i="18"/>
  <c r="K1338" i="18" s="1"/>
  <c r="L1338" i="18" s="1"/>
  <c r="J1209" i="18"/>
  <c r="K1209" i="18" s="1"/>
  <c r="L1209" i="18" s="1"/>
  <c r="J1203" i="18"/>
  <c r="K1203" i="18" s="1"/>
  <c r="L1203" i="18" s="1"/>
  <c r="J1169" i="18"/>
  <c r="K1169" i="18" s="1"/>
  <c r="L1169" i="18" s="1"/>
  <c r="J1161" i="18"/>
  <c r="K1161" i="18" s="1"/>
  <c r="L1161" i="18" s="1"/>
  <c r="J367" i="18"/>
  <c r="K367" i="18" s="1"/>
  <c r="L367" i="18" s="1"/>
  <c r="J61" i="18"/>
  <c r="K61" i="18" s="1"/>
  <c r="L61" i="18" s="1"/>
  <c r="J1281" i="18"/>
  <c r="K1281" i="18" s="1"/>
  <c r="L1281" i="18" s="1"/>
  <c r="J1204" i="18"/>
  <c r="K1204" i="18" s="1"/>
  <c r="L1204" i="18" s="1"/>
  <c r="J477" i="18"/>
  <c r="K477" i="18" s="1"/>
  <c r="L477" i="18" s="1"/>
  <c r="J345" i="18"/>
  <c r="K345" i="18" s="1"/>
  <c r="L345" i="18" s="1"/>
  <c r="J1454" i="18"/>
  <c r="K1454" i="18" s="1"/>
  <c r="L1454" i="18" s="1"/>
  <c r="J1364" i="18"/>
  <c r="K1364" i="18" s="1"/>
  <c r="L1364" i="18" s="1"/>
  <c r="J1355" i="18"/>
  <c r="K1355" i="18" s="1"/>
  <c r="L1355" i="18" s="1"/>
  <c r="J1307" i="18"/>
  <c r="K1307" i="18" s="1"/>
  <c r="L1307" i="18" s="1"/>
  <c r="J107" i="18"/>
  <c r="K107" i="18" s="1"/>
  <c r="L107" i="18" s="1"/>
  <c r="J1483" i="18"/>
  <c r="K1483" i="18" s="1"/>
  <c r="L1483" i="18" s="1"/>
  <c r="J1467" i="18"/>
  <c r="K1467" i="18" s="1"/>
  <c r="L1467" i="18" s="1"/>
  <c r="J514" i="18"/>
  <c r="K514" i="18" s="1"/>
  <c r="L514" i="18" s="1"/>
  <c r="J418" i="18"/>
  <c r="K418" i="18" s="1"/>
  <c r="L418" i="18" s="1"/>
  <c r="J383" i="18"/>
  <c r="K383" i="18" s="1"/>
  <c r="L383" i="18" s="1"/>
  <c r="J301" i="18"/>
  <c r="K301" i="18" s="1"/>
  <c r="L301" i="18" s="1"/>
  <c r="J1420" i="18"/>
  <c r="K1420" i="18" s="1"/>
  <c r="L1420" i="18" s="1"/>
  <c r="J1292" i="18"/>
  <c r="K1292" i="18" s="1"/>
  <c r="L1292" i="18" s="1"/>
  <c r="J395" i="18"/>
  <c r="K395" i="18" s="1"/>
  <c r="L395" i="18" s="1"/>
  <c r="J354" i="18"/>
  <c r="K354" i="18" s="1"/>
  <c r="L354" i="18" s="1"/>
  <c r="J48" i="18"/>
  <c r="K48" i="18" s="1"/>
  <c r="L48" i="18" s="1"/>
  <c r="J1269" i="18"/>
  <c r="K1269" i="18" s="1"/>
  <c r="L1269" i="18" s="1"/>
  <c r="J1228" i="18"/>
  <c r="K1228" i="18" s="1"/>
  <c r="L1228" i="18" s="1"/>
  <c r="J1214" i="18"/>
  <c r="K1214" i="18" s="1"/>
  <c r="L1214" i="18" s="1"/>
  <c r="J1150" i="18"/>
  <c r="K1150" i="18" s="1"/>
  <c r="L1150" i="18" s="1"/>
  <c r="J288" i="18"/>
  <c r="K288" i="18" s="1"/>
  <c r="L288" i="18" s="1"/>
  <c r="J1329" i="18"/>
  <c r="K1329" i="18" s="1"/>
  <c r="L1329" i="18" s="1"/>
  <c r="J1264" i="18"/>
  <c r="K1264" i="18" s="1"/>
  <c r="L1264" i="18" s="1"/>
  <c r="J511" i="18"/>
  <c r="K511" i="18" s="1"/>
  <c r="L511" i="18" s="1"/>
  <c r="J324" i="18"/>
  <c r="K324" i="18" s="1"/>
  <c r="L324" i="18" s="1"/>
  <c r="J25" i="18"/>
  <c r="K25" i="18" s="1"/>
  <c r="L25" i="18" s="1"/>
  <c r="J1421" i="18"/>
  <c r="K1421" i="18" s="1"/>
  <c r="L1421" i="18" s="1"/>
  <c r="J1414" i="18"/>
  <c r="K1414" i="18" s="1"/>
  <c r="L1414" i="18" s="1"/>
  <c r="J1218" i="18"/>
  <c r="K1218" i="18" s="1"/>
  <c r="L1218" i="18" s="1"/>
  <c r="J1445" i="18"/>
  <c r="K1445" i="18" s="1"/>
  <c r="L1445" i="18" s="1"/>
  <c r="J393" i="18"/>
  <c r="K393" i="18" s="1"/>
  <c r="L393" i="18" s="1"/>
  <c r="J289" i="18"/>
  <c r="K289" i="18" s="1"/>
  <c r="L289" i="18" s="1"/>
  <c r="J1476" i="18"/>
  <c r="K1476" i="18" s="1"/>
  <c r="L1476" i="18" s="1"/>
  <c r="J1284" i="18"/>
  <c r="K1284" i="18" s="1"/>
  <c r="L1284" i="18" s="1"/>
  <c r="J1224" i="18"/>
  <c r="K1224" i="18" s="1"/>
  <c r="L1224" i="18" s="1"/>
  <c r="J1194" i="18"/>
  <c r="K1194" i="18" s="1"/>
  <c r="L1194" i="18" s="1"/>
  <c r="J437" i="18"/>
  <c r="K437" i="18" s="1"/>
  <c r="L437" i="18" s="1"/>
  <c r="J356" i="18"/>
  <c r="K356" i="18" s="1"/>
  <c r="L356" i="18" s="1"/>
  <c r="J101" i="18"/>
  <c r="K101" i="18" s="1"/>
  <c r="L101" i="18" s="1"/>
  <c r="J126" i="18"/>
  <c r="K126" i="18" s="1"/>
  <c r="L126" i="18" s="1"/>
  <c r="J1219" i="18"/>
  <c r="K1219" i="18" s="1"/>
  <c r="L1219" i="18" s="1"/>
  <c r="J440" i="18"/>
  <c r="K440" i="18" s="1"/>
  <c r="L440" i="18" s="1"/>
  <c r="J420" i="18"/>
  <c r="K420" i="18" s="1"/>
  <c r="L420" i="18" s="1"/>
  <c r="J342" i="18"/>
  <c r="K342" i="18" s="1"/>
  <c r="L342" i="18" s="1"/>
  <c r="J148" i="18"/>
  <c r="K148" i="18" s="1"/>
  <c r="L148" i="18" s="1"/>
  <c r="J34" i="18"/>
  <c r="K34" i="18" s="1"/>
  <c r="L34" i="18" s="1"/>
  <c r="J136" i="18"/>
  <c r="K136" i="18" s="1"/>
  <c r="L136" i="18" s="1"/>
  <c r="J1422" i="18"/>
  <c r="K1422" i="18" s="1"/>
  <c r="L1422" i="18" s="1"/>
  <c r="J1175" i="18"/>
  <c r="K1175" i="18" s="1"/>
  <c r="L1175" i="18" s="1"/>
  <c r="J443" i="18"/>
  <c r="K443" i="18" s="1"/>
  <c r="L443" i="18" s="1"/>
  <c r="J310" i="18"/>
  <c r="K310" i="18" s="1"/>
  <c r="L310" i="18" s="1"/>
  <c r="J150" i="18"/>
  <c r="K150" i="18" s="1"/>
  <c r="L150" i="18" s="1"/>
  <c r="J131" i="18"/>
  <c r="K131" i="18" s="1"/>
  <c r="L131" i="18" s="1"/>
  <c r="J128" i="18"/>
  <c r="K128" i="18" s="1"/>
  <c r="L128" i="18" s="1"/>
  <c r="J109" i="18"/>
  <c r="K109" i="18" s="1"/>
  <c r="L109" i="18" s="1"/>
  <c r="J1448" i="18"/>
  <c r="K1448" i="18" s="1"/>
  <c r="L1448" i="18" s="1"/>
  <c r="J1416" i="18"/>
  <c r="K1416" i="18" s="1"/>
  <c r="L1416" i="18" s="1"/>
  <c r="J1149" i="18"/>
  <c r="K1149" i="18" s="1"/>
  <c r="L1149" i="18" s="1"/>
  <c r="J1025" i="18"/>
  <c r="K1025" i="18" s="1"/>
  <c r="L1025" i="18" s="1"/>
  <c r="J700" i="18"/>
  <c r="K700" i="18" s="1"/>
  <c r="L700" i="18" s="1"/>
  <c r="J299" i="18"/>
  <c r="K299" i="18" s="1"/>
  <c r="L299" i="18" s="1"/>
  <c r="J425" i="18"/>
  <c r="K425" i="18" s="1"/>
  <c r="L425" i="18" s="1"/>
  <c r="J95" i="18"/>
  <c r="K95" i="18" s="1"/>
  <c r="L95" i="18" s="1"/>
  <c r="J24" i="18"/>
  <c r="K24" i="18" s="1"/>
  <c r="L24" i="18" s="1"/>
  <c r="J1417" i="18"/>
  <c r="K1417" i="18" s="1"/>
  <c r="L1417" i="18" s="1"/>
  <c r="J654" i="18"/>
  <c r="K654" i="18" s="1"/>
  <c r="L654" i="18" s="1"/>
  <c r="J482" i="18"/>
  <c r="K482" i="18" s="1"/>
  <c r="L482" i="18" s="1"/>
  <c r="J363" i="18"/>
  <c r="K363" i="18" s="1"/>
  <c r="L363" i="18" s="1"/>
  <c r="J92" i="18"/>
  <c r="K92" i="18" s="1"/>
  <c r="L92" i="18" s="1"/>
  <c r="J1346" i="18"/>
  <c r="K1346" i="18" s="1"/>
  <c r="L1346" i="18" s="1"/>
  <c r="J1309" i="18"/>
  <c r="K1309" i="18" s="1"/>
  <c r="L1309" i="18" s="1"/>
  <c r="J1294" i="18"/>
  <c r="K1294" i="18" s="1"/>
  <c r="L1294" i="18" s="1"/>
  <c r="J1168" i="18"/>
  <c r="K1168" i="18" s="1"/>
  <c r="L1168" i="18" s="1"/>
  <c r="J1443" i="18"/>
  <c r="K1443" i="18" s="1"/>
  <c r="L1443" i="18" s="1"/>
  <c r="J1299" i="18"/>
  <c r="K1299" i="18" s="1"/>
  <c r="L1299" i="18" s="1"/>
  <c r="J1254" i="18"/>
  <c r="K1254" i="18" s="1"/>
  <c r="L1254" i="18" s="1"/>
  <c r="J1215" i="18"/>
  <c r="K1215" i="18" s="1"/>
  <c r="L1215" i="18" s="1"/>
  <c r="J503" i="18"/>
  <c r="K503" i="18" s="1"/>
  <c r="L503" i="18" s="1"/>
  <c r="J401" i="18"/>
  <c r="K401" i="18" s="1"/>
  <c r="L401" i="18" s="1"/>
  <c r="J328" i="18"/>
  <c r="K328" i="18" s="1"/>
  <c r="L328" i="18" s="1"/>
  <c r="J506" i="18"/>
  <c r="K506" i="18" s="1"/>
  <c r="L506" i="18" s="1"/>
  <c r="J346" i="18"/>
  <c r="K346" i="18" s="1"/>
  <c r="L346" i="18" s="1"/>
  <c r="J275" i="18"/>
  <c r="K275" i="18" s="1"/>
  <c r="L275" i="18" s="1"/>
  <c r="J258" i="18"/>
  <c r="K258" i="18" s="1"/>
  <c r="L258" i="18" s="1"/>
  <c r="J256" i="18"/>
  <c r="K256" i="18" s="1"/>
  <c r="L256" i="18" s="1"/>
  <c r="J246" i="18"/>
  <c r="K246" i="18" s="1"/>
  <c r="L246" i="18" s="1"/>
  <c r="J227" i="18"/>
  <c r="K227" i="18" s="1"/>
  <c r="L227" i="18" s="1"/>
  <c r="J130" i="18"/>
  <c r="K130" i="18" s="1"/>
  <c r="L130" i="18" s="1"/>
  <c r="J1241" i="18"/>
  <c r="K1241" i="18" s="1"/>
  <c r="L1241" i="18" s="1"/>
  <c r="J287" i="18"/>
  <c r="K287" i="18" s="1"/>
  <c r="L287" i="18" s="1"/>
  <c r="J284" i="18"/>
  <c r="K284" i="18" s="1"/>
  <c r="L284" i="18" s="1"/>
  <c r="J237" i="18"/>
  <c r="K237" i="18" s="1"/>
  <c r="L237" i="18" s="1"/>
  <c r="J220" i="18"/>
  <c r="K220" i="18" s="1"/>
  <c r="L220" i="18" s="1"/>
  <c r="J194" i="18"/>
  <c r="K194" i="18" s="1"/>
  <c r="L194" i="18" s="1"/>
  <c r="J124" i="18"/>
  <c r="K124" i="18" s="1"/>
  <c r="L124" i="18" s="1"/>
  <c r="J68" i="18"/>
  <c r="K68" i="18" s="1"/>
  <c r="L68" i="18" s="1"/>
  <c r="J59" i="18"/>
  <c r="K59" i="18" s="1"/>
  <c r="L59" i="18" s="1"/>
  <c r="J262" i="18"/>
  <c r="K262" i="18" s="1"/>
  <c r="L262" i="18" s="1"/>
  <c r="J249" i="18"/>
  <c r="K249" i="18" s="1"/>
  <c r="L249" i="18" s="1"/>
  <c r="J37" i="18"/>
  <c r="K37" i="18" s="1"/>
  <c r="L37" i="18" s="1"/>
  <c r="J1444" i="18"/>
  <c r="K1444" i="18" s="1"/>
  <c r="L1444" i="18" s="1"/>
  <c r="J1237" i="18"/>
  <c r="K1237" i="18" s="1"/>
  <c r="L1237" i="18" s="1"/>
  <c r="J1434" i="18"/>
  <c r="K1434" i="18" s="1"/>
  <c r="L1434" i="18" s="1"/>
  <c r="J1165" i="18"/>
  <c r="K1165" i="18" s="1"/>
  <c r="L1165" i="18" s="1"/>
  <c r="J322" i="18"/>
  <c r="K322" i="18" s="1"/>
  <c r="L322" i="18" s="1"/>
  <c r="J417" i="18"/>
  <c r="K417" i="18" s="1"/>
  <c r="L417" i="18" s="1"/>
  <c r="J1060" i="18"/>
  <c r="K1060" i="18" s="1"/>
  <c r="L1060" i="18" s="1"/>
  <c r="J485" i="18"/>
  <c r="K485" i="18" s="1"/>
  <c r="L485" i="18" s="1"/>
  <c r="J435" i="18"/>
  <c r="K435" i="18" s="1"/>
  <c r="L435" i="18" s="1"/>
  <c r="J1280" i="18"/>
  <c r="K1280" i="18" s="1"/>
  <c r="L1280" i="18" s="1"/>
  <c r="J1332" i="18"/>
  <c r="K1332" i="18" s="1"/>
  <c r="L1332" i="18" s="1"/>
  <c r="J1195" i="18"/>
  <c r="K1195" i="18" s="1"/>
  <c r="L1195" i="18" s="1"/>
  <c r="J359" i="18"/>
  <c r="K359" i="18" s="1"/>
  <c r="L359" i="18" s="1"/>
  <c r="J1315" i="18"/>
  <c r="K1315" i="18" s="1"/>
  <c r="L1315" i="18" s="1"/>
  <c r="J1277" i="18"/>
  <c r="K1277" i="18" s="1"/>
  <c r="L1277" i="18" s="1"/>
  <c r="J1265" i="18"/>
  <c r="K1265" i="18" s="1"/>
  <c r="L1265" i="18" s="1"/>
  <c r="J1193" i="18"/>
  <c r="K1193" i="18" s="1"/>
  <c r="L1193" i="18" s="1"/>
  <c r="J1181" i="18"/>
  <c r="K1181" i="18" s="1"/>
  <c r="L1181" i="18" s="1"/>
  <c r="J123" i="18"/>
  <c r="K123" i="18" s="1"/>
  <c r="L123" i="18" s="1"/>
  <c r="J501" i="18"/>
  <c r="K501" i="18" s="1"/>
  <c r="L501" i="18" s="1"/>
  <c r="J308" i="18"/>
  <c r="K308" i="18" s="1"/>
  <c r="L308" i="18" s="1"/>
  <c r="J192" i="18"/>
  <c r="K192" i="18" s="1"/>
  <c r="L192" i="18" s="1"/>
  <c r="J184" i="18"/>
  <c r="K184" i="18" s="1"/>
  <c r="L184" i="18" s="1"/>
  <c r="J154" i="18"/>
  <c r="K154" i="18" s="1"/>
  <c r="L154" i="18" s="1"/>
  <c r="J1457" i="18"/>
  <c r="K1457" i="18" s="1"/>
  <c r="L1457" i="18" s="1"/>
  <c r="J1440" i="18"/>
  <c r="K1440" i="18" s="1"/>
  <c r="L1440" i="18" s="1"/>
  <c r="J1436" i="18"/>
  <c r="K1436" i="18" s="1"/>
  <c r="L1436" i="18" s="1"/>
  <c r="J1226" i="18"/>
  <c r="K1226" i="18" s="1"/>
  <c r="L1226" i="18" s="1"/>
  <c r="J1216" i="18"/>
  <c r="K1216" i="18" s="1"/>
  <c r="L1216" i="18" s="1"/>
  <c r="J1185" i="18"/>
  <c r="K1185" i="18" s="1"/>
  <c r="L1185" i="18" s="1"/>
  <c r="J1191" i="18"/>
  <c r="K1191" i="18" s="1"/>
  <c r="L1191" i="18" s="1"/>
  <c r="J1172" i="18"/>
  <c r="K1172" i="18" s="1"/>
  <c r="L1172" i="18" s="1"/>
  <c r="J504" i="18"/>
  <c r="K504" i="18" s="1"/>
  <c r="L504" i="18" s="1"/>
  <c r="J378" i="18"/>
  <c r="K378" i="18" s="1"/>
  <c r="L378" i="18" s="1"/>
  <c r="J188" i="18"/>
  <c r="K188" i="18" s="1"/>
  <c r="L188" i="18" s="1"/>
  <c r="J171" i="18"/>
  <c r="K171" i="18" s="1"/>
  <c r="L171" i="18" s="1"/>
  <c r="J164" i="18"/>
  <c r="K164" i="18" s="1"/>
  <c r="L164" i="18" s="1"/>
  <c r="J1266" i="18"/>
  <c r="K1266" i="18" s="1"/>
  <c r="L1266" i="18" s="1"/>
  <c r="J1186" i="18"/>
  <c r="K1186" i="18" s="1"/>
  <c r="L1186" i="18" s="1"/>
  <c r="J414" i="18"/>
  <c r="K414" i="18" s="1"/>
  <c r="L414" i="18" s="1"/>
  <c r="J408" i="18"/>
  <c r="K408" i="18" s="1"/>
  <c r="L408" i="18" s="1"/>
  <c r="J369" i="18"/>
  <c r="K369" i="18" s="1"/>
  <c r="L369" i="18" s="1"/>
  <c r="J30" i="18"/>
  <c r="K30" i="18" s="1"/>
  <c r="L30" i="18" s="1"/>
  <c r="J1453" i="18"/>
  <c r="K1453" i="18" s="1"/>
  <c r="L1453" i="18" s="1"/>
  <c r="J1019" i="18"/>
  <c r="K1019" i="18" s="1"/>
  <c r="L1019" i="18" s="1"/>
  <c r="J1075" i="18"/>
  <c r="K1075" i="18" s="1"/>
  <c r="L1075" i="18" s="1"/>
  <c r="J682" i="18"/>
  <c r="K682" i="18" s="1"/>
  <c r="L682" i="18" s="1"/>
  <c r="J693" i="18"/>
  <c r="K693" i="18" s="1"/>
  <c r="L693" i="18" s="1"/>
  <c r="J469" i="18"/>
  <c r="K469" i="18" s="1"/>
  <c r="L469" i="18" s="1"/>
  <c r="J463" i="18"/>
  <c r="K463" i="18" s="1"/>
  <c r="L463" i="18" s="1"/>
  <c r="J379" i="18"/>
  <c r="K379" i="18" s="1"/>
  <c r="L379" i="18" s="1"/>
  <c r="J49" i="18"/>
  <c r="K49" i="18" s="1"/>
  <c r="L49" i="18" s="1"/>
  <c r="J1501" i="18"/>
  <c r="K1501" i="18" s="1"/>
  <c r="L1501" i="18" s="1"/>
  <c r="J1459" i="18"/>
  <c r="K1459" i="18" s="1"/>
  <c r="L1459" i="18" s="1"/>
  <c r="J1341" i="18"/>
  <c r="K1341" i="18" s="1"/>
  <c r="L1341" i="18" s="1"/>
  <c r="J1291" i="18"/>
  <c r="K1291" i="18" s="1"/>
  <c r="L1291" i="18" s="1"/>
  <c r="J471" i="18"/>
  <c r="K471" i="18" s="1"/>
  <c r="L471" i="18" s="1"/>
  <c r="J97" i="18"/>
  <c r="K97" i="18" s="1"/>
  <c r="L97" i="18" s="1"/>
  <c r="J1502" i="18"/>
  <c r="K1502" i="18" s="1"/>
  <c r="L1502" i="18" s="1"/>
  <c r="J1464" i="18"/>
  <c r="K1464" i="18" s="1"/>
  <c r="L1464" i="18" s="1"/>
  <c r="J1211" i="18"/>
  <c r="K1211" i="18" s="1"/>
  <c r="L1211" i="18" s="1"/>
  <c r="J1202" i="18"/>
  <c r="K1202" i="18" s="1"/>
  <c r="L1202" i="18" s="1"/>
  <c r="J468" i="18"/>
  <c r="K468" i="18" s="1"/>
  <c r="L468" i="18" s="1"/>
  <c r="J1300" i="18"/>
  <c r="K1300" i="18" s="1"/>
  <c r="L1300" i="18" s="1"/>
  <c r="J298" i="18"/>
  <c r="K298" i="18" s="1"/>
  <c r="L298" i="18" s="1"/>
  <c r="J1208" i="18"/>
  <c r="K1208" i="18" s="1"/>
  <c r="L1208" i="18" s="1"/>
  <c r="J512" i="18"/>
  <c r="K512" i="18" s="1"/>
  <c r="L512" i="18" s="1"/>
  <c r="J329" i="18"/>
  <c r="K329" i="18" s="1"/>
  <c r="L329" i="18" s="1"/>
  <c r="J326" i="18"/>
  <c r="K326" i="18" s="1"/>
  <c r="L326" i="18" s="1"/>
  <c r="J257" i="18"/>
  <c r="K257" i="18" s="1"/>
  <c r="L257" i="18" s="1"/>
  <c r="J189" i="18"/>
  <c r="K189" i="18" s="1"/>
  <c r="L189" i="18" s="1"/>
  <c r="J183" i="18"/>
  <c r="K183" i="18" s="1"/>
  <c r="L183" i="18" s="1"/>
  <c r="J180" i="18"/>
  <c r="K180" i="18" s="1"/>
  <c r="L180" i="18" s="1"/>
  <c r="J23" i="18"/>
  <c r="K23" i="18" s="1"/>
  <c r="L23" i="18" s="1"/>
  <c r="J1491" i="18"/>
  <c r="K1491" i="18" s="1"/>
  <c r="L1491" i="18" s="1"/>
  <c r="J1207" i="18"/>
  <c r="K1207" i="18" s="1"/>
  <c r="L1207" i="18" s="1"/>
  <c r="J502" i="18"/>
  <c r="K502" i="18" s="1"/>
  <c r="L502" i="18" s="1"/>
  <c r="J432" i="18"/>
  <c r="K432" i="18" s="1"/>
  <c r="L432" i="18" s="1"/>
  <c r="J381" i="18"/>
  <c r="K381" i="18" s="1"/>
  <c r="L381" i="18" s="1"/>
  <c r="J355" i="18"/>
  <c r="K355" i="18" s="1"/>
  <c r="L355" i="18" s="1"/>
  <c r="J190" i="18"/>
  <c r="K190" i="18" s="1"/>
  <c r="L190" i="18" s="1"/>
  <c r="J186" i="18"/>
  <c r="K186" i="18" s="1"/>
  <c r="L186" i="18" s="1"/>
  <c r="J78" i="18"/>
  <c r="K78" i="18" s="1"/>
  <c r="L78" i="18" s="1"/>
  <c r="J1460" i="18"/>
  <c r="K1460" i="18" s="1"/>
  <c r="L1460" i="18" s="1"/>
  <c r="J1438" i="18"/>
  <c r="K1438" i="18" s="1"/>
  <c r="L1438" i="18" s="1"/>
  <c r="J470" i="18"/>
  <c r="K470" i="18" s="1"/>
  <c r="L470" i="18" s="1"/>
  <c r="J349" i="18"/>
  <c r="K349" i="18" s="1"/>
  <c r="L349" i="18" s="1"/>
  <c r="J28" i="18"/>
  <c r="K28" i="18" s="1"/>
  <c r="L28" i="18" s="1"/>
  <c r="J1439" i="18"/>
  <c r="K1439" i="18" s="1"/>
  <c r="L1439" i="18" s="1"/>
  <c r="J1156" i="18"/>
  <c r="K1156" i="18" s="1"/>
  <c r="L1156" i="18" s="1"/>
  <c r="J352" i="18"/>
  <c r="K352" i="18" s="1"/>
  <c r="L352" i="18" s="1"/>
  <c r="J319" i="18"/>
  <c r="K319" i="18" s="1"/>
  <c r="L319" i="18" s="1"/>
  <c r="J1233" i="18"/>
  <c r="K1233" i="18" s="1"/>
  <c r="L1233" i="18" s="1"/>
  <c r="J1231" i="18"/>
  <c r="K1231" i="18" s="1"/>
  <c r="L1231" i="18" s="1"/>
  <c r="J388" i="18"/>
  <c r="K388" i="18" s="1"/>
  <c r="L388" i="18" s="1"/>
  <c r="J1386" i="18"/>
  <c r="K1386" i="18" s="1"/>
  <c r="L1386" i="18" s="1"/>
  <c r="J1326" i="18"/>
  <c r="K1326" i="18" s="1"/>
  <c r="L1326" i="18" s="1"/>
  <c r="J1205" i="18"/>
  <c r="K1205" i="18" s="1"/>
  <c r="L1205" i="18" s="1"/>
  <c r="J1153" i="18"/>
  <c r="K1153" i="18" s="1"/>
  <c r="L1153" i="18" s="1"/>
  <c r="J365" i="18"/>
  <c r="K365" i="18" s="1"/>
  <c r="L365" i="18" s="1"/>
  <c r="J307" i="18"/>
  <c r="K307" i="18" s="1"/>
  <c r="L307" i="18" s="1"/>
  <c r="J1486" i="18"/>
  <c r="K1486" i="18" s="1"/>
  <c r="L1486" i="18" s="1"/>
  <c r="J1325" i="18"/>
  <c r="K1325" i="18" s="1"/>
  <c r="L1325" i="18" s="1"/>
  <c r="J1255" i="18"/>
  <c r="K1255" i="18" s="1"/>
  <c r="L1255" i="18" s="1"/>
  <c r="J529" i="18"/>
  <c r="K529" i="18" s="1"/>
  <c r="L529" i="18" s="1"/>
  <c r="J1472" i="18"/>
  <c r="K1472" i="18" s="1"/>
  <c r="L1472" i="18" s="1"/>
  <c r="J1461" i="18"/>
  <c r="K1461" i="18" s="1"/>
  <c r="L1461" i="18" s="1"/>
  <c r="J1470" i="18"/>
  <c r="K1470" i="18" s="1"/>
  <c r="L1470" i="18" s="1"/>
  <c r="J1462" i="18"/>
  <c r="K1462" i="18" s="1"/>
  <c r="L1462" i="18" s="1"/>
  <c r="J1301" i="18"/>
  <c r="K1301" i="18" s="1"/>
  <c r="L1301" i="18" s="1"/>
  <c r="J1290" i="18"/>
  <c r="K1290" i="18" s="1"/>
  <c r="L1290" i="18" s="1"/>
  <c r="J1206" i="18"/>
  <c r="K1206" i="18" s="1"/>
  <c r="L1206" i="18" s="1"/>
  <c r="J12" i="18"/>
  <c r="K12" i="18" s="1"/>
  <c r="L12" i="18" s="1"/>
  <c r="J456" i="18"/>
  <c r="K456" i="18" s="1"/>
  <c r="L456" i="18" s="1"/>
  <c r="J316" i="18"/>
  <c r="K316" i="18" s="1"/>
  <c r="L316" i="18" s="1"/>
  <c r="J312" i="18"/>
  <c r="K312" i="18" s="1"/>
  <c r="L312" i="18" s="1"/>
  <c r="J722" i="18"/>
  <c r="K722" i="18" s="1"/>
  <c r="L722" i="18" s="1"/>
  <c r="J1272" i="18"/>
  <c r="K1272" i="18" s="1"/>
  <c r="L1272" i="18" s="1"/>
  <c r="J871" i="18"/>
  <c r="K871" i="18" s="1"/>
  <c r="L871" i="18" s="1"/>
  <c r="J1222" i="18"/>
  <c r="K1222" i="18" s="1"/>
  <c r="L1222" i="18" s="1"/>
  <c r="J513" i="18"/>
  <c r="K513" i="18" s="1"/>
  <c r="L513" i="18" s="1"/>
  <c r="J446" i="18"/>
  <c r="K446" i="18" s="1"/>
  <c r="L446" i="18" s="1"/>
  <c r="J406" i="18"/>
  <c r="K406" i="18" s="1"/>
  <c r="L406" i="18" s="1"/>
  <c r="J389" i="18"/>
  <c r="K389" i="18" s="1"/>
  <c r="L389" i="18" s="1"/>
  <c r="J19" i="18"/>
  <c r="K19" i="18" s="1"/>
  <c r="L19" i="18" s="1"/>
  <c r="J532" i="18"/>
  <c r="K532" i="18" s="1"/>
  <c r="L532" i="18" s="1"/>
  <c r="J1192" i="18"/>
  <c r="K1192" i="18" s="1"/>
  <c r="L1192" i="18" s="1"/>
  <c r="J500" i="18"/>
  <c r="K500" i="18" s="1"/>
  <c r="L500" i="18" s="1"/>
  <c r="J441" i="18"/>
  <c r="K441" i="18" s="1"/>
  <c r="L441" i="18" s="1"/>
  <c r="J429" i="18"/>
  <c r="K429" i="18" s="1"/>
  <c r="L429" i="18" s="1"/>
  <c r="J424" i="18"/>
  <c r="K424" i="18" s="1"/>
  <c r="L424" i="18" s="1"/>
  <c r="J1257" i="18"/>
  <c r="K1257" i="18" s="1"/>
  <c r="L1257" i="18" s="1"/>
  <c r="J1239" i="18"/>
  <c r="K1239" i="18" s="1"/>
  <c r="L1239" i="18" s="1"/>
  <c r="J1220" i="18"/>
  <c r="K1220" i="18" s="1"/>
  <c r="L1220" i="18" s="1"/>
  <c r="J492" i="18"/>
  <c r="K492" i="18" s="1"/>
  <c r="L492" i="18" s="1"/>
  <c r="J431" i="18"/>
  <c r="K431" i="18" s="1"/>
  <c r="L431" i="18" s="1"/>
  <c r="J397" i="18"/>
  <c r="K397" i="18" s="1"/>
  <c r="L397" i="18" s="1"/>
  <c r="J372" i="18"/>
  <c r="K372" i="18" s="1"/>
  <c r="L372" i="18" s="1"/>
  <c r="J181" i="18"/>
  <c r="K181" i="18" s="1"/>
  <c r="L181" i="18" s="1"/>
  <c r="J178" i="18"/>
  <c r="K178" i="18" s="1"/>
  <c r="L178" i="18" s="1"/>
  <c r="J153" i="18"/>
  <c r="K153" i="18" s="1"/>
  <c r="L153" i="18" s="1"/>
  <c r="J537" i="18"/>
  <c r="K537" i="18" s="1"/>
  <c r="L537" i="18" s="1"/>
  <c r="J540" i="18"/>
  <c r="K540" i="18" s="1"/>
  <c r="L540" i="18" s="1"/>
  <c r="J850" i="18"/>
  <c r="K850" i="18" s="1"/>
  <c r="L850" i="18" s="1"/>
  <c r="J851" i="18"/>
  <c r="K851" i="18" s="1"/>
  <c r="L851" i="18" s="1"/>
  <c r="J852" i="18"/>
  <c r="K852" i="18" s="1"/>
  <c r="L852" i="18" s="1"/>
  <c r="J858" i="18"/>
  <c r="K858" i="18" s="1"/>
  <c r="L858" i="18" s="1"/>
  <c r="J861" i="18"/>
  <c r="K861" i="18" s="1"/>
  <c r="L861" i="18" s="1"/>
  <c r="J865" i="18"/>
  <c r="K865" i="18" s="1"/>
  <c r="L865" i="18" s="1"/>
  <c r="J1274" i="18"/>
  <c r="K1274" i="18" s="1"/>
  <c r="L1274" i="18" s="1"/>
  <c r="J1026" i="18"/>
  <c r="K1026" i="18" s="1"/>
  <c r="L1026" i="18" s="1"/>
  <c r="J1113" i="18"/>
  <c r="K1113" i="18" s="1"/>
  <c r="L1113" i="18" s="1"/>
  <c r="J1032" i="18"/>
  <c r="K1032" i="18" s="1"/>
  <c r="L1032" i="18" s="1"/>
  <c r="J1033" i="18"/>
  <c r="K1033" i="18" s="1"/>
  <c r="L1033" i="18" s="1"/>
  <c r="J1040" i="18"/>
  <c r="K1040" i="18" s="1"/>
  <c r="L1040" i="18" s="1"/>
  <c r="J1099" i="18"/>
  <c r="K1099" i="18" s="1"/>
  <c r="L1099" i="18" s="1"/>
  <c r="J1059" i="18"/>
  <c r="K1059" i="18" s="1"/>
  <c r="L1059" i="18" s="1"/>
  <c r="J1065" i="18"/>
  <c r="K1065" i="18" s="1"/>
  <c r="L1065" i="18" s="1"/>
  <c r="J664" i="18"/>
  <c r="K664" i="18" s="1"/>
  <c r="L664" i="18" s="1"/>
  <c r="J737" i="18"/>
  <c r="K737" i="18" s="1"/>
  <c r="L737" i="18" s="1"/>
  <c r="J638" i="18"/>
  <c r="K638" i="18" s="1"/>
  <c r="L638" i="18" s="1"/>
  <c r="J680" i="18"/>
  <c r="K680" i="18" s="1"/>
  <c r="L680" i="18" s="1"/>
  <c r="J731" i="18"/>
  <c r="K731" i="18" s="1"/>
  <c r="L731" i="18" s="1"/>
  <c r="J716" i="18"/>
  <c r="K716" i="18" s="1"/>
  <c r="L716" i="18" s="1"/>
  <c r="J692" i="18"/>
  <c r="K692" i="18" s="1"/>
  <c r="L692" i="18" s="1"/>
  <c r="J694" i="18"/>
  <c r="K694" i="18" s="1"/>
  <c r="L694" i="18" s="1"/>
  <c r="J439" i="18"/>
  <c r="K439" i="18" s="1"/>
  <c r="L439" i="18" s="1"/>
  <c r="J376" i="18"/>
  <c r="K376" i="18" s="1"/>
  <c r="L376" i="18" s="1"/>
  <c r="J177" i="18"/>
  <c r="K177" i="18" s="1"/>
  <c r="L177" i="18" s="1"/>
  <c r="J162" i="18"/>
  <c r="K162" i="18" s="1"/>
  <c r="L162" i="18" s="1"/>
  <c r="J152" i="18"/>
  <c r="K152" i="18" s="1"/>
  <c r="L152" i="18" s="1"/>
  <c r="J127" i="18"/>
  <c r="K127" i="18" s="1"/>
  <c r="L127" i="18" s="1"/>
  <c r="J111" i="18"/>
  <c r="K111" i="18" s="1"/>
  <c r="L111" i="18" s="1"/>
  <c r="J1270" i="18"/>
  <c r="K1270" i="18" s="1"/>
  <c r="L1270" i="18" s="1"/>
  <c r="J473" i="18"/>
  <c r="K473" i="18" s="1"/>
  <c r="L473" i="18" s="1"/>
  <c r="J392" i="18"/>
  <c r="K392" i="18" s="1"/>
  <c r="L392" i="18" s="1"/>
  <c r="J380" i="18"/>
  <c r="K380" i="18" s="1"/>
  <c r="L380" i="18" s="1"/>
  <c r="J353" i="18"/>
  <c r="K353" i="18" s="1"/>
  <c r="L353" i="18" s="1"/>
  <c r="J323" i="18"/>
  <c r="K323" i="18" s="1"/>
  <c r="L323" i="18" s="1"/>
  <c r="J121" i="18"/>
  <c r="K121" i="18" s="1"/>
  <c r="L121" i="18" s="1"/>
  <c r="J526" i="18"/>
  <c r="K526" i="18" s="1"/>
  <c r="L526" i="18" s="1"/>
  <c r="J1471" i="18"/>
  <c r="K1471" i="18" s="1"/>
  <c r="L1471" i="18" s="1"/>
  <c r="J1230" i="18"/>
  <c r="K1230" i="18" s="1"/>
  <c r="L1230" i="18" s="1"/>
  <c r="J115" i="18"/>
  <c r="K115" i="18" s="1"/>
  <c r="L115" i="18" s="1"/>
  <c r="J1378" i="18"/>
  <c r="K1378" i="18" s="1"/>
  <c r="L1378" i="18" s="1"/>
  <c r="J1372" i="18"/>
  <c r="K1372" i="18" s="1"/>
  <c r="L1372" i="18" s="1"/>
  <c r="J1276" i="18"/>
  <c r="K1276" i="18" s="1"/>
  <c r="L1276" i="18" s="1"/>
  <c r="J1451" i="18"/>
  <c r="K1451" i="18" s="1"/>
  <c r="L1451" i="18" s="1"/>
  <c r="J321" i="18"/>
  <c r="K321" i="18" s="1"/>
  <c r="L321" i="18" s="1"/>
  <c r="J1490" i="18"/>
  <c r="K1490" i="18" s="1"/>
  <c r="L1490" i="18" s="1"/>
  <c r="J1482" i="18"/>
  <c r="K1482" i="18" s="1"/>
  <c r="L1482" i="18" s="1"/>
  <c r="J872" i="18"/>
  <c r="K872" i="18" s="1"/>
  <c r="L872" i="18" s="1"/>
  <c r="J442" i="18"/>
  <c r="K442" i="18" s="1"/>
  <c r="L442" i="18" s="1"/>
  <c r="J404" i="18"/>
  <c r="K404" i="18" s="1"/>
  <c r="L404" i="18" s="1"/>
  <c r="J135" i="18"/>
  <c r="K135" i="18" s="1"/>
  <c r="L135" i="18" s="1"/>
  <c r="J51" i="18"/>
  <c r="K51" i="18" s="1"/>
  <c r="L51" i="18" s="1"/>
  <c r="J539" i="18"/>
  <c r="K539" i="18" s="1"/>
  <c r="L539" i="18" s="1"/>
  <c r="J1474" i="18"/>
  <c r="K1474" i="18" s="1"/>
  <c r="L1474" i="18" s="1"/>
  <c r="J1345" i="18"/>
  <c r="K1345" i="18" s="1"/>
  <c r="L1345" i="18" s="1"/>
  <c r="J1296" i="18"/>
  <c r="K1296" i="18" s="1"/>
  <c r="L1296" i="18" s="1"/>
  <c r="J515" i="18"/>
  <c r="K515" i="18" s="1"/>
  <c r="L515" i="18" s="1"/>
  <c r="J484" i="18"/>
  <c r="K484" i="18" s="1"/>
  <c r="L484" i="18" s="1"/>
  <c r="J481" i="18"/>
  <c r="K481" i="18" s="1"/>
  <c r="L481" i="18" s="1"/>
  <c r="J475" i="18"/>
  <c r="K475" i="18" s="1"/>
  <c r="L475" i="18" s="1"/>
  <c r="J458" i="18"/>
  <c r="K458" i="18" s="1"/>
  <c r="L458" i="18" s="1"/>
  <c r="J339" i="18"/>
  <c r="K339" i="18" s="1"/>
  <c r="L339" i="18" s="1"/>
  <c r="J139" i="18"/>
  <c r="K139" i="18" s="1"/>
  <c r="L139" i="18" s="1"/>
  <c r="J96" i="18"/>
  <c r="K96" i="18" s="1"/>
  <c r="L96" i="18" s="1"/>
  <c r="J35" i="18"/>
  <c r="K35" i="18" s="1"/>
  <c r="L35" i="18" s="1"/>
  <c r="J519" i="18"/>
  <c r="K519" i="18" s="1"/>
  <c r="L519" i="18" s="1"/>
  <c r="J1351" i="18"/>
  <c r="K1351" i="18" s="1"/>
  <c r="L1351" i="18" s="1"/>
  <c r="J1295" i="18"/>
  <c r="K1295" i="18" s="1"/>
  <c r="L1295" i="18" s="1"/>
  <c r="J1235" i="18"/>
  <c r="K1235" i="18" s="1"/>
  <c r="L1235" i="18" s="1"/>
  <c r="J1012" i="18"/>
  <c r="K1012" i="18" s="1"/>
  <c r="L1012" i="18" s="1"/>
  <c r="J1128" i="18"/>
  <c r="K1128" i="18" s="1"/>
  <c r="L1128" i="18" s="1"/>
  <c r="J1023" i="18"/>
  <c r="K1023" i="18" s="1"/>
  <c r="L1023" i="18" s="1"/>
  <c r="J1034" i="18"/>
  <c r="K1034" i="18" s="1"/>
  <c r="L1034" i="18" s="1"/>
  <c r="J1039" i="18"/>
  <c r="K1039" i="18" s="1"/>
  <c r="L1039" i="18" s="1"/>
  <c r="J1053" i="18"/>
  <c r="K1053" i="18" s="1"/>
  <c r="L1053" i="18" s="1"/>
  <c r="J855" i="18"/>
  <c r="K855" i="18" s="1"/>
  <c r="L855" i="18" s="1"/>
  <c r="J870" i="18"/>
  <c r="K870" i="18" s="1"/>
  <c r="L870" i="18" s="1"/>
  <c r="J1201" i="18"/>
  <c r="K1201" i="18" s="1"/>
  <c r="L1201" i="18" s="1"/>
  <c r="J1494" i="18"/>
  <c r="K1494" i="18" s="1"/>
  <c r="L1494" i="18" s="1"/>
  <c r="J530" i="18"/>
  <c r="K530" i="18" s="1"/>
  <c r="L530" i="18" s="1"/>
  <c r="J459" i="18"/>
  <c r="K459" i="18" s="1"/>
  <c r="L459" i="18" s="1"/>
  <c r="J522" i="18"/>
  <c r="K522" i="18" s="1"/>
  <c r="L522" i="18" s="1"/>
  <c r="J541" i="18"/>
  <c r="K541" i="18" s="1"/>
  <c r="L541" i="18" s="1"/>
  <c r="J1339" i="18"/>
  <c r="K1339" i="18" s="1"/>
  <c r="L1339" i="18" s="1"/>
  <c r="J1273" i="18"/>
  <c r="K1273" i="18" s="1"/>
  <c r="L1273" i="18" s="1"/>
  <c r="J1271" i="18"/>
  <c r="K1271" i="18" s="1"/>
  <c r="L1271" i="18" s="1"/>
  <c r="J309" i="18"/>
  <c r="K309" i="18" s="1"/>
  <c r="L309" i="18" s="1"/>
  <c r="J1452" i="18"/>
  <c r="K1452" i="18" s="1"/>
  <c r="L1452" i="18" s="1"/>
  <c r="J531" i="18"/>
  <c r="K531" i="18" s="1"/>
  <c r="L531" i="18" s="1"/>
  <c r="J483" i="18"/>
  <c r="K483" i="18" s="1"/>
  <c r="L483" i="18" s="1"/>
  <c r="J487" i="18"/>
  <c r="K487" i="18" s="1"/>
  <c r="L487" i="18" s="1"/>
  <c r="J66" i="18"/>
  <c r="K66" i="18" s="1"/>
  <c r="L66" i="18" s="1"/>
  <c r="J683" i="18"/>
  <c r="K683" i="18" s="1"/>
  <c r="L683" i="18" s="1"/>
  <c r="J533" i="18"/>
  <c r="K533" i="18" s="1"/>
  <c r="L533" i="18" s="1"/>
  <c r="J1285" i="18"/>
  <c r="K1285" i="18" s="1"/>
  <c r="L1285" i="18" s="1"/>
  <c r="J1261" i="18"/>
  <c r="K1261" i="18" s="1"/>
  <c r="L1261" i="18" s="1"/>
  <c r="J1240" i="18"/>
  <c r="K1240" i="18" s="1"/>
  <c r="L1240" i="18" s="1"/>
  <c r="J793" i="18"/>
  <c r="K793" i="18" s="1"/>
  <c r="L793" i="18" s="1"/>
  <c r="J796" i="18"/>
  <c r="K796" i="18" s="1"/>
  <c r="L796" i="18" s="1"/>
  <c r="J798" i="18"/>
  <c r="K798" i="18" s="1"/>
  <c r="L798" i="18" s="1"/>
  <c r="J800" i="18"/>
  <c r="K800" i="18" s="1"/>
  <c r="L800" i="18" s="1"/>
  <c r="J802" i="18"/>
  <c r="K802" i="18" s="1"/>
  <c r="L802" i="18" s="1"/>
  <c r="J804" i="18"/>
  <c r="K804" i="18" s="1"/>
  <c r="L804" i="18" s="1"/>
  <c r="J805" i="18"/>
  <c r="K805" i="18" s="1"/>
  <c r="L805" i="18" s="1"/>
  <c r="J811" i="18"/>
  <c r="K811" i="18" s="1"/>
  <c r="L811" i="18" s="1"/>
  <c r="J812" i="18"/>
  <c r="K812" i="18" s="1"/>
  <c r="L812" i="18" s="1"/>
  <c r="J813" i="18"/>
  <c r="K813" i="18" s="1"/>
  <c r="L813" i="18" s="1"/>
  <c r="J815" i="18"/>
  <c r="K815" i="18" s="1"/>
  <c r="L815" i="18" s="1"/>
  <c r="J816" i="18"/>
  <c r="K816" i="18" s="1"/>
  <c r="L816" i="18" s="1"/>
  <c r="J819" i="18"/>
  <c r="K819" i="18" s="1"/>
  <c r="L819" i="18" s="1"/>
  <c r="J820" i="18"/>
  <c r="K820" i="18" s="1"/>
  <c r="L820" i="18" s="1"/>
  <c r="J821" i="18"/>
  <c r="K821" i="18" s="1"/>
  <c r="L821" i="18" s="1"/>
  <c r="J822" i="18"/>
  <c r="K822" i="18" s="1"/>
  <c r="L822" i="18" s="1"/>
  <c r="J823" i="18"/>
  <c r="K823" i="18" s="1"/>
  <c r="L823" i="18" s="1"/>
  <c r="J824" i="18"/>
  <c r="K824" i="18" s="1"/>
  <c r="L824" i="18" s="1"/>
  <c r="J825" i="18"/>
  <c r="K825" i="18" s="1"/>
  <c r="L825" i="18" s="1"/>
  <c r="J826" i="18"/>
  <c r="K826" i="18" s="1"/>
  <c r="L826" i="18" s="1"/>
  <c r="J829" i="18"/>
  <c r="K829" i="18" s="1"/>
  <c r="L829" i="18" s="1"/>
  <c r="J830" i="18"/>
  <c r="K830" i="18" s="1"/>
  <c r="L830" i="18" s="1"/>
  <c r="J832" i="18"/>
  <c r="K832" i="18" s="1"/>
  <c r="L832" i="18" s="1"/>
  <c r="J834" i="18"/>
  <c r="K834" i="18" s="1"/>
  <c r="L834" i="18" s="1"/>
  <c r="J835" i="18"/>
  <c r="K835" i="18" s="1"/>
  <c r="L835" i="18" s="1"/>
  <c r="J836" i="18"/>
  <c r="K836" i="18" s="1"/>
  <c r="L836" i="18" s="1"/>
  <c r="J837" i="18"/>
  <c r="K837" i="18" s="1"/>
  <c r="L837" i="18" s="1"/>
  <c r="J838" i="18"/>
  <c r="K838" i="18" s="1"/>
  <c r="L838" i="18" s="1"/>
  <c r="J840" i="18"/>
  <c r="K840" i="18" s="1"/>
  <c r="L840" i="18" s="1"/>
  <c r="J841" i="18"/>
  <c r="K841" i="18" s="1"/>
  <c r="L841" i="18" s="1"/>
  <c r="J842" i="18"/>
  <c r="K842" i="18" s="1"/>
  <c r="L842" i="18" s="1"/>
  <c r="J845" i="18"/>
  <c r="K845" i="18" s="1"/>
  <c r="L845" i="18" s="1"/>
  <c r="J846" i="18"/>
  <c r="K846" i="18" s="1"/>
  <c r="L846" i="18" s="1"/>
  <c r="J1293" i="18"/>
  <c r="K1293" i="18" s="1"/>
  <c r="L1293" i="18" s="1"/>
  <c r="J863" i="18"/>
  <c r="K863" i="18" s="1"/>
  <c r="L863" i="18" s="1"/>
  <c r="J1069" i="18"/>
  <c r="K1069" i="18" s="1"/>
  <c r="L1069" i="18" s="1"/>
  <c r="J15" i="18"/>
  <c r="K15" i="18" s="1"/>
  <c r="L15" i="18" s="1"/>
  <c r="J410" i="18"/>
  <c r="K410" i="18" s="1"/>
  <c r="L410" i="18" s="1"/>
  <c r="J366" i="18"/>
  <c r="K366" i="18" s="1"/>
  <c r="L366" i="18" s="1"/>
  <c r="J17" i="18"/>
  <c r="K17" i="18" s="1"/>
  <c r="L17" i="18" s="1"/>
  <c r="J1475" i="18"/>
  <c r="K1475" i="18" s="1"/>
  <c r="L1475" i="18" s="1"/>
  <c r="J1458" i="18"/>
  <c r="K1458" i="18" s="1"/>
  <c r="L1458" i="18" s="1"/>
  <c r="J848" i="18"/>
  <c r="K848" i="18" s="1"/>
  <c r="L848" i="18" s="1"/>
  <c r="J499" i="18"/>
  <c r="K499" i="18" s="1"/>
  <c r="L499" i="18" s="1"/>
  <c r="J474" i="18"/>
  <c r="K474" i="18" s="1"/>
  <c r="L474" i="18" s="1"/>
  <c r="J360" i="18"/>
  <c r="K360" i="18" s="1"/>
  <c r="L360" i="18" s="1"/>
  <c r="J333" i="18"/>
  <c r="K333" i="18" s="1"/>
  <c r="L333" i="18" s="1"/>
  <c r="J122" i="18"/>
  <c r="K122" i="18" s="1"/>
  <c r="L122" i="18" s="1"/>
  <c r="J86" i="18"/>
  <c r="K86" i="18" s="1"/>
  <c r="L86" i="18" s="1"/>
  <c r="J1493" i="18"/>
  <c r="K1493" i="18" s="1"/>
  <c r="L1493" i="18" s="1"/>
  <c r="J535" i="18"/>
  <c r="K535" i="18" s="1"/>
  <c r="L535" i="18" s="1"/>
  <c r="J849" i="18"/>
  <c r="K849" i="18" s="1"/>
  <c r="L849" i="18" s="1"/>
  <c r="J1282" i="18"/>
  <c r="K1282" i="18" s="1"/>
  <c r="L1282" i="18" s="1"/>
  <c r="J1258" i="18"/>
  <c r="K1258" i="18" s="1"/>
  <c r="L1258" i="18" s="1"/>
  <c r="J704" i="18"/>
  <c r="K704" i="18" s="1"/>
  <c r="L704" i="18" s="1"/>
  <c r="J701" i="18"/>
  <c r="K701" i="18" s="1"/>
  <c r="L701" i="18" s="1"/>
  <c r="J509" i="18"/>
  <c r="K509" i="18" s="1"/>
  <c r="L509" i="18" s="1"/>
  <c r="J507" i="18"/>
  <c r="K507" i="18" s="1"/>
  <c r="L507" i="18" s="1"/>
  <c r="J494" i="18"/>
  <c r="K494" i="18" s="1"/>
  <c r="L494" i="18" s="1"/>
  <c r="J476" i="18"/>
  <c r="K476" i="18" s="1"/>
  <c r="L476" i="18" s="1"/>
  <c r="J466" i="18"/>
  <c r="K466" i="18" s="1"/>
  <c r="L466" i="18" s="1"/>
  <c r="J428" i="18"/>
  <c r="K428" i="18" s="1"/>
  <c r="L428" i="18" s="1"/>
  <c r="J419" i="18"/>
  <c r="K419" i="18" s="1"/>
  <c r="L419" i="18" s="1"/>
  <c r="J413" i="18"/>
  <c r="K413" i="18" s="1"/>
  <c r="L413" i="18" s="1"/>
  <c r="J411" i="18"/>
  <c r="K411" i="18" s="1"/>
  <c r="L411" i="18" s="1"/>
  <c r="J402" i="18"/>
  <c r="K402" i="18" s="1"/>
  <c r="L402" i="18" s="1"/>
  <c r="J358" i="18"/>
  <c r="K358" i="18" s="1"/>
  <c r="L358" i="18" s="1"/>
  <c r="J334" i="18"/>
  <c r="K334" i="18" s="1"/>
  <c r="L334" i="18" s="1"/>
  <c r="J112" i="18"/>
  <c r="K112" i="18" s="1"/>
  <c r="L112" i="18" s="1"/>
  <c r="J89" i="18"/>
  <c r="K89" i="18" s="1"/>
  <c r="L89" i="18" s="1"/>
  <c r="J1499" i="18"/>
  <c r="K1499" i="18" s="1"/>
  <c r="L1499" i="18" s="1"/>
  <c r="J524" i="18"/>
  <c r="K524" i="18" s="1"/>
  <c r="L524" i="18" s="1"/>
  <c r="J538" i="18"/>
  <c r="K538" i="18" s="1"/>
  <c r="L538" i="18" s="1"/>
  <c r="J1391" i="18"/>
  <c r="K1391" i="18" s="1"/>
  <c r="L1391" i="18" s="1"/>
  <c r="J1356" i="18"/>
  <c r="K1356" i="18" s="1"/>
  <c r="L1356" i="18" s="1"/>
  <c r="J1350" i="18"/>
  <c r="K1350" i="18" s="1"/>
  <c r="L1350" i="18" s="1"/>
  <c r="J814" i="18"/>
  <c r="K814" i="18" s="1"/>
  <c r="L814" i="18" s="1"/>
  <c r="J828" i="18"/>
  <c r="K828" i="18" s="1"/>
  <c r="L828" i="18" s="1"/>
  <c r="J854" i="18"/>
  <c r="K854" i="18" s="1"/>
  <c r="L854" i="18" s="1"/>
  <c r="J859" i="18"/>
  <c r="K859" i="18" s="1"/>
  <c r="L859" i="18" s="1"/>
  <c r="J1288" i="18"/>
  <c r="K1288" i="18" s="1"/>
  <c r="L1288" i="18" s="1"/>
  <c r="J14" i="18"/>
  <c r="K14" i="18" s="1"/>
  <c r="L14" i="18" s="1"/>
  <c r="J70" i="18"/>
  <c r="K70" i="18" s="1"/>
  <c r="L70" i="18" s="1"/>
  <c r="J528" i="18"/>
  <c r="K528" i="18" s="1"/>
  <c r="L528" i="18" s="1"/>
  <c r="J534" i="18"/>
  <c r="K534" i="18" s="1"/>
  <c r="L534" i="18" s="1"/>
  <c r="J792" i="18"/>
  <c r="K792" i="18" s="1"/>
  <c r="L792" i="18" s="1"/>
  <c r="J801" i="18"/>
  <c r="K801" i="18" s="1"/>
  <c r="L801" i="18" s="1"/>
  <c r="J1340" i="18"/>
  <c r="K1340" i="18" s="1"/>
  <c r="L1340" i="18" s="1"/>
  <c r="J847" i="18"/>
  <c r="K847" i="18" s="1"/>
  <c r="L847" i="18" s="1"/>
  <c r="J853" i="18"/>
  <c r="K853" i="18" s="1"/>
  <c r="L853" i="18" s="1"/>
  <c r="J864" i="18"/>
  <c r="K864" i="18" s="1"/>
  <c r="L864" i="18" s="1"/>
  <c r="J1223" i="18"/>
  <c r="K1223" i="18" s="1"/>
  <c r="L1223" i="18" s="1"/>
  <c r="J523" i="18"/>
  <c r="K523" i="18" s="1"/>
  <c r="L523" i="18" s="1"/>
  <c r="J525" i="18"/>
  <c r="K525" i="18" s="1"/>
  <c r="L525" i="18" s="1"/>
  <c r="J527" i="18"/>
  <c r="K527" i="18" s="1"/>
  <c r="L527" i="18" s="1"/>
  <c r="J1362" i="18"/>
  <c r="K1362" i="18" s="1"/>
  <c r="L1362" i="18" s="1"/>
  <c r="J795" i="18"/>
  <c r="K795" i="18" s="1"/>
  <c r="L795" i="18" s="1"/>
  <c r="J1278" i="18"/>
  <c r="K1278" i="18" s="1"/>
  <c r="L1278" i="18" s="1"/>
  <c r="J1089" i="18"/>
  <c r="K1089" i="18" s="1"/>
  <c r="L1089" i="18" s="1"/>
  <c r="J462" i="18"/>
  <c r="K462" i="18" s="1"/>
  <c r="L462" i="18" s="1"/>
  <c r="J448" i="18"/>
  <c r="K448" i="18" s="1"/>
  <c r="L448" i="18" s="1"/>
  <c r="J412" i="18"/>
  <c r="K412" i="18" s="1"/>
  <c r="L412" i="18" s="1"/>
  <c r="J384" i="18"/>
  <c r="K384" i="18" s="1"/>
  <c r="L384" i="18" s="1"/>
  <c r="J90" i="18"/>
  <c r="K90" i="18" s="1"/>
  <c r="L90" i="18" s="1"/>
  <c r="J31" i="18"/>
  <c r="K31" i="18" s="1"/>
  <c r="L31" i="18" s="1"/>
  <c r="J1497" i="18"/>
  <c r="K1497" i="18" s="1"/>
  <c r="L1497" i="18" s="1"/>
  <c r="J1384" i="18"/>
  <c r="K1384" i="18" s="1"/>
  <c r="L1384" i="18" s="1"/>
  <c r="J791" i="18"/>
  <c r="K791" i="18" s="1"/>
  <c r="L791" i="18" s="1"/>
  <c r="J799" i="18"/>
  <c r="K799" i="18" s="1"/>
  <c r="L799" i="18" s="1"/>
  <c r="J807" i="18"/>
  <c r="K807" i="18" s="1"/>
  <c r="L807" i="18" s="1"/>
  <c r="J1308" i="18"/>
  <c r="K1308" i="18" s="1"/>
  <c r="L1308" i="18" s="1"/>
  <c r="J1287" i="18"/>
  <c r="K1287" i="18" s="1"/>
  <c r="L1287" i="18" s="1"/>
  <c r="J869" i="18"/>
  <c r="K869" i="18" s="1"/>
  <c r="L869" i="18" s="1"/>
  <c r="J1232" i="18"/>
  <c r="K1232" i="18" s="1"/>
  <c r="L1232" i="18" s="1"/>
  <c r="J635" i="18"/>
  <c r="K635" i="18" s="1"/>
  <c r="L635" i="18" s="1"/>
  <c r="J668" i="18"/>
  <c r="K668" i="18" s="1"/>
  <c r="L668" i="18" s="1"/>
  <c r="J495" i="18"/>
  <c r="K495" i="18" s="1"/>
  <c r="L495" i="18" s="1"/>
  <c r="J486" i="18"/>
  <c r="K486" i="18" s="1"/>
  <c r="L486" i="18" s="1"/>
  <c r="J421" i="18"/>
  <c r="K421" i="18" s="1"/>
  <c r="L421" i="18" s="1"/>
  <c r="J373" i="18"/>
  <c r="K373" i="18" s="1"/>
  <c r="L373" i="18" s="1"/>
  <c r="J206" i="18"/>
  <c r="K206" i="18" s="1"/>
  <c r="L206" i="18" s="1"/>
  <c r="J99" i="18"/>
  <c r="K99" i="18" s="1"/>
  <c r="L99" i="18" s="1"/>
  <c r="J72" i="18"/>
  <c r="K72" i="18" s="1"/>
  <c r="L72" i="18" s="1"/>
  <c r="J58" i="18"/>
  <c r="K58" i="18" s="1"/>
  <c r="L58" i="18" s="1"/>
  <c r="J1495" i="18"/>
  <c r="K1495" i="18" s="1"/>
  <c r="L1495" i="18" s="1"/>
  <c r="J1347" i="18"/>
  <c r="K1347" i="18" s="1"/>
  <c r="L1347" i="18" s="1"/>
  <c r="J810" i="18"/>
  <c r="K810" i="18" s="1"/>
  <c r="L810" i="18" s="1"/>
  <c r="J818" i="18"/>
  <c r="K818" i="18" s="1"/>
  <c r="L818" i="18" s="1"/>
  <c r="J1328" i="18"/>
  <c r="K1328" i="18" s="1"/>
  <c r="L1328" i="18" s="1"/>
  <c r="J843" i="18"/>
  <c r="K843" i="18" s="1"/>
  <c r="L843" i="18" s="1"/>
  <c r="J857" i="18"/>
  <c r="K857" i="18" s="1"/>
  <c r="L857" i="18" s="1"/>
  <c r="J1275" i="18"/>
  <c r="K1275" i="18" s="1"/>
  <c r="L1275" i="18" s="1"/>
  <c r="J949" i="18"/>
  <c r="K949" i="18" s="1"/>
  <c r="L949" i="18" s="1"/>
  <c r="J952" i="18"/>
  <c r="K952" i="18" s="1"/>
  <c r="L952" i="18" s="1"/>
  <c r="J955" i="18"/>
  <c r="K955" i="18" s="1"/>
  <c r="L955" i="18" s="1"/>
  <c r="J956" i="18"/>
  <c r="K956" i="18" s="1"/>
  <c r="L956" i="18" s="1"/>
  <c r="J961" i="18"/>
  <c r="K961" i="18" s="1"/>
  <c r="L961" i="18" s="1"/>
  <c r="J973" i="18"/>
  <c r="K973" i="18" s="1"/>
  <c r="L973" i="18" s="1"/>
  <c r="J979" i="18"/>
  <c r="K979" i="18" s="1"/>
  <c r="L979" i="18" s="1"/>
  <c r="J983" i="18"/>
  <c r="K983" i="18" s="1"/>
  <c r="L983" i="18" s="1"/>
  <c r="J1244" i="18"/>
  <c r="K1244" i="18" s="1"/>
  <c r="L1244" i="18" s="1"/>
  <c r="J1245" i="18"/>
  <c r="K1245" i="18" s="1"/>
  <c r="L1245" i="18" s="1"/>
  <c r="J1246" i="18"/>
  <c r="K1246" i="18" s="1"/>
  <c r="L1246" i="18" s="1"/>
  <c r="J1247" i="18"/>
  <c r="K1247" i="18" s="1"/>
  <c r="L1247" i="18" s="1"/>
  <c r="J1248" i="18"/>
  <c r="K1248" i="18" s="1"/>
  <c r="L1248" i="18" s="1"/>
  <c r="J1249" i="18"/>
  <c r="K1249" i="18" s="1"/>
  <c r="L1249" i="18" s="1"/>
  <c r="J1250" i="18"/>
  <c r="K1250" i="18" s="1"/>
  <c r="L1250" i="18" s="1"/>
  <c r="J1251" i="18"/>
  <c r="K1251" i="18" s="1"/>
  <c r="L1251" i="18" s="1"/>
  <c r="J1253" i="18"/>
  <c r="K1253" i="18" s="1"/>
  <c r="L1253" i="18" s="1"/>
  <c r="J985" i="18"/>
  <c r="K985" i="18" s="1"/>
  <c r="L985" i="18" s="1"/>
  <c r="J986" i="18"/>
  <c r="K986" i="18" s="1"/>
  <c r="L986" i="18" s="1"/>
  <c r="J987" i="18"/>
  <c r="K987" i="18" s="1"/>
  <c r="L987" i="18" s="1"/>
  <c r="J989" i="18"/>
  <c r="K989" i="18" s="1"/>
  <c r="L989" i="18" s="1"/>
  <c r="J990" i="18"/>
  <c r="K990" i="18" s="1"/>
  <c r="L990" i="18" s="1"/>
  <c r="J993" i="18"/>
  <c r="K993" i="18" s="1"/>
  <c r="L993" i="18" s="1"/>
  <c r="J995" i="18"/>
  <c r="K995" i="18" s="1"/>
  <c r="L995" i="18" s="1"/>
  <c r="J998" i="18"/>
  <c r="K998" i="18" s="1"/>
  <c r="L998" i="18" s="1"/>
  <c r="J999" i="18"/>
  <c r="K999" i="18" s="1"/>
  <c r="L999" i="18" s="1"/>
  <c r="J1036" i="18"/>
  <c r="K1036" i="18" s="1"/>
  <c r="L1036" i="18" s="1"/>
  <c r="J644" i="18"/>
  <c r="K644" i="18" s="1"/>
  <c r="L644" i="18" s="1"/>
  <c r="J695" i="18"/>
  <c r="K695" i="18" s="1"/>
  <c r="L695" i="18" s="1"/>
  <c r="J52" i="18"/>
  <c r="K52" i="18" s="1"/>
  <c r="L52" i="18" s="1"/>
  <c r="J43" i="18"/>
  <c r="K43" i="18" s="1"/>
  <c r="L43" i="18" s="1"/>
  <c r="J520" i="18"/>
  <c r="K520" i="18" s="1"/>
  <c r="L520" i="18" s="1"/>
  <c r="J521" i="18"/>
  <c r="K521" i="18" s="1"/>
  <c r="L521" i="18" s="1"/>
  <c r="J1463" i="18"/>
  <c r="K1463" i="18" s="1"/>
  <c r="L1463" i="18" s="1"/>
  <c r="J1450" i="18"/>
  <c r="K1450" i="18" s="1"/>
  <c r="L1450" i="18" s="1"/>
  <c r="J1377" i="18"/>
  <c r="K1377" i="18" s="1"/>
  <c r="L1377" i="18" s="1"/>
  <c r="J808" i="18"/>
  <c r="K808" i="18" s="1"/>
  <c r="L808" i="18" s="1"/>
  <c r="J1335" i="18"/>
  <c r="K1335" i="18" s="1"/>
  <c r="L1335" i="18" s="1"/>
  <c r="J839" i="18"/>
  <c r="K839" i="18" s="1"/>
  <c r="L839" i="18" s="1"/>
  <c r="J844" i="18"/>
  <c r="K844" i="18" s="1"/>
  <c r="L844" i="18" s="1"/>
  <c r="J868" i="18"/>
  <c r="K868" i="18" s="1"/>
  <c r="L868" i="18" s="1"/>
  <c r="J1268" i="18"/>
  <c r="K1268" i="18" s="1"/>
  <c r="L1268" i="18" s="1"/>
  <c r="J1005" i="18"/>
  <c r="K1005" i="18" s="1"/>
  <c r="L1005" i="18" s="1"/>
  <c r="J1010" i="18"/>
  <c r="K1010" i="18" s="1"/>
  <c r="L1010" i="18" s="1"/>
  <c r="J478" i="18"/>
  <c r="K478" i="18" s="1"/>
  <c r="L478" i="18" s="1"/>
  <c r="J444" i="18"/>
  <c r="K444" i="18" s="1"/>
  <c r="L444" i="18" s="1"/>
  <c r="J370" i="18"/>
  <c r="K370" i="18" s="1"/>
  <c r="L370" i="18" s="1"/>
  <c r="J361" i="18"/>
  <c r="K361" i="18" s="1"/>
  <c r="L361" i="18" s="1"/>
  <c r="J336" i="18"/>
  <c r="K336" i="18" s="1"/>
  <c r="L336" i="18" s="1"/>
  <c r="J214" i="18"/>
  <c r="K214" i="18" s="1"/>
  <c r="L214" i="18" s="1"/>
  <c r="J212" i="18"/>
  <c r="K212" i="18" s="1"/>
  <c r="L212" i="18" s="1"/>
  <c r="J198" i="18"/>
  <c r="K198" i="18" s="1"/>
  <c r="L198" i="18" s="1"/>
  <c r="J87" i="18"/>
  <c r="K87" i="18" s="1"/>
  <c r="L87" i="18" s="1"/>
  <c r="J1505" i="18"/>
  <c r="K1505" i="18" s="1"/>
  <c r="L1505" i="18" s="1"/>
  <c r="J1479" i="18"/>
  <c r="K1479" i="18" s="1"/>
  <c r="L1479" i="18" s="1"/>
  <c r="J1374" i="18"/>
  <c r="K1374" i="18" s="1"/>
  <c r="L1374" i="18" s="1"/>
  <c r="J1304" i="18"/>
  <c r="K1304" i="18" s="1"/>
  <c r="L1304" i="18" s="1"/>
  <c r="J856" i="18"/>
  <c r="K856" i="18" s="1"/>
  <c r="L856" i="18" s="1"/>
  <c r="J866" i="18"/>
  <c r="K866" i="18" s="1"/>
  <c r="L866" i="18" s="1"/>
  <c r="J488" i="18"/>
  <c r="K488" i="18" s="1"/>
  <c r="L488" i="18" s="1"/>
  <c r="J472" i="18"/>
  <c r="K472" i="18" s="1"/>
  <c r="L472" i="18" s="1"/>
  <c r="J210" i="18"/>
  <c r="K210" i="18" s="1"/>
  <c r="L210" i="18" s="1"/>
  <c r="J518" i="18"/>
  <c r="K518" i="18" s="1"/>
  <c r="L518" i="18" s="1"/>
  <c r="J1485" i="18"/>
  <c r="K1485" i="18" s="1"/>
  <c r="L1485" i="18" s="1"/>
  <c r="J1447" i="18"/>
  <c r="K1447" i="18" s="1"/>
  <c r="L1447" i="18" s="1"/>
  <c r="J1442" i="18"/>
  <c r="K1442" i="18" s="1"/>
  <c r="L1442" i="18" s="1"/>
  <c r="J1437" i="18"/>
  <c r="K1437" i="18" s="1"/>
  <c r="L1437" i="18" s="1"/>
  <c r="J1435" i="18"/>
  <c r="K1435" i="18" s="1"/>
  <c r="L1435" i="18" s="1"/>
  <c r="J809" i="18"/>
  <c r="K809" i="18" s="1"/>
  <c r="L809" i="18" s="1"/>
  <c r="J817" i="18"/>
  <c r="K817" i="18" s="1"/>
  <c r="L817" i="18" s="1"/>
  <c r="J827" i="18"/>
  <c r="K827" i="18" s="1"/>
  <c r="L827" i="18" s="1"/>
  <c r="J1466" i="18"/>
  <c r="K1466" i="18" s="1"/>
  <c r="L1466" i="18" s="1"/>
  <c r="J1115" i="18"/>
  <c r="K1115" i="18" s="1"/>
  <c r="L1115" i="18" s="1"/>
  <c r="J1002" i="18"/>
  <c r="K1002" i="18" s="1"/>
  <c r="L1002" i="18" s="1"/>
  <c r="J1140" i="18"/>
  <c r="K1140" i="18" s="1"/>
  <c r="L1140" i="18" s="1"/>
  <c r="J1130" i="18"/>
  <c r="K1130" i="18" s="1"/>
  <c r="L1130" i="18" s="1"/>
  <c r="J1016" i="18"/>
  <c r="K1016" i="18" s="1"/>
  <c r="L1016" i="18" s="1"/>
  <c r="J1118" i="18"/>
  <c r="K1118" i="18" s="1"/>
  <c r="L1118" i="18" s="1"/>
  <c r="J1101" i="18"/>
  <c r="K1101" i="18" s="1"/>
  <c r="L1101" i="18" s="1"/>
  <c r="J1045" i="18"/>
  <c r="K1045" i="18" s="1"/>
  <c r="L1045" i="18" s="1"/>
  <c r="J1047" i="18"/>
  <c r="K1047" i="18" s="1"/>
  <c r="L1047" i="18" s="1"/>
  <c r="J1049" i="18"/>
  <c r="K1049" i="18" s="1"/>
  <c r="L1049" i="18" s="1"/>
  <c r="J1080" i="18"/>
  <c r="K1080" i="18" s="1"/>
  <c r="L1080" i="18" s="1"/>
  <c r="J1070" i="18"/>
  <c r="K1070" i="18" s="1"/>
  <c r="L1070" i="18" s="1"/>
  <c r="J762" i="18"/>
  <c r="K762" i="18" s="1"/>
  <c r="L762" i="18" s="1"/>
  <c r="J760" i="18"/>
  <c r="K760" i="18" s="1"/>
  <c r="L760" i="18" s="1"/>
  <c r="J754" i="18"/>
  <c r="K754" i="18" s="1"/>
  <c r="L754" i="18" s="1"/>
  <c r="J747" i="18"/>
  <c r="K747" i="18" s="1"/>
  <c r="L747" i="18" s="1"/>
  <c r="J739" i="18"/>
  <c r="K739" i="18" s="1"/>
  <c r="L739" i="18" s="1"/>
  <c r="J677" i="18"/>
  <c r="K677" i="18" s="1"/>
  <c r="L677" i="18" s="1"/>
  <c r="J661" i="18"/>
  <c r="K661" i="18" s="1"/>
  <c r="L661" i="18" s="1"/>
  <c r="J741" i="18"/>
  <c r="K741" i="18" s="1"/>
  <c r="L741" i="18" s="1"/>
  <c r="J730" i="18"/>
  <c r="K730" i="18" s="1"/>
  <c r="L730" i="18" s="1"/>
  <c r="J686" i="18"/>
  <c r="K686" i="18" s="1"/>
  <c r="L686" i="18" s="1"/>
  <c r="J646" i="18"/>
  <c r="K646" i="18" s="1"/>
  <c r="L646" i="18" s="1"/>
  <c r="J688" i="18"/>
  <c r="K688" i="18" s="1"/>
  <c r="L688" i="18" s="1"/>
  <c r="J657" i="18"/>
  <c r="K657" i="18" s="1"/>
  <c r="L657" i="18" s="1"/>
  <c r="J705" i="18"/>
  <c r="K705" i="18" s="1"/>
  <c r="L705" i="18" s="1"/>
  <c r="J703" i="18"/>
  <c r="K703" i="18" s="1"/>
  <c r="L703" i="18" s="1"/>
  <c r="J1003" i="18"/>
  <c r="K1003" i="18" s="1"/>
  <c r="L1003" i="18" s="1"/>
  <c r="J1041" i="18"/>
  <c r="K1041" i="18" s="1"/>
  <c r="L1041" i="18" s="1"/>
  <c r="J1091" i="18"/>
  <c r="K1091" i="18" s="1"/>
  <c r="L1091" i="18" s="1"/>
  <c r="J1083" i="18"/>
  <c r="K1083" i="18" s="1"/>
  <c r="L1083" i="18" s="1"/>
  <c r="J1062" i="18"/>
  <c r="K1062" i="18" s="1"/>
  <c r="L1062" i="18" s="1"/>
  <c r="J670" i="18"/>
  <c r="K670" i="18" s="1"/>
  <c r="L670" i="18" s="1"/>
  <c r="J764" i="18"/>
  <c r="K764" i="18" s="1"/>
  <c r="L764" i="18" s="1"/>
  <c r="J663" i="18"/>
  <c r="K663" i="18" s="1"/>
  <c r="L663" i="18" s="1"/>
  <c r="J736" i="18"/>
  <c r="K736" i="18" s="1"/>
  <c r="L736" i="18" s="1"/>
  <c r="J685" i="18"/>
  <c r="K685" i="18" s="1"/>
  <c r="L685" i="18" s="1"/>
  <c r="J719" i="18"/>
  <c r="K719" i="18" s="1"/>
  <c r="L719" i="18" s="1"/>
  <c r="J712" i="18"/>
  <c r="K712" i="18" s="1"/>
  <c r="L712" i="18" s="1"/>
  <c r="J1135" i="18"/>
  <c r="K1135" i="18" s="1"/>
  <c r="L1135" i="18" s="1"/>
  <c r="J1129" i="18"/>
  <c r="K1129" i="18" s="1"/>
  <c r="L1129" i="18" s="1"/>
  <c r="J1024" i="18"/>
  <c r="K1024" i="18" s="1"/>
  <c r="L1024" i="18" s="1"/>
  <c r="J1030" i="18"/>
  <c r="K1030" i="18" s="1"/>
  <c r="L1030" i="18" s="1"/>
  <c r="J1061" i="18"/>
  <c r="K1061" i="18" s="1"/>
  <c r="L1061" i="18" s="1"/>
  <c r="J1079" i="18"/>
  <c r="K1079" i="18" s="1"/>
  <c r="L1079" i="18" s="1"/>
  <c r="J1071" i="18"/>
  <c r="K1071" i="18" s="1"/>
  <c r="L1071" i="18" s="1"/>
  <c r="J659" i="18"/>
  <c r="K659" i="18" s="1"/>
  <c r="L659" i="18" s="1"/>
  <c r="J1009" i="18"/>
  <c r="K1009" i="18" s="1"/>
  <c r="L1009" i="18" s="1"/>
  <c r="J1100" i="18"/>
  <c r="K1100" i="18" s="1"/>
  <c r="L1100" i="18" s="1"/>
  <c r="J1050" i="18"/>
  <c r="K1050" i="18" s="1"/>
  <c r="L1050" i="18" s="1"/>
  <c r="J1120" i="18"/>
  <c r="K1120" i="18" s="1"/>
  <c r="L1120" i="18" s="1"/>
  <c r="J1029" i="18"/>
  <c r="K1029" i="18" s="1"/>
  <c r="L1029" i="18" s="1"/>
  <c r="J1136" i="18"/>
  <c r="K1136" i="18" s="1"/>
  <c r="L1136" i="18" s="1"/>
  <c r="J1081" i="18"/>
  <c r="K1081" i="18" s="1"/>
  <c r="L1081" i="18" s="1"/>
  <c r="J516" i="18"/>
  <c r="K516" i="18" s="1"/>
  <c r="L516" i="18" s="1"/>
  <c r="J726" i="18"/>
  <c r="K726" i="18" s="1"/>
  <c r="L726" i="18" s="1"/>
  <c r="J1127" i="18"/>
  <c r="K1127" i="18" s="1"/>
  <c r="L1127" i="18" s="1"/>
  <c r="J1093" i="18"/>
  <c r="K1093" i="18" s="1"/>
  <c r="L1093" i="18" s="1"/>
  <c r="J451" i="18"/>
  <c r="K451" i="18" s="1"/>
  <c r="L451" i="18" s="1"/>
  <c r="J199" i="18"/>
  <c r="K199" i="18" s="1"/>
  <c r="L199" i="18" s="1"/>
  <c r="J517" i="18"/>
  <c r="K517" i="18" s="1"/>
  <c r="L517" i="18" s="1"/>
  <c r="J797" i="18"/>
  <c r="K797" i="18" s="1"/>
  <c r="L797" i="18" s="1"/>
  <c r="J803" i="18"/>
  <c r="K803" i="18" s="1"/>
  <c r="L803" i="18" s="1"/>
  <c r="J941" i="18"/>
  <c r="K941" i="18" s="1"/>
  <c r="L941" i="18" s="1"/>
  <c r="J943" i="18"/>
  <c r="K943" i="18" s="1"/>
  <c r="L943" i="18" s="1"/>
  <c r="J947" i="18"/>
  <c r="K947" i="18" s="1"/>
  <c r="L947" i="18" s="1"/>
  <c r="J1198" i="18"/>
  <c r="K1198" i="18" s="1"/>
  <c r="L1198" i="18" s="1"/>
  <c r="J954" i="18"/>
  <c r="K954" i="18" s="1"/>
  <c r="L954" i="18" s="1"/>
  <c r="J958" i="18"/>
  <c r="K958" i="18" s="1"/>
  <c r="L958" i="18" s="1"/>
  <c r="J962" i="18"/>
  <c r="K962" i="18" s="1"/>
  <c r="L962" i="18" s="1"/>
  <c r="J964" i="18"/>
  <c r="K964" i="18" s="1"/>
  <c r="L964" i="18" s="1"/>
  <c r="J969" i="18"/>
  <c r="K969" i="18" s="1"/>
  <c r="L969" i="18" s="1"/>
  <c r="J977" i="18"/>
  <c r="K977" i="18" s="1"/>
  <c r="L977" i="18" s="1"/>
  <c r="J978" i="18"/>
  <c r="K978" i="18" s="1"/>
  <c r="L978" i="18" s="1"/>
  <c r="J980" i="18"/>
  <c r="K980" i="18" s="1"/>
  <c r="L980" i="18" s="1"/>
  <c r="J997" i="18"/>
  <c r="K997" i="18" s="1"/>
  <c r="L997" i="18" s="1"/>
  <c r="J542" i="18"/>
  <c r="K542" i="18" s="1"/>
  <c r="L542" i="18" s="1"/>
  <c r="J543" i="18"/>
  <c r="K543" i="18" s="1"/>
  <c r="L543" i="18" s="1"/>
  <c r="J544" i="18"/>
  <c r="K544" i="18" s="1"/>
  <c r="L544" i="18" s="1"/>
  <c r="J545" i="18"/>
  <c r="K545" i="18" s="1"/>
  <c r="L545" i="18" s="1"/>
  <c r="J546" i="18"/>
  <c r="K546" i="18" s="1"/>
  <c r="L546" i="18" s="1"/>
  <c r="J547" i="18"/>
  <c r="K547" i="18" s="1"/>
  <c r="L547" i="18" s="1"/>
  <c r="J548" i="18"/>
  <c r="K548" i="18" s="1"/>
  <c r="L548" i="18" s="1"/>
  <c r="J549" i="18"/>
  <c r="K549" i="18" s="1"/>
  <c r="L549" i="18" s="1"/>
  <c r="J550" i="18"/>
  <c r="K550" i="18" s="1"/>
  <c r="L550" i="18" s="1"/>
  <c r="J551" i="18"/>
  <c r="K551" i="18" s="1"/>
  <c r="L551" i="18" s="1"/>
  <c r="J552" i="18"/>
  <c r="K552" i="18" s="1"/>
  <c r="L552" i="18" s="1"/>
  <c r="J553" i="18"/>
  <c r="K553" i="18" s="1"/>
  <c r="L553" i="18" s="1"/>
  <c r="J554" i="18"/>
  <c r="K554" i="18" s="1"/>
  <c r="L554" i="18" s="1"/>
  <c r="J555" i="18"/>
  <c r="K555" i="18" s="1"/>
  <c r="L555" i="18" s="1"/>
  <c r="J556" i="18"/>
  <c r="K556" i="18" s="1"/>
  <c r="L556" i="18" s="1"/>
  <c r="J557" i="18"/>
  <c r="K557" i="18" s="1"/>
  <c r="L557" i="18" s="1"/>
  <c r="J558" i="18"/>
  <c r="K558" i="18" s="1"/>
  <c r="L558" i="18" s="1"/>
  <c r="J559" i="18"/>
  <c r="K559" i="18" s="1"/>
  <c r="L559" i="18" s="1"/>
  <c r="J560" i="18"/>
  <c r="K560" i="18" s="1"/>
  <c r="L560" i="18" s="1"/>
  <c r="J561" i="18"/>
  <c r="K561" i="18" s="1"/>
  <c r="L561" i="18" s="1"/>
  <c r="J562" i="18"/>
  <c r="K562" i="18" s="1"/>
  <c r="L562" i="18" s="1"/>
  <c r="J563" i="18"/>
  <c r="K563" i="18" s="1"/>
  <c r="L563" i="18" s="1"/>
  <c r="J564" i="18"/>
  <c r="K564" i="18" s="1"/>
  <c r="L564" i="18" s="1"/>
  <c r="J565" i="18"/>
  <c r="K565" i="18" s="1"/>
  <c r="L565" i="18" s="1"/>
  <c r="J566" i="18"/>
  <c r="K566" i="18" s="1"/>
  <c r="L566" i="18" s="1"/>
  <c r="J567" i="18"/>
  <c r="K567" i="18" s="1"/>
  <c r="L567" i="18" s="1"/>
  <c r="J568" i="18"/>
  <c r="K568" i="18" s="1"/>
  <c r="L568" i="18" s="1"/>
  <c r="J569" i="18"/>
  <c r="K569" i="18" s="1"/>
  <c r="L569" i="18" s="1"/>
  <c r="J570" i="18"/>
  <c r="K570" i="18" s="1"/>
  <c r="L570" i="18" s="1"/>
  <c r="J571" i="18"/>
  <c r="K571" i="18" s="1"/>
  <c r="L571" i="18" s="1"/>
  <c r="J572" i="18"/>
  <c r="K572" i="18" s="1"/>
  <c r="L572" i="18" s="1"/>
  <c r="J573" i="18"/>
  <c r="K573" i="18" s="1"/>
  <c r="L573" i="18" s="1"/>
  <c r="J574" i="18"/>
  <c r="K574" i="18" s="1"/>
  <c r="L574" i="18" s="1"/>
  <c r="J575" i="18"/>
  <c r="K575" i="18" s="1"/>
  <c r="L575" i="18" s="1"/>
  <c r="J576" i="18"/>
  <c r="K576" i="18" s="1"/>
  <c r="L576" i="18" s="1"/>
  <c r="J577" i="18"/>
  <c r="K577" i="18" s="1"/>
  <c r="L577" i="18" s="1"/>
  <c r="J578" i="18"/>
  <c r="K578" i="18" s="1"/>
  <c r="L578" i="18" s="1"/>
  <c r="J579" i="18"/>
  <c r="K579" i="18" s="1"/>
  <c r="L579" i="18" s="1"/>
  <c r="J580" i="18"/>
  <c r="K580" i="18" s="1"/>
  <c r="L580" i="18" s="1"/>
  <c r="J581" i="18"/>
  <c r="K581" i="18" s="1"/>
  <c r="L581" i="18" s="1"/>
  <c r="J582" i="18"/>
  <c r="K582" i="18" s="1"/>
  <c r="L582" i="18" s="1"/>
  <c r="J583" i="18"/>
  <c r="K583" i="18" s="1"/>
  <c r="L583" i="18" s="1"/>
  <c r="J584" i="18"/>
  <c r="K584" i="18" s="1"/>
  <c r="L584" i="18" s="1"/>
  <c r="J585" i="18"/>
  <c r="K585" i="18" s="1"/>
  <c r="L585" i="18" s="1"/>
  <c r="J586" i="18"/>
  <c r="K586" i="18" s="1"/>
  <c r="L586" i="18" s="1"/>
  <c r="J587" i="18"/>
  <c r="K587" i="18" s="1"/>
  <c r="L587" i="18" s="1"/>
  <c r="J588" i="18"/>
  <c r="K588" i="18" s="1"/>
  <c r="L588" i="18" s="1"/>
  <c r="J589" i="18"/>
  <c r="K589" i="18" s="1"/>
  <c r="L589" i="18" s="1"/>
  <c r="J590" i="18"/>
  <c r="K590" i="18" s="1"/>
  <c r="L590" i="18" s="1"/>
  <c r="J591" i="18"/>
  <c r="K591" i="18" s="1"/>
  <c r="L591" i="18" s="1"/>
  <c r="J592" i="18"/>
  <c r="K592" i="18" s="1"/>
  <c r="L592" i="18" s="1"/>
  <c r="J593" i="18"/>
  <c r="K593" i="18" s="1"/>
  <c r="L593" i="18" s="1"/>
  <c r="J594" i="18"/>
  <c r="K594" i="18" s="1"/>
  <c r="L594" i="18" s="1"/>
  <c r="J595" i="18"/>
  <c r="K595" i="18" s="1"/>
  <c r="L595" i="18" s="1"/>
  <c r="J596" i="18"/>
  <c r="K596" i="18" s="1"/>
  <c r="L596" i="18" s="1"/>
  <c r="J597" i="18"/>
  <c r="K597" i="18" s="1"/>
  <c r="L597" i="18" s="1"/>
  <c r="J598" i="18"/>
  <c r="K598" i="18" s="1"/>
  <c r="L598" i="18" s="1"/>
  <c r="J599" i="18"/>
  <c r="K599" i="18" s="1"/>
  <c r="L599" i="18" s="1"/>
  <c r="J600" i="18"/>
  <c r="K600" i="18" s="1"/>
  <c r="L600" i="18" s="1"/>
  <c r="J601" i="18"/>
  <c r="K601" i="18" s="1"/>
  <c r="L601" i="18" s="1"/>
  <c r="J602" i="18"/>
  <c r="K602" i="18" s="1"/>
  <c r="L602" i="18" s="1"/>
  <c r="J603" i="18"/>
  <c r="K603" i="18" s="1"/>
  <c r="L603" i="18" s="1"/>
  <c r="J604" i="18"/>
  <c r="K604" i="18" s="1"/>
  <c r="L604" i="18" s="1"/>
  <c r="J605" i="18"/>
  <c r="K605" i="18" s="1"/>
  <c r="L605" i="18" s="1"/>
  <c r="J606" i="18"/>
  <c r="K606" i="18" s="1"/>
  <c r="L606" i="18" s="1"/>
  <c r="J607" i="18"/>
  <c r="K607" i="18" s="1"/>
  <c r="L607" i="18" s="1"/>
  <c r="J608" i="18"/>
  <c r="K608" i="18" s="1"/>
  <c r="L608" i="18" s="1"/>
  <c r="J609" i="18"/>
  <c r="K609" i="18" s="1"/>
  <c r="L609" i="18" s="1"/>
  <c r="J610" i="18"/>
  <c r="K610" i="18" s="1"/>
  <c r="L610" i="18" s="1"/>
  <c r="J611" i="18"/>
  <c r="K611" i="18" s="1"/>
  <c r="L611" i="18" s="1"/>
  <c r="J612" i="18"/>
  <c r="K612" i="18" s="1"/>
  <c r="L612" i="18" s="1"/>
  <c r="J613" i="18"/>
  <c r="K613" i="18" s="1"/>
  <c r="L613" i="18" s="1"/>
  <c r="J614" i="18"/>
  <c r="K614" i="18" s="1"/>
  <c r="L614" i="18" s="1"/>
  <c r="J615" i="18"/>
  <c r="K615" i="18" s="1"/>
  <c r="L615" i="18" s="1"/>
  <c r="J616" i="18"/>
  <c r="K616" i="18" s="1"/>
  <c r="L616" i="18" s="1"/>
  <c r="J617" i="18"/>
  <c r="K617" i="18" s="1"/>
  <c r="L617" i="18" s="1"/>
  <c r="J618" i="18"/>
  <c r="K618" i="18" s="1"/>
  <c r="L618" i="18" s="1"/>
  <c r="J619" i="18"/>
  <c r="K619" i="18" s="1"/>
  <c r="L619" i="18" s="1"/>
  <c r="J620" i="18"/>
  <c r="K620" i="18" s="1"/>
  <c r="L620" i="18" s="1"/>
  <c r="J621" i="18"/>
  <c r="K621" i="18" s="1"/>
  <c r="L621" i="18" s="1"/>
  <c r="J622" i="18"/>
  <c r="K622" i="18" s="1"/>
  <c r="L622" i="18" s="1"/>
  <c r="J623" i="18"/>
  <c r="K623" i="18" s="1"/>
  <c r="L623" i="18" s="1"/>
  <c r="J624" i="18"/>
  <c r="K624" i="18" s="1"/>
  <c r="L624" i="18" s="1"/>
  <c r="J625" i="18"/>
  <c r="K625" i="18" s="1"/>
  <c r="L625" i="18" s="1"/>
  <c r="J626" i="18"/>
  <c r="K626" i="18" s="1"/>
  <c r="L626" i="18" s="1"/>
  <c r="J627" i="18"/>
  <c r="K627" i="18" s="1"/>
  <c r="L627" i="18" s="1"/>
  <c r="J628" i="18"/>
  <c r="K628" i="18" s="1"/>
  <c r="L628" i="18" s="1"/>
  <c r="J629" i="18"/>
  <c r="K629" i="18" s="1"/>
  <c r="L629" i="18" s="1"/>
  <c r="J630" i="18"/>
  <c r="K630" i="18" s="1"/>
  <c r="L630" i="18" s="1"/>
  <c r="J631" i="18"/>
  <c r="K631" i="18" s="1"/>
  <c r="L631" i="18" s="1"/>
  <c r="J632" i="18"/>
  <c r="K632" i="18" s="1"/>
  <c r="L632" i="18" s="1"/>
  <c r="J633" i="18"/>
  <c r="K633" i="18" s="1"/>
  <c r="L633" i="18" s="1"/>
  <c r="J766" i="18"/>
  <c r="K766" i="18" s="1"/>
  <c r="L766" i="18" s="1"/>
  <c r="J767" i="18"/>
  <c r="K767" i="18" s="1"/>
  <c r="L767" i="18" s="1"/>
  <c r="J768" i="18"/>
  <c r="K768" i="18" s="1"/>
  <c r="L768" i="18" s="1"/>
  <c r="J769" i="18"/>
  <c r="K769" i="18" s="1"/>
  <c r="L769" i="18" s="1"/>
  <c r="J770" i="18"/>
  <c r="K770" i="18" s="1"/>
  <c r="L770" i="18" s="1"/>
  <c r="J771" i="18"/>
  <c r="K771" i="18" s="1"/>
  <c r="L771" i="18" s="1"/>
  <c r="J772" i="18"/>
  <c r="K772" i="18" s="1"/>
  <c r="L772" i="18" s="1"/>
  <c r="J773" i="18"/>
  <c r="K773" i="18" s="1"/>
  <c r="L773" i="18" s="1"/>
  <c r="J774" i="18"/>
  <c r="K774" i="18" s="1"/>
  <c r="L774" i="18" s="1"/>
  <c r="J775" i="18"/>
  <c r="K775" i="18" s="1"/>
  <c r="L775" i="18" s="1"/>
  <c r="J776" i="18"/>
  <c r="K776" i="18" s="1"/>
  <c r="L776" i="18" s="1"/>
  <c r="J777" i="18"/>
  <c r="K777" i="18" s="1"/>
  <c r="L777" i="18" s="1"/>
  <c r="J778" i="18"/>
  <c r="K778" i="18" s="1"/>
  <c r="L778" i="18" s="1"/>
  <c r="J779" i="18"/>
  <c r="K779" i="18" s="1"/>
  <c r="L779" i="18" s="1"/>
  <c r="J780" i="18"/>
  <c r="K780" i="18" s="1"/>
  <c r="L780" i="18" s="1"/>
  <c r="J781" i="18"/>
  <c r="K781" i="18" s="1"/>
  <c r="L781" i="18" s="1"/>
  <c r="J782" i="18"/>
  <c r="K782" i="18" s="1"/>
  <c r="L782" i="18" s="1"/>
  <c r="J783" i="18"/>
  <c r="K783" i="18" s="1"/>
  <c r="L783" i="18" s="1"/>
  <c r="J784" i="18"/>
  <c r="K784" i="18" s="1"/>
  <c r="L784" i="18" s="1"/>
  <c r="J785" i="18"/>
  <c r="K785" i="18" s="1"/>
  <c r="L785" i="18" s="1"/>
  <c r="J786" i="18"/>
  <c r="K786" i="18" s="1"/>
  <c r="L786" i="18" s="1"/>
  <c r="J787" i="18"/>
  <c r="K787" i="18" s="1"/>
  <c r="L787" i="18" s="1"/>
  <c r="J788" i="18"/>
  <c r="K788" i="18" s="1"/>
  <c r="L788" i="18" s="1"/>
  <c r="J789" i="18"/>
  <c r="K789" i="18" s="1"/>
  <c r="L789" i="18" s="1"/>
  <c r="J790" i="18"/>
  <c r="K790" i="18" s="1"/>
  <c r="L790" i="18" s="1"/>
  <c r="J794" i="18"/>
  <c r="K794" i="18" s="1"/>
  <c r="L794" i="18" s="1"/>
  <c r="J831" i="18"/>
  <c r="K831" i="18" s="1"/>
  <c r="L831" i="18" s="1"/>
  <c r="J860" i="18"/>
  <c r="K860" i="18" s="1"/>
  <c r="L860" i="18" s="1"/>
  <c r="J938" i="18"/>
  <c r="K938" i="18" s="1"/>
  <c r="L938" i="18" s="1"/>
  <c r="J940" i="18"/>
  <c r="K940" i="18" s="1"/>
  <c r="L940" i="18" s="1"/>
  <c r="J945" i="18"/>
  <c r="K945" i="18" s="1"/>
  <c r="L945" i="18" s="1"/>
  <c r="J950" i="18"/>
  <c r="K950" i="18" s="1"/>
  <c r="L950" i="18" s="1"/>
  <c r="J953" i="18"/>
  <c r="K953" i="18" s="1"/>
  <c r="L953" i="18" s="1"/>
  <c r="J957" i="18"/>
  <c r="K957" i="18" s="1"/>
  <c r="L957" i="18" s="1"/>
  <c r="J966" i="18"/>
  <c r="K966" i="18" s="1"/>
  <c r="L966" i="18" s="1"/>
  <c r="J967" i="18"/>
  <c r="K967" i="18" s="1"/>
  <c r="L967" i="18" s="1"/>
  <c r="J970" i="18"/>
  <c r="K970" i="18" s="1"/>
  <c r="L970" i="18" s="1"/>
  <c r="J976" i="18"/>
  <c r="K976" i="18" s="1"/>
  <c r="L976" i="18" s="1"/>
  <c r="J982" i="18"/>
  <c r="K982" i="18" s="1"/>
  <c r="L982" i="18" s="1"/>
  <c r="J984" i="18"/>
  <c r="K984" i="18" s="1"/>
  <c r="L984" i="18" s="1"/>
  <c r="J988" i="18"/>
  <c r="K988" i="18" s="1"/>
  <c r="L988" i="18" s="1"/>
  <c r="J991" i="18"/>
  <c r="K991" i="18" s="1"/>
  <c r="L991" i="18" s="1"/>
  <c r="J994" i="18"/>
  <c r="K994" i="18" s="1"/>
  <c r="L994" i="18" s="1"/>
  <c r="J873" i="18"/>
  <c r="K873" i="18" s="1"/>
  <c r="L873" i="18" s="1"/>
  <c r="J874" i="18"/>
  <c r="K874" i="18" s="1"/>
  <c r="L874" i="18" s="1"/>
  <c r="J875" i="18"/>
  <c r="K875" i="18" s="1"/>
  <c r="L875" i="18" s="1"/>
  <c r="J876" i="18"/>
  <c r="K876" i="18" s="1"/>
  <c r="L876" i="18" s="1"/>
  <c r="J877" i="18"/>
  <c r="K877" i="18" s="1"/>
  <c r="L877" i="18" s="1"/>
  <c r="J878" i="18"/>
  <c r="K878" i="18" s="1"/>
  <c r="L878" i="18" s="1"/>
  <c r="J879" i="18"/>
  <c r="K879" i="18" s="1"/>
  <c r="L879" i="18" s="1"/>
  <c r="J880" i="18"/>
  <c r="K880" i="18" s="1"/>
  <c r="L880" i="18" s="1"/>
  <c r="J881" i="18"/>
  <c r="K881" i="18" s="1"/>
  <c r="L881" i="18" s="1"/>
  <c r="J882" i="18"/>
  <c r="K882" i="18" s="1"/>
  <c r="L882" i="18" s="1"/>
  <c r="J883" i="18"/>
  <c r="K883" i="18" s="1"/>
  <c r="L883" i="18" s="1"/>
  <c r="J884" i="18"/>
  <c r="K884" i="18" s="1"/>
  <c r="L884" i="18" s="1"/>
  <c r="J885" i="18"/>
  <c r="K885" i="18" s="1"/>
  <c r="L885" i="18" s="1"/>
  <c r="J886" i="18"/>
  <c r="K886" i="18" s="1"/>
  <c r="L886" i="18" s="1"/>
  <c r="J887" i="18"/>
  <c r="K887" i="18" s="1"/>
  <c r="L887" i="18" s="1"/>
  <c r="J888" i="18"/>
  <c r="K888" i="18" s="1"/>
  <c r="L888" i="18" s="1"/>
  <c r="J889" i="18"/>
  <c r="K889" i="18" s="1"/>
  <c r="L889" i="18" s="1"/>
  <c r="J890" i="18"/>
  <c r="K890" i="18" s="1"/>
  <c r="L890" i="18" s="1"/>
  <c r="J891" i="18"/>
  <c r="K891" i="18" s="1"/>
  <c r="L891" i="18" s="1"/>
  <c r="J892" i="18"/>
  <c r="K892" i="18" s="1"/>
  <c r="L892" i="18" s="1"/>
  <c r="J893" i="18"/>
  <c r="K893" i="18" s="1"/>
  <c r="L893" i="18" s="1"/>
  <c r="J894" i="18"/>
  <c r="K894" i="18" s="1"/>
  <c r="L894" i="18" s="1"/>
  <c r="J895" i="18"/>
  <c r="K895" i="18" s="1"/>
  <c r="L895" i="18" s="1"/>
  <c r="J896" i="18"/>
  <c r="K896" i="18" s="1"/>
  <c r="L896" i="18" s="1"/>
  <c r="J897" i="18"/>
  <c r="K897" i="18" s="1"/>
  <c r="L897" i="18" s="1"/>
  <c r="J898" i="18"/>
  <c r="K898" i="18" s="1"/>
  <c r="L898" i="18" s="1"/>
  <c r="J899" i="18"/>
  <c r="K899" i="18" s="1"/>
  <c r="L899" i="18" s="1"/>
  <c r="J900" i="18"/>
  <c r="K900" i="18" s="1"/>
  <c r="L900" i="18" s="1"/>
  <c r="J901" i="18"/>
  <c r="K901" i="18" s="1"/>
  <c r="L901" i="18" s="1"/>
  <c r="J1252" i="18"/>
  <c r="K1252" i="18" s="1"/>
  <c r="L1252" i="18" s="1"/>
  <c r="J902" i="18"/>
  <c r="K902" i="18" s="1"/>
  <c r="L902" i="18" s="1"/>
  <c r="J903" i="18"/>
  <c r="K903" i="18" s="1"/>
  <c r="L903" i="18" s="1"/>
  <c r="J904" i="18"/>
  <c r="K904" i="18" s="1"/>
  <c r="L904" i="18" s="1"/>
  <c r="J905" i="18"/>
  <c r="K905" i="18" s="1"/>
  <c r="L905" i="18" s="1"/>
  <c r="J906" i="18"/>
  <c r="K906" i="18" s="1"/>
  <c r="L906" i="18" s="1"/>
  <c r="J907" i="18"/>
  <c r="K907" i="18" s="1"/>
  <c r="L907" i="18" s="1"/>
  <c r="J908" i="18"/>
  <c r="K908" i="18" s="1"/>
  <c r="L908" i="18" s="1"/>
  <c r="J909" i="18"/>
  <c r="K909" i="18" s="1"/>
  <c r="L909" i="18" s="1"/>
  <c r="J910" i="18"/>
  <c r="K910" i="18" s="1"/>
  <c r="L910" i="18" s="1"/>
  <c r="J911" i="18"/>
  <c r="K911" i="18" s="1"/>
  <c r="L911" i="18" s="1"/>
  <c r="J912" i="18"/>
  <c r="K912" i="18" s="1"/>
  <c r="L912" i="18" s="1"/>
  <c r="J913" i="18"/>
  <c r="K913" i="18" s="1"/>
  <c r="L913" i="18" s="1"/>
  <c r="J914" i="18"/>
  <c r="K914" i="18" s="1"/>
  <c r="L914" i="18" s="1"/>
  <c r="J915" i="18"/>
  <c r="K915" i="18" s="1"/>
  <c r="L915" i="18" s="1"/>
  <c r="J916" i="18"/>
  <c r="K916" i="18" s="1"/>
  <c r="L916" i="18" s="1"/>
  <c r="J917" i="18"/>
  <c r="K917" i="18" s="1"/>
  <c r="L917" i="18" s="1"/>
  <c r="J918" i="18"/>
  <c r="K918" i="18" s="1"/>
  <c r="L918" i="18" s="1"/>
  <c r="J919" i="18"/>
  <c r="K919" i="18" s="1"/>
  <c r="L919" i="18" s="1"/>
  <c r="J920" i="18"/>
  <c r="K920" i="18" s="1"/>
  <c r="L920" i="18" s="1"/>
  <c r="J921" i="18"/>
  <c r="K921" i="18" s="1"/>
  <c r="L921" i="18" s="1"/>
  <c r="J922" i="18"/>
  <c r="K922" i="18" s="1"/>
  <c r="L922" i="18" s="1"/>
  <c r="J923" i="18"/>
  <c r="K923" i="18" s="1"/>
  <c r="L923" i="18" s="1"/>
  <c r="J924" i="18"/>
  <c r="K924" i="18" s="1"/>
  <c r="L924" i="18" s="1"/>
  <c r="J925" i="18"/>
  <c r="K925" i="18" s="1"/>
  <c r="L925" i="18" s="1"/>
  <c r="J926" i="18"/>
  <c r="K926" i="18" s="1"/>
  <c r="L926" i="18" s="1"/>
  <c r="J927" i="18"/>
  <c r="K927" i="18" s="1"/>
  <c r="L927" i="18" s="1"/>
  <c r="J928" i="18"/>
  <c r="K928" i="18" s="1"/>
  <c r="L928" i="18" s="1"/>
  <c r="J929" i="18"/>
  <c r="K929" i="18" s="1"/>
  <c r="L929" i="18" s="1"/>
  <c r="J930" i="18"/>
  <c r="K930" i="18" s="1"/>
  <c r="L930" i="18" s="1"/>
  <c r="J931" i="18"/>
  <c r="K931" i="18" s="1"/>
  <c r="L931" i="18" s="1"/>
  <c r="J932" i="18"/>
  <c r="K932" i="18" s="1"/>
  <c r="L932" i="18" s="1"/>
  <c r="J933" i="18"/>
  <c r="K933" i="18" s="1"/>
  <c r="L933" i="18" s="1"/>
  <c r="J934" i="18"/>
  <c r="K934" i="18" s="1"/>
  <c r="L934" i="18" s="1"/>
  <c r="J935" i="18"/>
  <c r="K935" i="18" s="1"/>
  <c r="L935" i="18" s="1"/>
  <c r="J936" i="18"/>
  <c r="K936" i="18" s="1"/>
  <c r="L936" i="18" s="1"/>
  <c r="J937" i="18"/>
  <c r="K937" i="18" s="1"/>
  <c r="L937" i="18" s="1"/>
  <c r="J1035" i="18"/>
  <c r="K1035" i="18" s="1"/>
  <c r="L1035" i="18" s="1"/>
  <c r="J1004" i="18"/>
  <c r="K1004" i="18" s="1"/>
  <c r="L1004" i="18" s="1"/>
  <c r="J1020" i="18"/>
  <c r="K1020" i="18" s="1"/>
  <c r="L1020" i="18" s="1"/>
  <c r="J645" i="18"/>
  <c r="K645" i="18" s="1"/>
  <c r="L645" i="18" s="1"/>
  <c r="J268" i="18"/>
  <c r="K268" i="18" s="1"/>
  <c r="L268" i="18" s="1"/>
  <c r="J88" i="18"/>
  <c r="K88" i="18" s="1"/>
  <c r="L88" i="18" s="1"/>
  <c r="J862" i="18"/>
  <c r="K862" i="18" s="1"/>
  <c r="L862" i="18" s="1"/>
  <c r="J1487" i="18"/>
  <c r="K1487" i="18" s="1"/>
  <c r="L1487" i="18" s="1"/>
  <c r="J666" i="18"/>
  <c r="K666" i="18" s="1"/>
  <c r="L666" i="18" s="1"/>
  <c r="J674" i="18"/>
  <c r="K674" i="18" s="1"/>
  <c r="L674" i="18" s="1"/>
  <c r="J684" i="18"/>
  <c r="K684" i="18" s="1"/>
  <c r="L684" i="18" s="1"/>
  <c r="J1139" i="18"/>
  <c r="K1139" i="18" s="1"/>
  <c r="L1139" i="18" s="1"/>
  <c r="J1046" i="18"/>
  <c r="K1046" i="18" s="1"/>
  <c r="L1046" i="18" s="1"/>
  <c r="J761" i="18"/>
  <c r="K761" i="18" s="1"/>
  <c r="L761" i="18" s="1"/>
  <c r="J648" i="18"/>
  <c r="K648" i="18" s="1"/>
  <c r="L648" i="18" s="1"/>
  <c r="J1131" i="18"/>
  <c r="K1131" i="18" s="1"/>
  <c r="L1131" i="18" s="1"/>
  <c r="J1054" i="18"/>
  <c r="K1054" i="18" s="1"/>
  <c r="L1054" i="18" s="1"/>
  <c r="J643" i="18"/>
  <c r="K643" i="18" s="1"/>
  <c r="L643" i="18" s="1"/>
  <c r="J1051" i="18"/>
  <c r="K1051" i="18" s="1"/>
  <c r="L1051" i="18" s="1"/>
  <c r="J266" i="18"/>
  <c r="K266" i="18" s="1"/>
  <c r="L266" i="18" s="1"/>
  <c r="J409" i="18"/>
  <c r="K409" i="18" s="1"/>
  <c r="L409" i="18" s="1"/>
  <c r="J407" i="18"/>
  <c r="K407" i="18" s="1"/>
  <c r="L407" i="18" s="1"/>
  <c r="J83" i="18"/>
  <c r="K83" i="18" s="1"/>
  <c r="L83" i="18" s="1"/>
  <c r="J20" i="18"/>
  <c r="K20" i="18" s="1"/>
  <c r="L20" i="18" s="1"/>
  <c r="J806" i="18"/>
  <c r="K806" i="18" s="1"/>
  <c r="L806" i="18" s="1"/>
  <c r="J867" i="18"/>
  <c r="K867" i="18" s="1"/>
  <c r="L867" i="18" s="1"/>
  <c r="J946" i="18"/>
  <c r="K946" i="18" s="1"/>
  <c r="L946" i="18" s="1"/>
  <c r="J948" i="18"/>
  <c r="K948" i="18" s="1"/>
  <c r="L948" i="18" s="1"/>
  <c r="J959" i="18"/>
  <c r="K959" i="18" s="1"/>
  <c r="L959" i="18" s="1"/>
  <c r="J963" i="18"/>
  <c r="K963" i="18" s="1"/>
  <c r="L963" i="18" s="1"/>
  <c r="J965" i="18"/>
  <c r="K965" i="18" s="1"/>
  <c r="L965" i="18" s="1"/>
  <c r="J972" i="18"/>
  <c r="K972" i="18" s="1"/>
  <c r="L972" i="18" s="1"/>
  <c r="J975" i="18"/>
  <c r="K975" i="18" s="1"/>
  <c r="L975" i="18" s="1"/>
  <c r="J981" i="18"/>
  <c r="K981" i="18" s="1"/>
  <c r="L981" i="18" s="1"/>
  <c r="J634" i="18"/>
  <c r="K634" i="18" s="1"/>
  <c r="L634" i="18" s="1"/>
  <c r="J1133" i="18"/>
  <c r="K1133" i="18" s="1"/>
  <c r="L1133" i="18" s="1"/>
  <c r="J1048" i="18"/>
  <c r="K1048" i="18" s="1"/>
  <c r="L1048" i="18" s="1"/>
  <c r="J1001" i="18"/>
  <c r="K1001" i="18" s="1"/>
  <c r="L1001" i="18" s="1"/>
  <c r="J1018" i="18"/>
  <c r="K1018" i="18" s="1"/>
  <c r="L1018" i="18" s="1"/>
  <c r="J679" i="18"/>
  <c r="K679" i="18" s="1"/>
  <c r="L679" i="18" s="1"/>
  <c r="J1064" i="18"/>
  <c r="K1064" i="18" s="1"/>
  <c r="L1064" i="18" s="1"/>
  <c r="J742" i="18"/>
  <c r="K742" i="18" s="1"/>
  <c r="L742" i="18" s="1"/>
  <c r="J1077" i="18"/>
  <c r="K1077" i="18" s="1"/>
  <c r="L1077" i="18" s="1"/>
  <c r="J765" i="18"/>
  <c r="K765" i="18" s="1"/>
  <c r="L765" i="18" s="1"/>
  <c r="J755" i="18"/>
  <c r="K755" i="18" s="1"/>
  <c r="L755" i="18" s="1"/>
  <c r="J751" i="18"/>
  <c r="K751" i="18" s="1"/>
  <c r="L751" i="18" s="1"/>
  <c r="J743" i="18"/>
  <c r="K743" i="18" s="1"/>
  <c r="L743" i="18" s="1"/>
  <c r="J740" i="18"/>
  <c r="K740" i="18" s="1"/>
  <c r="L740" i="18" s="1"/>
  <c r="J759" i="18"/>
  <c r="K759" i="18" s="1"/>
  <c r="L759" i="18" s="1"/>
  <c r="J641" i="18"/>
  <c r="K641" i="18" s="1"/>
  <c r="L641" i="18" s="1"/>
  <c r="J729" i="18"/>
  <c r="K729" i="18" s="1"/>
  <c r="L729" i="18" s="1"/>
  <c r="J687" i="18"/>
  <c r="K687" i="18" s="1"/>
  <c r="L687" i="18" s="1"/>
  <c r="J721" i="18"/>
  <c r="K721" i="18" s="1"/>
  <c r="L721" i="18" s="1"/>
  <c r="J696" i="18"/>
  <c r="K696" i="18" s="1"/>
  <c r="L696" i="18" s="1"/>
  <c r="J655" i="18"/>
  <c r="K655" i="18" s="1"/>
  <c r="L655" i="18" s="1"/>
  <c r="J699" i="18"/>
  <c r="K699" i="18" s="1"/>
  <c r="L699" i="18" s="1"/>
  <c r="J1132" i="18"/>
  <c r="K1132" i="18" s="1"/>
  <c r="L1132" i="18" s="1"/>
  <c r="J1014" i="18"/>
  <c r="K1014" i="18" s="1"/>
  <c r="L1014" i="18" s="1"/>
  <c r="J1111" i="18"/>
  <c r="K1111" i="18" s="1"/>
  <c r="L1111" i="18" s="1"/>
  <c r="J1102" i="18"/>
  <c r="K1102" i="18" s="1"/>
  <c r="L1102" i="18" s="1"/>
  <c r="J1057" i="18"/>
  <c r="K1057" i="18" s="1"/>
  <c r="L1057" i="18" s="1"/>
  <c r="J1082" i="18"/>
  <c r="K1082" i="18" s="1"/>
  <c r="L1082" i="18" s="1"/>
  <c r="J1063" i="18"/>
  <c r="K1063" i="18" s="1"/>
  <c r="L1063" i="18" s="1"/>
  <c r="J662" i="18"/>
  <c r="K662" i="18" s="1"/>
  <c r="L662" i="18" s="1"/>
  <c r="J725" i="18"/>
  <c r="K725" i="18" s="1"/>
  <c r="L725" i="18" s="1"/>
  <c r="J718" i="18"/>
  <c r="K718" i="18" s="1"/>
  <c r="L718" i="18" s="1"/>
  <c r="J715" i="18"/>
  <c r="K715" i="18" s="1"/>
  <c r="L715" i="18" s="1"/>
  <c r="J650" i="18"/>
  <c r="K650" i="18" s="1"/>
  <c r="L650" i="18" s="1"/>
  <c r="J1143" i="18"/>
  <c r="K1143" i="18" s="1"/>
  <c r="L1143" i="18" s="1"/>
  <c r="J1007" i="18"/>
  <c r="K1007" i="18" s="1"/>
  <c r="L1007" i="18" s="1"/>
  <c r="J1017" i="18"/>
  <c r="K1017" i="18" s="1"/>
  <c r="L1017" i="18" s="1"/>
  <c r="J1110" i="18"/>
  <c r="K1110" i="18" s="1"/>
  <c r="L1110" i="18" s="1"/>
  <c r="J1042" i="18"/>
  <c r="K1042" i="18" s="1"/>
  <c r="L1042" i="18" s="1"/>
  <c r="J1058" i="18"/>
  <c r="K1058" i="18" s="1"/>
  <c r="L1058" i="18" s="1"/>
  <c r="J1074" i="18"/>
  <c r="K1074" i="18" s="1"/>
  <c r="L1074" i="18" s="1"/>
  <c r="J720" i="18"/>
  <c r="K720" i="18" s="1"/>
  <c r="L720" i="18" s="1"/>
  <c r="J706" i="18"/>
  <c r="K706" i="18" s="1"/>
  <c r="L706" i="18" s="1"/>
  <c r="J1094" i="18"/>
  <c r="K1094" i="18" s="1"/>
  <c r="L1094" i="18" s="1"/>
  <c r="J1084" i="18"/>
  <c r="K1084" i="18" s="1"/>
  <c r="L1084" i="18" s="1"/>
  <c r="J752" i="18"/>
  <c r="K752" i="18" s="1"/>
  <c r="L752" i="18" s="1"/>
  <c r="J1000" i="18"/>
  <c r="K1000" i="18" s="1"/>
  <c r="L1000" i="18" s="1"/>
  <c r="J1134" i="18"/>
  <c r="K1134" i="18" s="1"/>
  <c r="L1134" i="18" s="1"/>
  <c r="J1119" i="18"/>
  <c r="K1119" i="18" s="1"/>
  <c r="L1119" i="18" s="1"/>
  <c r="J1086" i="18"/>
  <c r="K1086" i="18" s="1"/>
  <c r="L1086" i="18" s="1"/>
  <c r="J640" i="18"/>
  <c r="K640" i="18" s="1"/>
  <c r="L640" i="18" s="1"/>
  <c r="J727" i="18"/>
  <c r="K727" i="18" s="1"/>
  <c r="L727" i="18" s="1"/>
  <c r="J710" i="18"/>
  <c r="K710" i="18" s="1"/>
  <c r="L710" i="18" s="1"/>
  <c r="J1043" i="18"/>
  <c r="K1043" i="18" s="1"/>
  <c r="L1043" i="18" s="1"/>
  <c r="J1085" i="18"/>
  <c r="K1085" i="18" s="1"/>
  <c r="L1085" i="18" s="1"/>
  <c r="J1067" i="18"/>
  <c r="K1067" i="18" s="1"/>
  <c r="L1067" i="18" s="1"/>
  <c r="J1073" i="18"/>
  <c r="K1073" i="18" s="1"/>
  <c r="L1073" i="18" s="1"/>
  <c r="J758" i="18"/>
  <c r="K758" i="18" s="1"/>
  <c r="L758" i="18" s="1"/>
  <c r="J734" i="18"/>
  <c r="K734" i="18" s="1"/>
  <c r="L734" i="18" s="1"/>
  <c r="J1121" i="18"/>
  <c r="K1121" i="18" s="1"/>
  <c r="L1121" i="18" s="1"/>
  <c r="J267" i="18"/>
  <c r="K267" i="18" s="1"/>
  <c r="L267" i="18" s="1"/>
  <c r="J80" i="18"/>
  <c r="K80" i="18" s="1"/>
  <c r="L80" i="18" s="1"/>
  <c r="J536" i="18"/>
  <c r="K536" i="18" s="1"/>
  <c r="L536" i="18" s="1"/>
  <c r="J833" i="18"/>
  <c r="K833" i="18" s="1"/>
  <c r="L833" i="18" s="1"/>
  <c r="J939" i="18"/>
  <c r="K939" i="18" s="1"/>
  <c r="L939" i="18" s="1"/>
  <c r="J942" i="18"/>
  <c r="K942" i="18" s="1"/>
  <c r="L942" i="18" s="1"/>
  <c r="J944" i="18"/>
  <c r="K944" i="18" s="1"/>
  <c r="L944" i="18" s="1"/>
  <c r="J951" i="18"/>
  <c r="K951" i="18" s="1"/>
  <c r="L951" i="18" s="1"/>
  <c r="J1190" i="18"/>
  <c r="K1190" i="18" s="1"/>
  <c r="L1190" i="18" s="1"/>
  <c r="J960" i="18"/>
  <c r="K960" i="18" s="1"/>
  <c r="L960" i="18" s="1"/>
  <c r="J968" i="18"/>
  <c r="K968" i="18" s="1"/>
  <c r="L968" i="18" s="1"/>
  <c r="J1179" i="18"/>
  <c r="K1179" i="18" s="1"/>
  <c r="L1179" i="18" s="1"/>
  <c r="J971" i="18"/>
  <c r="K971" i="18" s="1"/>
  <c r="L971" i="18" s="1"/>
  <c r="J974" i="18"/>
  <c r="K974" i="18" s="1"/>
  <c r="L974" i="18" s="1"/>
  <c r="J992" i="18"/>
  <c r="K992" i="18" s="1"/>
  <c r="L992" i="18" s="1"/>
  <c r="J996" i="18"/>
  <c r="K996" i="18" s="1"/>
  <c r="L996" i="18" s="1"/>
  <c r="BF3" i="16"/>
  <c r="D21" i="14"/>
  <c r="D20" i="14"/>
  <c r="F8" i="18" l="1"/>
  <c r="P7" i="18" s="1"/>
  <c r="D23" i="14"/>
  <c r="D22" i="14"/>
  <c r="D25" i="14" l="1"/>
  <c r="D24" i="14"/>
  <c r="D27" i="14" l="1"/>
  <c r="D26" i="14"/>
  <c r="D29" i="14" l="1"/>
  <c r="D28" i="14"/>
  <c r="D31" i="14" l="1"/>
  <c r="D30" i="14"/>
  <c r="D33" i="14" l="1"/>
  <c r="D32" i="14"/>
  <c r="D35" i="14" l="1"/>
  <c r="D34" i="14"/>
  <c r="D37" i="14" l="1"/>
  <c r="D36" i="14"/>
  <c r="D39" i="14" l="1"/>
  <c r="D38" i="14"/>
  <c r="D41" i="14" l="1"/>
  <c r="D40" i="14"/>
  <c r="D43" i="14" l="1"/>
  <c r="D42" i="14"/>
  <c r="D45" i="14" l="1"/>
  <c r="D44" i="14"/>
  <c r="D47" i="14" l="1"/>
  <c r="D46" i="14"/>
  <c r="D49" i="14" l="1"/>
  <c r="D48" i="14"/>
  <c r="D51" i="14" l="1"/>
  <c r="D50" i="14"/>
  <c r="D53" i="14" l="1"/>
  <c r="D52" i="14"/>
  <c r="D55" i="14" l="1"/>
  <c r="D54" i="14"/>
  <c r="D57" i="14" l="1"/>
  <c r="D56" i="14"/>
  <c r="D59" i="14" l="1"/>
  <c r="D58" i="14"/>
  <c r="D61" i="14" l="1"/>
  <c r="D60" i="14"/>
  <c r="D63" i="14" l="1"/>
  <c r="D62" i="14"/>
  <c r="D65" i="14" l="1"/>
  <c r="D64" i="14"/>
  <c r="D67" i="14" l="1"/>
  <c r="D66" i="14"/>
  <c r="D69" i="14" l="1"/>
  <c r="D68" i="14"/>
  <c r="D71" i="14" l="1"/>
  <c r="D70" i="14"/>
  <c r="D73" i="14" l="1"/>
  <c r="D72" i="14"/>
  <c r="D75" i="14" l="1"/>
  <c r="D74" i="14"/>
  <c r="D77" i="14" l="1"/>
  <c r="D76" i="14"/>
  <c r="D79" i="14" l="1"/>
  <c r="D78" i="14"/>
  <c r="D81" i="14" l="1"/>
  <c r="D80" i="14"/>
  <c r="D83" i="14" l="1"/>
  <c r="D82" i="14"/>
  <c r="D85" i="14" l="1"/>
  <c r="D84" i="14"/>
  <c r="D87" i="14" l="1"/>
  <c r="D86" i="14"/>
  <c r="D89" i="14" l="1"/>
  <c r="D88" i="14"/>
  <c r="D91" i="14" l="1"/>
  <c r="D90" i="14"/>
  <c r="D93" i="14" l="1"/>
  <c r="D92" i="14"/>
  <c r="D95" i="14" l="1"/>
  <c r="D94" i="14"/>
  <c r="D97" i="14" l="1"/>
  <c r="D96" i="14"/>
  <c r="D99" i="14" l="1"/>
  <c r="D98" i="14"/>
  <c r="D101" i="14" l="1"/>
  <c r="D100" i="14"/>
  <c r="D103" i="14" l="1"/>
  <c r="D102" i="14"/>
  <c r="D105" i="14" l="1"/>
  <c r="D104" i="14"/>
  <c r="D107" i="14" l="1"/>
  <c r="D106" i="14"/>
  <c r="D109" i="14" l="1"/>
  <c r="D108" i="14"/>
  <c r="D111" i="14" l="1"/>
  <c r="D110" i="14"/>
  <c r="D113" i="14" l="1"/>
  <c r="D112" i="14"/>
  <c r="D115" i="14" l="1"/>
  <c r="D114" i="14"/>
  <c r="D117" i="14" l="1"/>
  <c r="D116" i="14"/>
  <c r="D119" i="14" l="1"/>
  <c r="D118" i="14"/>
  <c r="D121" i="14" l="1"/>
  <c r="D120" i="14"/>
  <c r="D123" i="14" l="1"/>
  <c r="D122" i="14"/>
  <c r="D125" i="14" l="1"/>
  <c r="D124" i="14"/>
  <c r="D127" i="14" l="1"/>
  <c r="D126" i="14"/>
  <c r="D129" i="14" l="1"/>
  <c r="D128" i="14"/>
  <c r="D131" i="14" l="1"/>
  <c r="D130" i="14"/>
  <c r="D133" i="14" l="1"/>
  <c r="D132" i="14"/>
  <c r="D135" i="14" l="1"/>
  <c r="D134" i="14"/>
  <c r="D137" i="14" l="1"/>
  <c r="D136" i="14"/>
  <c r="D139" i="14" l="1"/>
  <c r="D138" i="14"/>
  <c r="D141" i="14" l="1"/>
  <c r="D140" i="14"/>
  <c r="D143" i="14" l="1"/>
  <c r="D142" i="14"/>
  <c r="D145" i="14" l="1"/>
  <c r="D144" i="14"/>
  <c r="D147" i="14" l="1"/>
  <c r="D146" i="14"/>
  <c r="D149" i="14" l="1"/>
  <c r="D148" i="14"/>
  <c r="D151" i="14" l="1"/>
  <c r="D150" i="14"/>
  <c r="D153" i="14" l="1"/>
  <c r="D152" i="14"/>
  <c r="D155" i="14" l="1"/>
  <c r="D154" i="14"/>
  <c r="D157" i="14" l="1"/>
  <c r="D156" i="14"/>
  <c r="D159" i="14" l="1"/>
  <c r="D158" i="14"/>
  <c r="D161" i="14" l="1"/>
  <c r="D160" i="14"/>
  <c r="D163" i="14" l="1"/>
  <c r="D162" i="14"/>
  <c r="D165" i="14" l="1"/>
  <c r="D164" i="14"/>
  <c r="D167" i="14" l="1"/>
  <c r="D166" i="14"/>
  <c r="D169" i="14" l="1"/>
  <c r="D168" i="14"/>
  <c r="D171" i="14" l="1"/>
  <c r="D170" i="14"/>
  <c r="D173" i="14" l="1"/>
  <c r="D172" i="14"/>
  <c r="D175" i="14" l="1"/>
  <c r="D174" i="14"/>
  <c r="D177" i="14" l="1"/>
  <c r="D176" i="14"/>
  <c r="D179" i="14" l="1"/>
  <c r="D178" i="14"/>
  <c r="D181" i="14" l="1"/>
  <c r="D180" i="14"/>
  <c r="D183" i="14" l="1"/>
  <c r="D182" i="14"/>
  <c r="D185" i="14" l="1"/>
  <c r="D184" i="14"/>
  <c r="D187" i="14" l="1"/>
  <c r="D186" i="14"/>
  <c r="D189" i="14" l="1"/>
  <c r="D188" i="14"/>
  <c r="D191" i="14" l="1"/>
  <c r="D190" i="14"/>
  <c r="D193" i="14" l="1"/>
  <c r="D192" i="14"/>
  <c r="D195" i="14" l="1"/>
  <c r="D194" i="14"/>
  <c r="D197" i="14" l="1"/>
  <c r="D196" i="14"/>
  <c r="D199" i="14" l="1"/>
  <c r="D198" i="14"/>
  <c r="D201" i="14" l="1"/>
  <c r="D200" i="14"/>
  <c r="D203" i="14" l="1"/>
  <c r="D202" i="14"/>
  <c r="D205" i="14" l="1"/>
  <c r="D204" i="14"/>
  <c r="D207" i="14" l="1"/>
  <c r="D206" i="14"/>
  <c r="D209" i="14" l="1"/>
  <c r="D208" i="14"/>
  <c r="D211" i="14" l="1"/>
  <c r="D210" i="14"/>
  <c r="D213" i="14" l="1"/>
  <c r="D212" i="14"/>
  <c r="D215" i="14" l="1"/>
  <c r="D214" i="14"/>
  <c r="D217" i="14" l="1"/>
  <c r="D216" i="14"/>
  <c r="D219" i="14" l="1"/>
  <c r="D218" i="14"/>
  <c r="D221" i="14" l="1"/>
  <c r="D220" i="14"/>
  <c r="D223" i="14" l="1"/>
  <c r="D222" i="14"/>
  <c r="D225" i="14" l="1"/>
  <c r="D224" i="14"/>
  <c r="D227" i="14" l="1"/>
  <c r="D226" i="14"/>
  <c r="D229" i="14" l="1"/>
  <c r="D228" i="14"/>
  <c r="D231" i="14" l="1"/>
  <c r="D230" i="14"/>
  <c r="D233" i="14" l="1"/>
  <c r="D232" i="14"/>
  <c r="D235" i="14" l="1"/>
  <c r="D234" i="14"/>
  <c r="D237" i="14" l="1"/>
  <c r="D236" i="14"/>
  <c r="D239" i="14" l="1"/>
  <c r="D238" i="14"/>
  <c r="D241" i="14" l="1"/>
  <c r="D240" i="14"/>
  <c r="D243" i="14" l="1"/>
  <c r="D242" i="14"/>
  <c r="D245" i="14" l="1"/>
  <c r="D244" i="14"/>
  <c r="D247" i="14" l="1"/>
  <c r="D246" i="14"/>
  <c r="D249" i="14" l="1"/>
  <c r="D248" i="14"/>
  <c r="D251" i="14" l="1"/>
  <c r="D250" i="14"/>
  <c r="D253" i="14" l="1"/>
  <c r="D252" i="14"/>
  <c r="D255" i="14" l="1"/>
  <c r="D254" i="14"/>
  <c r="D257" i="14" l="1"/>
  <c r="D256" i="14"/>
  <c r="D259" i="14" l="1"/>
  <c r="D258" i="14"/>
  <c r="D261" i="14" l="1"/>
  <c r="D260" i="14"/>
  <c r="D263" i="14" l="1"/>
  <c r="D262" i="14"/>
  <c r="D265" i="14" l="1"/>
  <c r="D264" i="14"/>
  <c r="D267" i="14" l="1"/>
  <c r="D266" i="14"/>
  <c r="D269" i="14" l="1"/>
  <c r="D268" i="14"/>
  <c r="D271" i="14" l="1"/>
  <c r="D270" i="14"/>
  <c r="D273" i="14" l="1"/>
  <c r="D272" i="14"/>
  <c r="D275" i="14" l="1"/>
  <c r="D274" i="14"/>
  <c r="D277" i="14" l="1"/>
  <c r="D276" i="14"/>
  <c r="D279" i="14" l="1"/>
  <c r="D278" i="14"/>
  <c r="D281" i="14" l="1"/>
  <c r="D280" i="14"/>
  <c r="D283" i="14" l="1"/>
  <c r="D282" i="14"/>
  <c r="D285" i="14" l="1"/>
  <c r="D284" i="14"/>
  <c r="D287" i="14" l="1"/>
  <c r="D286" i="14"/>
  <c r="D289" i="14" l="1"/>
  <c r="D288" i="14"/>
  <c r="D291" i="14" l="1"/>
  <c r="D290" i="14"/>
  <c r="D293" i="14" l="1"/>
  <c r="D292" i="14"/>
  <c r="D295" i="14" l="1"/>
  <c r="D294" i="14"/>
  <c r="D297" i="14" l="1"/>
  <c r="D296" i="14"/>
  <c r="D299" i="14" l="1"/>
  <c r="D298" i="14"/>
  <c r="D301" i="14" l="1"/>
  <c r="D300" i="14"/>
  <c r="D303" i="14" l="1"/>
  <c r="D302" i="14"/>
  <c r="D305" i="14" l="1"/>
  <c r="D304" i="14"/>
  <c r="D307" i="14" l="1"/>
  <c r="D306" i="14"/>
  <c r="D309" i="14" l="1"/>
  <c r="D308" i="14"/>
  <c r="D311" i="14" l="1"/>
  <c r="D310" i="14"/>
  <c r="D313" i="14" l="1"/>
  <c r="D312" i="14"/>
  <c r="D315" i="14" l="1"/>
  <c r="D314" i="14"/>
  <c r="D317" i="14" l="1"/>
  <c r="D316" i="14"/>
  <c r="D319" i="14" l="1"/>
  <c r="D318" i="14"/>
  <c r="D321" i="14" l="1"/>
  <c r="D320" i="14"/>
  <c r="D323" i="14" l="1"/>
  <c r="D322" i="14"/>
  <c r="D325" i="14" l="1"/>
  <c r="D324" i="14"/>
  <c r="D327" i="14" l="1"/>
  <c r="D326" i="14"/>
  <c r="D329" i="14" l="1"/>
  <c r="D328" i="14"/>
  <c r="D331" i="14" l="1"/>
  <c r="D330" i="14"/>
  <c r="D333" i="14" l="1"/>
  <c r="D332" i="14"/>
  <c r="D335" i="14" l="1"/>
  <c r="D334" i="14"/>
  <c r="D337" i="14" l="1"/>
  <c r="D336" i="14"/>
  <c r="D339" i="14" l="1"/>
  <c r="D338" i="14"/>
  <c r="D341" i="14" l="1"/>
  <c r="D340" i="14"/>
  <c r="D343" i="14" l="1"/>
  <c r="D342" i="14"/>
  <c r="D345" i="14" l="1"/>
  <c r="D344" i="14"/>
  <c r="D347" i="14" l="1"/>
  <c r="D346" i="14"/>
  <c r="D349" i="14" l="1"/>
  <c r="D348" i="14"/>
  <c r="D351" i="14" l="1"/>
  <c r="D350" i="14"/>
  <c r="D353" i="14" l="1"/>
  <c r="D352" i="14"/>
  <c r="D355" i="14" l="1"/>
  <c r="D354" i="14"/>
  <c r="D357" i="14" l="1"/>
  <c r="D356" i="14"/>
  <c r="D359" i="14" l="1"/>
  <c r="D358" i="14"/>
  <c r="D361" i="14" l="1"/>
  <c r="D360" i="14"/>
  <c r="D363" i="14" l="1"/>
  <c r="D362" i="14"/>
  <c r="D365" i="14" l="1"/>
  <c r="D364" i="14"/>
  <c r="D367" i="14" l="1"/>
  <c r="D366" i="14"/>
  <c r="D369" i="14" l="1"/>
  <c r="D368" i="14"/>
  <c r="D371" i="14" l="1"/>
  <c r="D370" i="14"/>
  <c r="D373" i="14" l="1"/>
  <c r="D372" i="14"/>
  <c r="D375" i="14" l="1"/>
  <c r="D374" i="14"/>
  <c r="D377" i="14" l="1"/>
  <c r="D376" i="14"/>
  <c r="D379" i="14" l="1"/>
  <c r="D378" i="14"/>
  <c r="D381" i="14" l="1"/>
  <c r="D380" i="14"/>
  <c r="D383" i="14" l="1"/>
  <c r="D382" i="14"/>
  <c r="D385" i="14" l="1"/>
  <c r="D384" i="14"/>
  <c r="D387" i="14" l="1"/>
  <c r="D386" i="14"/>
  <c r="D389" i="14" l="1"/>
  <c r="D388" i="14"/>
  <c r="D391" i="14" l="1"/>
  <c r="D390" i="14"/>
  <c r="D393" i="14" l="1"/>
  <c r="D392" i="14"/>
  <c r="D395" i="14" l="1"/>
  <c r="D394" i="14"/>
  <c r="D397" i="14" l="1"/>
  <c r="D396" i="14"/>
  <c r="D399" i="14" l="1"/>
  <c r="D398" i="14"/>
  <c r="D401" i="14" l="1"/>
  <c r="D400" i="14"/>
  <c r="D403" i="14" l="1"/>
  <c r="D402" i="14"/>
  <c r="D405" i="14" l="1"/>
  <c r="D404" i="14"/>
  <c r="D407" i="14" l="1"/>
  <c r="D406" i="14"/>
  <c r="D409" i="14" l="1"/>
  <c r="D408" i="14"/>
  <c r="D411" i="14" l="1"/>
  <c r="D410" i="14"/>
  <c r="D413" i="14" l="1"/>
  <c r="D412" i="14"/>
  <c r="D415" i="14" l="1"/>
  <c r="D414" i="14"/>
  <c r="D417" i="14" l="1"/>
  <c r="D416" i="14"/>
  <c r="D419" i="14" l="1"/>
  <c r="D418" i="14"/>
  <c r="D421" i="14" l="1"/>
  <c r="D420" i="14"/>
  <c r="D423" i="14" l="1"/>
  <c r="D422" i="14"/>
  <c r="D425" i="14" l="1"/>
  <c r="D424" i="14"/>
  <c r="D427" i="14" l="1"/>
  <c r="D426" i="14"/>
  <c r="D429" i="14" l="1"/>
  <c r="D428" i="14"/>
  <c r="D431" i="14" l="1"/>
  <c r="D430" i="14"/>
  <c r="D433" i="14" l="1"/>
  <c r="D432" i="14"/>
  <c r="D435" i="14" l="1"/>
  <c r="D434" i="14"/>
  <c r="D437" i="14" l="1"/>
  <c r="D436" i="14"/>
  <c r="D439" i="14" l="1"/>
  <c r="D438" i="14"/>
  <c r="D441" i="14" l="1"/>
  <c r="D440" i="14"/>
  <c r="D443" i="14" l="1"/>
  <c r="D442" i="14"/>
  <c r="D445" i="14" l="1"/>
  <c r="D444" i="14"/>
  <c r="D447" i="14" l="1"/>
  <c r="D446" i="14"/>
  <c r="D449" i="14" l="1"/>
  <c r="D448" i="14"/>
  <c r="D451" i="14" l="1"/>
  <c r="D450" i="14"/>
  <c r="D453" i="14" l="1"/>
  <c r="D452" i="14"/>
  <c r="D455" i="14" l="1"/>
  <c r="D454" i="14"/>
  <c r="D457" i="14" l="1"/>
  <c r="D456" i="14"/>
  <c r="D459" i="14" l="1"/>
  <c r="D458" i="14"/>
  <c r="D461" i="14" l="1"/>
  <c r="D460" i="14"/>
  <c r="D463" i="14" l="1"/>
  <c r="D462" i="14"/>
  <c r="D465" i="14" l="1"/>
  <c r="D464" i="14"/>
  <c r="D467" i="14" l="1"/>
  <c r="D466" i="14"/>
  <c r="D469" i="14" l="1"/>
  <c r="D468" i="14"/>
  <c r="D471" i="14" l="1"/>
  <c r="D470" i="14"/>
  <c r="D473" i="14" l="1"/>
  <c r="D472" i="14"/>
  <c r="D475" i="14" l="1"/>
  <c r="D474" i="14"/>
  <c r="D477" i="14" l="1"/>
  <c r="D476" i="14"/>
  <c r="D479" i="14" l="1"/>
  <c r="D478" i="14"/>
  <c r="D481" i="14" l="1"/>
  <c r="D480" i="14"/>
  <c r="D483" i="14" l="1"/>
  <c r="D482" i="14"/>
  <c r="D485" i="14" l="1"/>
  <c r="D484" i="14"/>
  <c r="D487" i="14" l="1"/>
  <c r="D486" i="14"/>
  <c r="D489" i="14" l="1"/>
  <c r="D488" i="14"/>
  <c r="D491" i="14" l="1"/>
  <c r="D490" i="14"/>
  <c r="D493" i="14" l="1"/>
  <c r="D492" i="14"/>
  <c r="D495" i="14" l="1"/>
  <c r="D494" i="14"/>
  <c r="D497" i="14" l="1"/>
  <c r="D496" i="14"/>
  <c r="D499" i="14" l="1"/>
  <c r="D498" i="14"/>
  <c r="D501" i="14" l="1"/>
  <c r="D500" i="14"/>
  <c r="D503" i="14" l="1"/>
  <c r="D502" i="14"/>
  <c r="D505" i="14" l="1"/>
  <c r="D504" i="14"/>
  <c r="D507" i="14" l="1"/>
  <c r="D506" i="14"/>
  <c r="D509" i="14" l="1"/>
  <c r="D508" i="14"/>
  <c r="D511" i="14" l="1"/>
  <c r="D510" i="14"/>
  <c r="D513" i="14" l="1"/>
  <c r="D512" i="14"/>
  <c r="D515" i="14" l="1"/>
  <c r="D514" i="14"/>
  <c r="D517" i="14" l="1"/>
  <c r="D516" i="14"/>
  <c r="D519" i="14" l="1"/>
  <c r="D518" i="14"/>
  <c r="D521" i="14" l="1"/>
  <c r="D520" i="14"/>
  <c r="D523" i="14" l="1"/>
  <c r="D522" i="14"/>
  <c r="D525" i="14" l="1"/>
  <c r="D524" i="14"/>
  <c r="D527" i="14" l="1"/>
  <c r="D526" i="14"/>
  <c r="D529" i="14" l="1"/>
  <c r="D528" i="14"/>
  <c r="D531" i="14" l="1"/>
  <c r="D530" i="14"/>
  <c r="D533" i="14" l="1"/>
  <c r="D532" i="14"/>
  <c r="D535" i="14" l="1"/>
  <c r="D534" i="14"/>
  <c r="D537" i="14" l="1"/>
  <c r="D536" i="14"/>
  <c r="D539" i="14" l="1"/>
  <c r="D538" i="14"/>
  <c r="D541" i="14" l="1"/>
  <c r="D540" i="14"/>
  <c r="D543" i="14" l="1"/>
  <c r="D542" i="14"/>
  <c r="D545" i="14" l="1"/>
  <c r="D544" i="14"/>
  <c r="D547" i="14" l="1"/>
  <c r="D546" i="14"/>
  <c r="D549" i="14" l="1"/>
  <c r="D548" i="14"/>
  <c r="D551" i="14" l="1"/>
  <c r="D550" i="14"/>
  <c r="D553" i="14" l="1"/>
  <c r="D552" i="14"/>
  <c r="D555" i="14" l="1"/>
  <c r="D554" i="14"/>
  <c r="D557" i="14" l="1"/>
  <c r="D556" i="14"/>
  <c r="D559" i="14" l="1"/>
  <c r="D558" i="14"/>
  <c r="D561" i="14" l="1"/>
  <c r="D560" i="14"/>
  <c r="D563" i="14" l="1"/>
  <c r="D562" i="14"/>
  <c r="D565" i="14" l="1"/>
  <c r="D564" i="14"/>
  <c r="D567" i="14" l="1"/>
  <c r="D566" i="14"/>
  <c r="D569" i="14" l="1"/>
  <c r="D568" i="14"/>
  <c r="D571" i="14" l="1"/>
  <c r="D570" i="14"/>
  <c r="D573" i="14" l="1"/>
  <c r="D572" i="14"/>
  <c r="D575" i="14" l="1"/>
  <c r="D574" i="14"/>
  <c r="D577" i="14" l="1"/>
  <c r="D576" i="14"/>
  <c r="D579" i="14" l="1"/>
  <c r="D578" i="14"/>
  <c r="D581" i="14" l="1"/>
  <c r="D580" i="14"/>
  <c r="D583" i="14" l="1"/>
  <c r="D582" i="14"/>
  <c r="D585" i="14" l="1"/>
  <c r="D584" i="14"/>
  <c r="D587" i="14" l="1"/>
  <c r="D586" i="14"/>
  <c r="D589" i="14" l="1"/>
  <c r="D588" i="14"/>
  <c r="D591" i="14" l="1"/>
  <c r="D590" i="14"/>
  <c r="D593" i="14" l="1"/>
  <c r="D592" i="14"/>
  <c r="D595" i="14" l="1"/>
  <c r="D594" i="14"/>
  <c r="D597" i="14" l="1"/>
  <c r="D596" i="14"/>
  <c r="D599" i="14" l="1"/>
  <c r="D598" i="14"/>
  <c r="D601" i="14" l="1"/>
  <c r="D600" i="14"/>
  <c r="D603" i="14" l="1"/>
  <c r="D602" i="14"/>
  <c r="D605" i="14" l="1"/>
  <c r="D604" i="14"/>
  <c r="D607" i="14" l="1"/>
  <c r="D606" i="14"/>
  <c r="D609" i="14" l="1"/>
  <c r="D608" i="14"/>
  <c r="D611" i="14" l="1"/>
  <c r="D610" i="14"/>
  <c r="D613" i="14" l="1"/>
  <c r="D612" i="14"/>
  <c r="D615" i="14" l="1"/>
  <c r="D614" i="14"/>
  <c r="D617" i="14" l="1"/>
  <c r="D616" i="14"/>
  <c r="D619" i="14" l="1"/>
  <c r="D618" i="14"/>
  <c r="D621" i="14" l="1"/>
  <c r="D620" i="14"/>
  <c r="D623" i="14" l="1"/>
  <c r="D622" i="14"/>
  <c r="D625" i="14" l="1"/>
  <c r="D624" i="14"/>
  <c r="D627" i="14" l="1"/>
  <c r="D626" i="14"/>
  <c r="D629" i="14" l="1"/>
  <c r="D628" i="14"/>
  <c r="D631" i="14" l="1"/>
  <c r="D630" i="14"/>
  <c r="D633" i="14" l="1"/>
  <c r="D632" i="14"/>
  <c r="D635" i="14" l="1"/>
  <c r="D634" i="14"/>
  <c r="D637" i="14" l="1"/>
  <c r="D636" i="14"/>
  <c r="D639" i="14" l="1"/>
  <c r="D638" i="14"/>
  <c r="D641" i="14" l="1"/>
  <c r="D640" i="14"/>
  <c r="D643" i="14" l="1"/>
  <c r="D642" i="14"/>
  <c r="D645" i="14" l="1"/>
  <c r="D644" i="14"/>
  <c r="D647" i="14" l="1"/>
  <c r="D646" i="14"/>
  <c r="D649" i="14" l="1"/>
  <c r="D648" i="14"/>
  <c r="D651" i="14" l="1"/>
  <c r="D650" i="14"/>
  <c r="D653" i="14" l="1"/>
  <c r="D652" i="14"/>
  <c r="D655" i="14" l="1"/>
  <c r="D654" i="14"/>
  <c r="D657" i="14" l="1"/>
  <c r="D656" i="14"/>
  <c r="D659" i="14" l="1"/>
  <c r="D658" i="14"/>
  <c r="D661" i="14" l="1"/>
  <c r="D660" i="14"/>
  <c r="D663" i="14" l="1"/>
  <c r="D662" i="14"/>
  <c r="D665" i="14" l="1"/>
  <c r="D664" i="14"/>
  <c r="D667" i="14" l="1"/>
  <c r="D666" i="14"/>
  <c r="D669" i="14" l="1"/>
  <c r="D668" i="14"/>
  <c r="D671" i="14" l="1"/>
  <c r="D670" i="14"/>
  <c r="D673" i="14" l="1"/>
  <c r="D672" i="14"/>
  <c r="D675" i="14" l="1"/>
  <c r="D674" i="14"/>
  <c r="D677" i="14" l="1"/>
  <c r="D676" i="14"/>
  <c r="D679" i="14" l="1"/>
  <c r="D678" i="14"/>
  <c r="D681" i="14" l="1"/>
  <c r="D680" i="14"/>
  <c r="D683" i="14" l="1"/>
  <c r="D682" i="14"/>
  <c r="D685" i="14" l="1"/>
  <c r="D684" i="14"/>
  <c r="D687" i="14" l="1"/>
  <c r="D686" i="14"/>
  <c r="D689" i="14" l="1"/>
  <c r="D688" i="14"/>
  <c r="D691" i="14" l="1"/>
  <c r="D690" i="14"/>
  <c r="D693" i="14" l="1"/>
  <c r="D692" i="14"/>
  <c r="D695" i="14" l="1"/>
  <c r="D694" i="14"/>
  <c r="D697" i="14" l="1"/>
  <c r="D696" i="14"/>
  <c r="D699" i="14" l="1"/>
  <c r="D698" i="14"/>
  <c r="D701" i="14" l="1"/>
  <c r="D700" i="14"/>
  <c r="D703" i="14" l="1"/>
  <c r="D702" i="14"/>
  <c r="D705" i="14" l="1"/>
  <c r="D704" i="14"/>
  <c r="D707" i="14" l="1"/>
  <c r="D706" i="14"/>
  <c r="D709" i="14" l="1"/>
  <c r="D708" i="14"/>
  <c r="D711" i="14" l="1"/>
  <c r="D710" i="14"/>
  <c r="D713" i="14" l="1"/>
  <c r="D712" i="14"/>
  <c r="D715" i="14" l="1"/>
  <c r="D714" i="14"/>
  <c r="D717" i="14" l="1"/>
  <c r="D716" i="14"/>
  <c r="D719" i="14" l="1"/>
  <c r="D718" i="14"/>
  <c r="D721" i="14" l="1"/>
  <c r="D720" i="14"/>
  <c r="D723" i="14" l="1"/>
  <c r="D722" i="14"/>
  <c r="D725" i="14" l="1"/>
  <c r="D724" i="14"/>
  <c r="D727" i="14" l="1"/>
  <c r="D726" i="14"/>
  <c r="D729" i="14" l="1"/>
  <c r="D728" i="14"/>
  <c r="D731" i="14" l="1"/>
  <c r="D730" i="14"/>
  <c r="D733" i="14" l="1"/>
  <c r="D732" i="14"/>
  <c r="D735" i="14" l="1"/>
  <c r="D734" i="14"/>
  <c r="D737" i="14" l="1"/>
  <c r="D736" i="14"/>
  <c r="D739" i="14" l="1"/>
  <c r="D738" i="14"/>
  <c r="D741" i="14" l="1"/>
  <c r="D740" i="14"/>
  <c r="D743" i="14" l="1"/>
  <c r="D742" i="14"/>
  <c r="D745" i="14" l="1"/>
  <c r="D744" i="14"/>
  <c r="D747" i="14" l="1"/>
  <c r="D746" i="14"/>
  <c r="D749" i="14" l="1"/>
  <c r="D748" i="14"/>
  <c r="D751" i="14" l="1"/>
  <c r="D750" i="14"/>
  <c r="D753" i="14" l="1"/>
  <c r="D752" i="14"/>
  <c r="D755" i="14" l="1"/>
  <c r="D754" i="14"/>
  <c r="D757" i="14" l="1"/>
  <c r="D756" i="14"/>
  <c r="D759" i="14" l="1"/>
  <c r="D758" i="14"/>
  <c r="D761" i="14" l="1"/>
  <c r="D760" i="14"/>
  <c r="D763" i="14" l="1"/>
  <c r="D762" i="14"/>
  <c r="D765" i="14" l="1"/>
  <c r="D764" i="14"/>
  <c r="D767" i="14" l="1"/>
  <c r="D766" i="14"/>
  <c r="D769" i="14" l="1"/>
  <c r="D768" i="14"/>
  <c r="D771" i="14" l="1"/>
  <c r="D770" i="14"/>
  <c r="D773" i="14" l="1"/>
  <c r="D772" i="14"/>
  <c r="D775" i="14" l="1"/>
  <c r="D774" i="14"/>
  <c r="D777" i="14" l="1"/>
  <c r="D776" i="14"/>
  <c r="D779" i="14" l="1"/>
  <c r="D778" i="14"/>
  <c r="D781" i="14" l="1"/>
  <c r="D780" i="14"/>
  <c r="D783" i="14" l="1"/>
  <c r="D782" i="14"/>
  <c r="D785" i="14" l="1"/>
  <c r="D784" i="14"/>
  <c r="D787" i="14" l="1"/>
  <c r="D786" i="14"/>
  <c r="D789" i="14" l="1"/>
  <c r="D788" i="14"/>
  <c r="D791" i="14" l="1"/>
  <c r="D790" i="14"/>
  <c r="D793" i="14" l="1"/>
  <c r="D792" i="14"/>
  <c r="D795" i="14" l="1"/>
  <c r="D794" i="14"/>
  <c r="D797" i="14" l="1"/>
  <c r="D796" i="14"/>
  <c r="D799" i="14" l="1"/>
  <c r="D798" i="14"/>
  <c r="D801" i="14" l="1"/>
  <c r="D800" i="14"/>
  <c r="D803" i="14" l="1"/>
  <c r="D802" i="14"/>
  <c r="D805" i="14" l="1"/>
  <c r="D804" i="14"/>
  <c r="D807" i="14" l="1"/>
  <c r="D806" i="14"/>
  <c r="D809" i="14" l="1"/>
  <c r="D808" i="14"/>
  <c r="D811" i="14" l="1"/>
  <c r="D810" i="14"/>
  <c r="D813" i="14" l="1"/>
  <c r="D812" i="14"/>
  <c r="D815" i="14" l="1"/>
  <c r="D814" i="14"/>
  <c r="D817" i="14" l="1"/>
  <c r="D816" i="14"/>
  <c r="D819" i="14" l="1"/>
  <c r="D818" i="14"/>
  <c r="D821" i="14" l="1"/>
  <c r="D820" i="14"/>
  <c r="D823" i="14" l="1"/>
  <c r="D822" i="14"/>
  <c r="D825" i="14" l="1"/>
  <c r="D824" i="14"/>
  <c r="D827" i="14" l="1"/>
  <c r="D826" i="14"/>
  <c r="D829" i="14" l="1"/>
  <c r="D828" i="14"/>
  <c r="D831" i="14" l="1"/>
  <c r="D830" i="14"/>
  <c r="D833" i="14" l="1"/>
  <c r="D832" i="14"/>
  <c r="D835" i="14" l="1"/>
  <c r="D834" i="14"/>
  <c r="D837" i="14" l="1"/>
  <c r="D836" i="14"/>
  <c r="D839" i="14" l="1"/>
  <c r="D838" i="14"/>
  <c r="D841" i="14" l="1"/>
  <c r="D840" i="14"/>
  <c r="D843" i="14" l="1"/>
  <c r="D842" i="14"/>
  <c r="D845" i="14" l="1"/>
  <c r="D844" i="14"/>
  <c r="D847" i="14" l="1"/>
  <c r="D846" i="14"/>
  <c r="D849" i="14" l="1"/>
  <c r="D848" i="14"/>
  <c r="D851" i="14" l="1"/>
  <c r="D850" i="14"/>
  <c r="D853" i="14" l="1"/>
  <c r="D852" i="14"/>
  <c r="D855" i="14" l="1"/>
  <c r="D854" i="14"/>
  <c r="D857" i="14" l="1"/>
  <c r="D856" i="14"/>
  <c r="D859" i="14" l="1"/>
  <c r="D858" i="14"/>
  <c r="D861" i="14" l="1"/>
  <c r="D860" i="14"/>
  <c r="D863" i="14" l="1"/>
  <c r="D862" i="14"/>
  <c r="D865" i="14" l="1"/>
  <c r="D864" i="14"/>
  <c r="D867" i="14" l="1"/>
  <c r="D866" i="14"/>
  <c r="D869" i="14" l="1"/>
  <c r="D868" i="14"/>
  <c r="D871" i="14" l="1"/>
  <c r="D870" i="14"/>
  <c r="D873" i="14" l="1"/>
  <c r="D872" i="14"/>
  <c r="D875" i="14" l="1"/>
  <c r="D874" i="14"/>
  <c r="D877" i="14" l="1"/>
  <c r="D876" i="14"/>
  <c r="D879" i="14" l="1"/>
  <c r="D878" i="14"/>
  <c r="D881" i="14" l="1"/>
  <c r="D880" i="14"/>
  <c r="D883" i="14" l="1"/>
  <c r="D882" i="14"/>
  <c r="D885" i="14" l="1"/>
  <c r="D884" i="14"/>
  <c r="D887" i="14" l="1"/>
  <c r="D886" i="14"/>
  <c r="D889" i="14" l="1"/>
  <c r="D888" i="14"/>
  <c r="D891" i="14" l="1"/>
  <c r="D890" i="14"/>
  <c r="D893" i="14" l="1"/>
  <c r="D892" i="14"/>
  <c r="D895" i="14" l="1"/>
  <c r="D894" i="14"/>
  <c r="D897" i="14" l="1"/>
  <c r="D896" i="14"/>
  <c r="D899" i="14" l="1"/>
  <c r="D898" i="14"/>
  <c r="D901" i="14" l="1"/>
  <c r="D900" i="14"/>
  <c r="D903" i="14" l="1"/>
  <c r="D902" i="14"/>
  <c r="D905" i="14" l="1"/>
  <c r="D904" i="14"/>
  <c r="D907" i="14" l="1"/>
  <c r="D906" i="14"/>
  <c r="D909" i="14" l="1"/>
  <c r="D908" i="14"/>
  <c r="D911" i="14" l="1"/>
  <c r="D910" i="14"/>
  <c r="D913" i="14" l="1"/>
  <c r="D912" i="14"/>
  <c r="D915" i="14" l="1"/>
  <c r="D914" i="14"/>
  <c r="D917" i="14" l="1"/>
  <c r="D916" i="14"/>
  <c r="D919" i="14" l="1"/>
  <c r="D918" i="14"/>
  <c r="D921" i="14" l="1"/>
  <c r="D920" i="14"/>
  <c r="D923" i="14" l="1"/>
  <c r="D922" i="14"/>
  <c r="D925" i="14" l="1"/>
  <c r="D924" i="14"/>
  <c r="D927" i="14" l="1"/>
  <c r="D926" i="14"/>
  <c r="D929" i="14" l="1"/>
  <c r="D928" i="14"/>
  <c r="D931" i="14" l="1"/>
  <c r="D930" i="14"/>
  <c r="D933" i="14" l="1"/>
  <c r="D932" i="14"/>
  <c r="D935" i="14" l="1"/>
  <c r="D934" i="14"/>
  <c r="D937" i="14" l="1"/>
  <c r="D936" i="14"/>
  <c r="D939" i="14" l="1"/>
  <c r="D938" i="14"/>
  <c r="D941" i="14" l="1"/>
  <c r="D940" i="14"/>
  <c r="D943" i="14" l="1"/>
  <c r="D942" i="14"/>
  <c r="D945" i="14" l="1"/>
  <c r="D944" i="14"/>
  <c r="D947" i="14" l="1"/>
  <c r="D946" i="14"/>
  <c r="D949" i="14" l="1"/>
  <c r="D948" i="14"/>
  <c r="D951" i="14" l="1"/>
  <c r="D950" i="14"/>
  <c r="D953" i="14" l="1"/>
  <c r="D952" i="14"/>
  <c r="D955" i="14" l="1"/>
  <c r="D954" i="14"/>
  <c r="D957" i="14" l="1"/>
  <c r="D956" i="14"/>
  <c r="D959" i="14" l="1"/>
  <c r="D958" i="14"/>
  <c r="D961" i="14" l="1"/>
  <c r="D960" i="14"/>
  <c r="D963" i="14" l="1"/>
  <c r="D962" i="14"/>
  <c r="D965" i="14" l="1"/>
  <c r="D964" i="14"/>
  <c r="D967" i="14" l="1"/>
  <c r="D966" i="14"/>
  <c r="D969" i="14" l="1"/>
  <c r="D968" i="14"/>
  <c r="D971" i="14" l="1"/>
  <c r="D970" i="14"/>
  <c r="D973" i="14" l="1"/>
  <c r="D972" i="14"/>
  <c r="D975" i="14" l="1"/>
  <c r="D974" i="14"/>
  <c r="D977" i="14" l="1"/>
  <c r="D976" i="14"/>
  <c r="D979" i="14" l="1"/>
  <c r="D978" i="14"/>
  <c r="D981" i="14" l="1"/>
  <c r="D980" i="14"/>
  <c r="D983" i="14" l="1"/>
  <c r="D982" i="14"/>
  <c r="D985" i="14" l="1"/>
  <c r="D984" i="14"/>
  <c r="D987" i="14" l="1"/>
  <c r="D986" i="14"/>
  <c r="D989" i="14" l="1"/>
  <c r="D988" i="14"/>
  <c r="D991" i="14" l="1"/>
  <c r="D990" i="14"/>
  <c r="D993" i="14" l="1"/>
  <c r="D992" i="14"/>
  <c r="D995" i="14" l="1"/>
  <c r="D994" i="14"/>
  <c r="D997" i="14" l="1"/>
  <c r="D996" i="14"/>
  <c r="D999" i="14" l="1"/>
  <c r="D998" i="14"/>
  <c r="D1001" i="14" l="1"/>
  <c r="D1000" i="14"/>
  <c r="D1003" i="14" l="1"/>
  <c r="D1002" i="14"/>
  <c r="D1005" i="14" l="1"/>
  <c r="D1004" i="14"/>
  <c r="D1007" i="14" l="1"/>
  <c r="D1006" i="14"/>
  <c r="D1009" i="14" l="1"/>
  <c r="D1008" i="14"/>
  <c r="D1011" i="14" l="1"/>
  <c r="D1010" i="14"/>
  <c r="D1013" i="14" l="1"/>
  <c r="D1015" i="14"/>
  <c r="D1012" i="14"/>
  <c r="D1016" i="14" l="1"/>
  <c r="D1014" i="14"/>
  <c r="E8" i="14" l="1"/>
  <c r="P10" i="1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<sst xmlns="http://schemas.openxmlformats.org/spreadsheetml/2006/main" count="264" uniqueCount="153">
  <si>
    <t>LEC ID</t>
  </si>
  <si>
    <t>Date</t>
  </si>
  <si>
    <t>Units Sold</t>
  </si>
  <si>
    <t>Source: Created by author.</t>
  </si>
  <si>
    <t>Exhibit 1</t>
  </si>
  <si>
    <t>Daily Sales</t>
  </si>
  <si>
    <t>Outsourcing, Near-sourcing, and Supply Chain Flexibility in the Apparel Industry (A)</t>
  </si>
  <si>
    <t>Oct. 14, 2016</t>
  </si>
  <si>
    <t>This spreadsheet supports STUDENT analysis of the case “Outsourcing, Near-sourcing,                                                and Supply Chain Flexibility in the Apparel Industry (A)” (UVA-QA-0854).</t>
  </si>
  <si>
    <r>
      <rPr>
        <sz val="10"/>
        <color indexed="8"/>
        <rFont val="Garamond"/>
        <family val="1"/>
      </rPr>
      <t xml:space="preserve">This spreadsheet was prepared by Anton Ovchinnikov, Distinguished Faculty Professor of Management Science and Operations Management and Scotiabank Scholar of Customer Analytics at the Smith School of Business, Queen’s University, Canada. Copyright © 2016 by the University of Virginia Darden School Foundation, Charlottesville, VA. All rights reserved.  </t>
    </r>
    <r>
      <rPr>
        <i/>
        <sz val="10"/>
        <color indexed="8"/>
        <rFont val="Garamond"/>
        <family val="1"/>
      </rPr>
      <t>For customer service inquiries, send an email to</t>
    </r>
    <r>
      <rPr>
        <sz val="10"/>
        <color indexed="8"/>
        <rFont val="Garamond"/>
        <family val="1"/>
      </rPr>
      <t>sales@dardenbusinesspublishing.com</t>
    </r>
    <r>
      <rPr>
        <i/>
        <sz val="10"/>
        <color indexed="8"/>
        <rFont val="Garamond"/>
        <family val="1"/>
      </rPr>
      <t xml:space="preserve">. No part of this publication may be reproduced, stored in a retrieval system, posted to the Internet, or transmitted in any form or by any means—electronic, mechanical, photocopying, recording, or otherwise—without the permission of the Darden School Foundation.  </t>
    </r>
    <r>
      <rPr>
        <sz val="10"/>
        <color indexed="8"/>
        <rFont val="Garamond"/>
        <family val="1"/>
      </rPr>
      <t xml:space="preserve">Our goal is to publish materials of the highest quality, so please submit any errata to editorial@dardenbusinesspublishing.com.  </t>
    </r>
  </si>
  <si>
    <t>Sum of Units Sold</t>
  </si>
  <si>
    <t>Row Labels</t>
  </si>
  <si>
    <t>Grand Total</t>
  </si>
  <si>
    <t>Column Labels</t>
  </si>
  <si>
    <t>Length</t>
  </si>
  <si>
    <t>Total Sold</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</si>
  <si>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</si>
  <si>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</si>
  <si>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</si>
  <si>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</si>
  <si>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</si>
  <si>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</si>
  <si>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</si>
  <si>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</si>
  <si>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</si>
  <si>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</si>
  <si>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</si>
  <si>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</si>
  <si>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</si>
  <si>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</si>
  <si>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</si>
  <si>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</si>
  <si>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</si>
  <si>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</si>
  <si>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</si>
  <si>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</si>
  <si>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</si>
  <si>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</si>
  <si>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</si>
  <si>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Prediction</t>
  </si>
  <si>
    <t>Price</t>
  </si>
  <si>
    <t>Cost</t>
  </si>
  <si>
    <t>Std. Error</t>
  </si>
  <si>
    <t>Best Order Size</t>
  </si>
  <si>
    <t>Interpretation: Cost of overordering ($65) Is slightly more than underordering ($70), so we can be slightly aggressive and order more than expected</t>
  </si>
  <si>
    <t>Cost Ukraine</t>
  </si>
  <si>
    <t>Actual demand</t>
  </si>
  <si>
    <t>Forecast demand</t>
  </si>
  <si>
    <t>Sales</t>
  </si>
  <si>
    <t>optimal quantity</t>
  </si>
  <si>
    <t>profit</t>
  </si>
  <si>
    <t>Cost Local</t>
  </si>
  <si>
    <t>local capacity</t>
  </si>
  <si>
    <t>Extra Demand</t>
  </si>
  <si>
    <t>local quantity</t>
  </si>
  <si>
    <t>Profit outsoursing</t>
  </si>
  <si>
    <t>Profit near-soursing</t>
  </si>
  <si>
    <t>Benefit</t>
  </si>
  <si>
    <t>Demand</t>
  </si>
  <si>
    <t>Sales (outsoursing)</t>
  </si>
  <si>
    <t>Profit (outsoursing)</t>
  </si>
  <si>
    <t>Extra demand</t>
  </si>
  <si>
    <t>Local capacity</t>
  </si>
  <si>
    <t>Local quantity</t>
  </si>
  <si>
    <t>Total sales</t>
  </si>
  <si>
    <t>Profit (nearsoursing)</t>
  </si>
  <si>
    <t>Ln(Length)</t>
  </si>
  <si>
    <t>Contains Holiday</t>
  </si>
  <si>
    <t>Std.Dev. Ln(Len)</t>
  </si>
  <si>
    <t>Mean Ln(Len)</t>
  </si>
  <si>
    <t>Normalized Ln(Len)</t>
  </si>
  <si>
    <t>X Variable 1</t>
  </si>
  <si>
    <t>X Variable 2</t>
  </si>
  <si>
    <t>Regression Ln(Len)</t>
  </si>
  <si>
    <t>Normalized Ln(Length)</t>
  </si>
  <si>
    <t>Expected</t>
  </si>
  <si>
    <t>Rand</t>
  </si>
  <si>
    <t>Order</t>
  </si>
  <si>
    <t>Order Size</t>
  </si>
  <si>
    <t>Best Profit</t>
  </si>
  <si>
    <t>Profit</t>
  </si>
  <si>
    <t>Cost/Item</t>
  </si>
  <si>
    <t>Revenue/item</t>
  </si>
  <si>
    <t>Sold</t>
  </si>
  <si>
    <t>Avg Profit</t>
  </si>
  <si>
    <t>Avg. Profit</t>
  </si>
  <si>
    <t>Std. Ln(Len)</t>
  </si>
  <si>
    <t>LEC 24 Expected</t>
  </si>
  <si>
    <t>Std. Dev. LEC 24</t>
  </si>
  <si>
    <t>LEC 11</t>
  </si>
  <si>
    <t>LEC 12</t>
  </si>
  <si>
    <t>LEC 13</t>
  </si>
  <si>
    <t>LEC 14</t>
  </si>
  <si>
    <t>LEC 15</t>
  </si>
  <si>
    <t>LEC 16</t>
  </si>
  <si>
    <t>LEC 17</t>
  </si>
  <si>
    <t>LEC 18</t>
  </si>
  <si>
    <t>LEC 19</t>
  </si>
  <si>
    <t>LEC 20</t>
  </si>
  <si>
    <t>LEC 21</t>
  </si>
  <si>
    <t>LEC 22</t>
  </si>
  <si>
    <t>LEC 23</t>
  </si>
  <si>
    <t>NEARSOURCING</t>
  </si>
  <si>
    <t>OUTSOURCING</t>
  </si>
  <si>
    <t>Avg. Profit (Near-sourcing)</t>
  </si>
  <si>
    <t>Avg. Profit (Outsourcing)</t>
  </si>
  <si>
    <t>Forecast Demand</t>
  </si>
  <si>
    <t>Input</t>
  </si>
  <si>
    <t>Initial Q</t>
  </si>
  <si>
    <t>mu total</t>
  </si>
  <si>
    <t>sigma total</t>
  </si>
  <si>
    <t>price</t>
  </si>
  <si>
    <t>cost per unit</t>
  </si>
  <si>
    <t>capacity</t>
  </si>
  <si>
    <t>Finding optimal Q0</t>
  </si>
  <si>
    <t>Remaining Length</t>
  </si>
  <si>
    <t>7 Days Sales</t>
  </si>
  <si>
    <t>Remaining Sales</t>
  </si>
  <si>
    <t>SUMMARY OUTPUT</t>
  </si>
  <si>
    <t>Weeks</t>
  </si>
  <si>
    <t>Prediction Remaining</t>
  </si>
  <si>
    <t>Remaining Expected</t>
  </si>
  <si>
    <t>Order Size (outsoursing)</t>
  </si>
  <si>
    <t>Initial Order Size</t>
  </si>
  <si>
    <t>Initial Order</t>
  </si>
  <si>
    <t>Remaining Demand</t>
  </si>
  <si>
    <t>7d Demand</t>
  </si>
  <si>
    <t>Flexibility Order</t>
  </si>
  <si>
    <t>Demand Remaining</t>
  </si>
  <si>
    <t>LEC</t>
  </si>
  <si>
    <t>Optimal Order Outsorsing</t>
  </si>
  <si>
    <t>Max Profit</t>
  </si>
  <si>
    <t>Sales first 14d</t>
  </si>
  <si>
    <t xml:space="preserve">Profit </t>
  </si>
  <si>
    <t>Demand 1 week</t>
  </si>
  <si>
    <t>Remaining after 1 week</t>
  </si>
  <si>
    <t>Demand 2 week</t>
  </si>
  <si>
    <t>2nd week part</t>
  </si>
  <si>
    <t>Week 2 demand</t>
  </si>
  <si>
    <t>Week 1 demand</t>
  </si>
  <si>
    <t>Week 1-2 demand</t>
  </si>
  <si>
    <t>Optimal Uporder</t>
  </si>
  <si>
    <t>Sold 1-2 weeks</t>
  </si>
  <si>
    <t>Sold later</t>
  </si>
  <si>
    <t>Sold total</t>
  </si>
  <si>
    <t>Calculated Uporder</t>
  </si>
  <si>
    <t>Total Profit:</t>
  </si>
  <si>
    <t>Outsourcing</t>
  </si>
  <si>
    <t>Near Sourcing</t>
  </si>
  <si>
    <t>Flexibility</t>
  </si>
  <si>
    <t>Model</t>
  </si>
  <si>
    <t>Best Model</t>
  </si>
  <si>
    <t>Sales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</si>
</sst>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UAH&quot;_-;\-* #,##0.00\ &quot;UAH&quot;_-;_-* &quot;-&quot;??\ &quot;UAH&quot;_-;_-@_-"/>
    <numFmt numFmtId="164" formatCode="_-[$$-409]* #,##0.00_ ;_-[$$-409]* \-#,##0.00\ ;_-[$$-409]* &quot;-&quot;??_ ;_-@_ "/>
  </numFmts>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2"/>
      <name val="Arial"/>
      <family val="2"/>
    </font>
    <font>
      <sz val="10"/>
      <color theme="1"/>
      <name val="arial"/>
      <family val="2"/>
    </font>
    <font>
      <sz val="8"/>
      <color theme="1"/>
      <name val="Times New Roman"/>
      <family val="1"/>
    </font>
    <font>
      <sz val="11"/>
      <color theme="1"/>
      <name val="Garamond"/>
      <family val="1"/>
    </font>
    <font>
      <sz val="11"/>
      <name val="Garamond"/>
      <family val="1"/>
    </font>
    <font>
      <i/>
      <sz val="10"/>
      <color indexed="8"/>
      <name val="Garamond"/>
      <family val="1"/>
    </font>
    <font>
      <sz val="10"/>
      <color indexed="8"/>
      <name val="Garamond"/>
      <family val="1"/>
    </font>
    <font>
      <sz val="10"/>
      <color theme="1"/>
      <name val="Garamond"/>
      <family val="1"/>
    </font>
    <font>
      <i/>
      <sz val="11"/>
      <color theme="1"/>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
      <b/>
      <sz val="16"/>
      <color theme="1"/>
      <name val="Calibri"/>
      <family val="2"/>
      <scheme val="minor"/>
    </font>
    <font>
      <b/>
      <sz val="14"/>
      <color theme="1"/>
      <name val="Calibri"/>
      <family val="2"/>
      <scheme val="minor"/>
    </font>
    <font>
      <u/>
      <sz val="11"/>
      <color theme="10"/>
      <name val="Calibri"/>
      <family val="2"/>
      <scheme val="minor"/>
    </font>
    <font>
      <sz val="12"/>
      <color theme="1"/>
      <name val=".AppleSystemUIFont"/>
    </font>
    <font>
      <sz val="10"/>
      <color rgb="FF000000"/>
      <name val="Helvetica Neue"/>
      <family val="2"/>
    </font>
    <font>
      <b/>
      <sz val="10"/>
      <color rgb="FF000000"/>
      <name val="Helvetica Neue"/>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903B"/>
        <bgColor indexed="64"/>
      </patternFill>
    </fill>
    <fill>
      <patternFill patternType="solid">
        <fgColor rgb="FF00B050"/>
        <bgColor indexed="64"/>
      </patternFill>
    </fill>
    <fill>
      <patternFill patternType="solid">
        <fgColor rgb="FF92D050"/>
        <bgColor indexed="64"/>
      </patternFill>
    </fill>
    <fill>
      <patternFill patternType="solid">
        <fgColor rgb="FF00B050"/>
        <bgColor rgb="FF000000"/>
      </patternFill>
    </fill>
    <fill>
      <patternFill patternType="solid">
        <fgColor rgb="FF92D050"/>
        <bgColor rgb="FF000000"/>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3D0E7"/>
        <bgColor indexed="64"/>
      </patternFill>
    </fill>
    <fill>
      <patternFill patternType="solid">
        <fgColor theme="9"/>
        <bgColor indexed="64"/>
      </patternFill>
    </fill>
    <fill>
      <patternFill patternType="solid">
        <fgColor theme="9" tint="0.59999389629810485"/>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xf numFmtId="0" fontId="18" fillId="0" borderId="0"/>
    <xf numFmtId="0" fontId="20" fillId="0" borderId="0"/>
    <xf numFmtId="44" fontId="1" fillId="0" borderId="0" applyFont="0" applyFill="0" applyBorder="0" applyAlignment="0" applyProtection="0"/>
    <xf numFmtId="9" fontId="1" fillId="0" borderId="0" applyFont="0" applyFill="0" applyBorder="0" applyAlignment="0" applyProtection="0"/>
    <xf numFmtId="0" fontId="33" fillId="0" borderId="0" applyNumberFormat="0" applyFill="0" applyBorder="0" applyAlignment="0" applyProtection="0"/>
  </cellStyleXfs>
  <cellXfs count="69">
    <xf numFmtId="0" fontId="0" fillId="0" borderId="0" xfId="0"/>
    <xf numFmtId="14" fontId="0" fillId="0" borderId="0" xfId="0" applyNumberFormat="1"/>
    <xf numFmtId="0" fontId="1" fillId="0" borderId="0" xfId="42"/>
    <xf numFmtId="0" fontId="19" fillId="0" borderId="0" xfId="43" applyFont="1" applyAlignment="1">
      <alignment horizontal="center" vertical="center" wrapText="1"/>
    </xf>
    <xf numFmtId="49" fontId="21" fillId="0" borderId="0" xfId="42" applyNumberFormat="1" applyFont="1"/>
    <xf numFmtId="0" fontId="22" fillId="0" borderId="0" xfId="0" applyFont="1"/>
    <xf numFmtId="0" fontId="23" fillId="33" borderId="0" xfId="43" applyFont="1" applyFill="1" applyAlignment="1">
      <alignment horizontal="center" vertical="center" wrapText="1"/>
    </xf>
    <xf numFmtId="0" fontId="0" fillId="0" borderId="0" xfId="0" pivotButton="1"/>
    <xf numFmtId="14" fontId="0" fillId="0" borderId="0" xfId="0" applyNumberFormat="1" applyAlignment="1">
      <alignment horizontal="left"/>
    </xf>
    <xf numFmtId="0" fontId="27" fillId="0" borderId="0" xfId="0" applyFont="1" applyAlignment="1">
      <alignment horizontal="centerContinuous"/>
    </xf>
    <xf numFmtId="0" fontId="0" fillId="34" borderId="12" xfId="0" applyFill="1" applyBorder="1"/>
    <xf numFmtId="0" fontId="0" fillId="35" borderId="12" xfId="0" applyFill="1" applyBorder="1"/>
    <xf numFmtId="0" fontId="28" fillId="0" borderId="0" xfId="0" applyFont="1"/>
    <xf numFmtId="0" fontId="28" fillId="36" borderId="12" xfId="0" applyFont="1" applyFill="1" applyBorder="1"/>
    <xf numFmtId="0" fontId="28" fillId="36" borderId="13" xfId="0" applyFont="1" applyFill="1" applyBorder="1"/>
    <xf numFmtId="0" fontId="28" fillId="37" borderId="14" xfId="0" applyFont="1" applyFill="1" applyBorder="1"/>
    <xf numFmtId="0" fontId="28" fillId="37" borderId="15" xfId="0" applyFont="1" applyFill="1" applyBorder="1"/>
    <xf numFmtId="164" fontId="0" fillId="35" borderId="12" xfId="45" applyNumberFormat="1" applyFont="1" applyFill="1" applyBorder="1"/>
    <xf numFmtId="0" fontId="0" fillId="38" borderId="0" xfId="0" applyFill="1"/>
    <xf numFmtId="1" fontId="0" fillId="0" borderId="0" xfId="46" applyNumberFormat="1" applyFont="1" applyFill="1" applyBorder="1"/>
    <xf numFmtId="0" fontId="16" fillId="40" borderId="0" xfId="0" applyFont="1" applyFill="1"/>
    <xf numFmtId="0" fontId="16" fillId="43" borderId="0" xfId="0" applyFont="1" applyFill="1"/>
    <xf numFmtId="0" fontId="16" fillId="0" borderId="0" xfId="0" applyFont="1"/>
    <xf numFmtId="0" fontId="0" fillId="0" borderId="12" xfId="0" applyBorder="1"/>
    <xf numFmtId="0" fontId="0" fillId="0" borderId="10" xfId="0" applyBorder="1"/>
    <xf numFmtId="0" fontId="27" fillId="0" borderId="11" xfId="0" applyFont="1" applyBorder="1" applyAlignment="1">
      <alignment horizontal="center"/>
    </xf>
    <xf numFmtId="0" fontId="27" fillId="0" borderId="11" xfId="0" applyFont="1" applyBorder="1" applyAlignment="1">
      <alignment horizontal="centerContinuous"/>
    </xf>
    <xf numFmtId="164" fontId="0" fillId="38" borderId="12" xfId="45" applyNumberFormat="1" applyFont="1" applyFill="1" applyBorder="1"/>
    <xf numFmtId="164" fontId="0" fillId="0" borderId="12" xfId="0" applyNumberFormat="1" applyBorder="1"/>
    <xf numFmtId="164" fontId="0" fillId="35" borderId="12" xfId="0" applyNumberFormat="1" applyFill="1" applyBorder="1"/>
    <xf numFmtId="164" fontId="0" fillId="0" borderId="12" xfId="45" applyNumberFormat="1" applyFont="1" applyBorder="1"/>
    <xf numFmtId="0" fontId="0" fillId="39" borderId="12" xfId="0" applyFill="1" applyBorder="1"/>
    <xf numFmtId="0" fontId="0" fillId="39" borderId="0" xfId="0" applyFill="1"/>
    <xf numFmtId="164" fontId="28" fillId="0" borderId="0" xfId="0" applyNumberFormat="1" applyFont="1"/>
    <xf numFmtId="0" fontId="28" fillId="34" borderId="12" xfId="0" applyFont="1" applyFill="1" applyBorder="1"/>
    <xf numFmtId="0" fontId="28" fillId="35" borderId="12" xfId="0" applyFont="1" applyFill="1" applyBorder="1"/>
    <xf numFmtId="0" fontId="29" fillId="36" borderId="12" xfId="0" applyFont="1" applyFill="1" applyBorder="1"/>
    <xf numFmtId="0" fontId="29" fillId="34" borderId="12" xfId="0" applyFont="1" applyFill="1" applyBorder="1"/>
    <xf numFmtId="0" fontId="28" fillId="37" borderId="12" xfId="0" applyFont="1" applyFill="1" applyBorder="1"/>
    <xf numFmtId="0" fontId="31" fillId="0" borderId="0" xfId="0" applyFont="1"/>
    <xf numFmtId="0" fontId="32" fillId="0" borderId="0" xfId="0" applyFont="1"/>
    <xf numFmtId="0" fontId="0" fillId="41" borderId="12" xfId="0" applyFill="1" applyBorder="1"/>
    <xf numFmtId="0" fontId="16" fillId="42" borderId="12" xfId="0" applyFont="1" applyFill="1" applyBorder="1"/>
    <xf numFmtId="0" fontId="0" fillId="0" borderId="20" xfId="0" applyBorder="1"/>
    <xf numFmtId="0" fontId="0" fillId="0" borderId="21" xfId="0" applyBorder="1"/>
    <xf numFmtId="0" fontId="0" fillId="44" borderId="12" xfId="0" applyFill="1" applyBorder="1"/>
    <xf numFmtId="0" fontId="0" fillId="0" borderId="22" xfId="0" applyBorder="1"/>
    <xf numFmtId="0" fontId="0" fillId="0" borderId="23" xfId="0" applyBorder="1"/>
    <xf numFmtId="0" fontId="0" fillId="0" borderId="15" xfId="0" applyBorder="1"/>
    <xf numFmtId="0" fontId="33" fillId="0" borderId="0" xfId="47"/>
    <xf numFmtId="0" fontId="16" fillId="34" borderId="0" xfId="0" applyFont="1" applyFill="1"/>
    <xf numFmtId="0" fontId="28" fillId="36" borderId="16" xfId="0" applyFont="1" applyFill="1" applyBorder="1"/>
    <xf numFmtId="0" fontId="28" fillId="37" borderId="23" xfId="0" applyFont="1" applyFill="1" applyBorder="1"/>
    <xf numFmtId="0" fontId="16" fillId="35" borderId="12" xfId="0" applyFont="1" applyFill="1" applyBorder="1"/>
    <xf numFmtId="0" fontId="34" fillId="0" borderId="0" xfId="0" applyFont="1"/>
    <xf numFmtId="0" fontId="35" fillId="0" borderId="0" xfId="0" applyFont="1"/>
    <xf numFmtId="0" fontId="36" fillId="0" borderId="0" xfId="0" applyFont="1"/>
    <xf numFmtId="0" fontId="35" fillId="35" borderId="12" xfId="0" applyFont="1" applyFill="1" applyBorder="1"/>
    <xf numFmtId="0" fontId="0" fillId="35" borderId="25" xfId="0" applyFill="1" applyBorder="1"/>
    <xf numFmtId="0" fontId="0" fillId="0" borderId="26" xfId="0" applyBorder="1"/>
    <xf numFmtId="0" fontId="0" fillId="0" borderId="24" xfId="0" applyBorder="1"/>
    <xf numFmtId="0" fontId="24" fillId="0" borderId="0" xfId="44" applyFont="1" applyAlignment="1">
      <alignment horizontal="justify" vertical="top" wrapText="1"/>
    </xf>
    <xf numFmtId="0" fontId="26" fillId="0" borderId="0" xfId="44" applyFont="1" applyAlignment="1">
      <alignment wrapText="1"/>
    </xf>
    <xf numFmtId="0" fontId="0" fillId="0" borderId="0" xfId="0" applyAlignment="1">
      <alignment horizontal="center"/>
    </xf>
    <xf numFmtId="0" fontId="0" fillId="34" borderId="12" xfId="0" applyFill="1" applyBorder="1" applyAlignment="1">
      <alignment horizontal="center"/>
    </xf>
    <xf numFmtId="0" fontId="0" fillId="43" borderId="17" xfId="0" applyFill="1" applyBorder="1" applyAlignment="1">
      <alignment horizontal="center"/>
    </xf>
    <xf numFmtId="0" fontId="0" fillId="43" borderId="18" xfId="0" applyFill="1" applyBorder="1" applyAlignment="1">
      <alignment horizontal="center"/>
    </xf>
    <xf numFmtId="0" fontId="0" fillId="43" borderId="19" xfId="0" applyFill="1" applyBorder="1" applyAlignment="1">
      <alignment horizontal="center"/>
    </xf>
    <xf numFmtId="0" fontId="0" fillId="0" borderId="0" xfId="0" applyNumberFormat="1"/>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5"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7" builtinId="8"/>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2 2" xfId="43" xr:uid="{00000000-0005-0000-0000-000026000000}"/>
    <cellStyle name="Normal 3" xfId="44" xr:uid="{00000000-0005-0000-0000-000027000000}"/>
    <cellStyle name="Note" xfId="15" builtinId="10" customBuiltin="1"/>
    <cellStyle name="Output" xfId="10" builtinId="21" customBuiltin="1"/>
    <cellStyle name="Percent" xfId="46" builtinId="5"/>
    <cellStyle name="Title" xfId="1" builtinId="15" customBuiltin="1"/>
    <cellStyle name="Total" xfId="17" builtinId="25" customBuiltin="1"/>
    <cellStyle name="Warning Text" xfId="14" builtinId="11" customBuiltin="1"/>
  </cellStyles>
  <dxfs count="4">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F3D0E7"/>
      <color rgb="FFD700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[case1-3 (1).xlsx]Data Viz!PivotTable2</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7301728701086"/>
          <c:y val="1.1390799375943245E-2"/>
          <c:w val="0.86285460361565858"/>
          <c:h val="0.87559591247398272"/>
        </c:manualLayout>
      </c:layout>
      <c:lineChart>
        <c:grouping val="standard"/>
        <c:varyColors val="0"/>
        <c:ser>
          <c:idx val="0"/>
          <c:order val="0"/>
          <c:tx>
            <c:strRef>
              <c:f>'Data Viz'!$B$3:$B$4</c:f>
              <c:strCache>
                <c:ptCount val="1"/>
                <c:pt idx="0">
                  <c:v>1</c:v>
                </c:pt>
              </c:strCache>
            </c:strRef>
          </c:tx>
          <c:spPr>
            <a:ln w="28575" cap="rnd">
              <a:solidFill>
                <a:schemeClr val="accent1"/>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Viz'!$B$5:$B$423</c:f>
              <c:numCache>
                <c:formatCode>General</c:formatCode>
                <c:ptCount val="418"/>
                <c:pt idx="0">
                  <c:v>40</c:v>
                </c:pt>
                <c:pt idx="1">
                  <c:v>5</c:v>
                </c:pt>
                <c:pt idx="2">
                  <c:v>14</c:v>
                </c:pt>
                <c:pt idx="3">
                  <c:v>8</c:v>
                </c:pt>
                <c:pt idx="4">
                  <c:v>4</c:v>
                </c:pt>
                <c:pt idx="5">
                  <c:v>13</c:v>
                </c:pt>
                <c:pt idx="6">
                  <c:v>9</c:v>
                </c:pt>
                <c:pt idx="7">
                  <c:v>8</c:v>
                </c:pt>
                <c:pt idx="8">
                  <c:v>5</c:v>
                </c:pt>
                <c:pt idx="9">
                  <c:v>5</c:v>
                </c:pt>
                <c:pt idx="10">
                  <c:v>3</c:v>
                </c:pt>
                <c:pt idx="11">
                  <c:v>1</c:v>
                </c:pt>
                <c:pt idx="12">
                  <c:v>7</c:v>
                </c:pt>
                <c:pt idx="13">
                  <c:v>13</c:v>
                </c:pt>
                <c:pt idx="14">
                  <c:v>10</c:v>
                </c:pt>
                <c:pt idx="15">
                  <c:v>9</c:v>
                </c:pt>
                <c:pt idx="16">
                  <c:v>7</c:v>
                </c:pt>
                <c:pt idx="17">
                  <c:v>2</c:v>
                </c:pt>
                <c:pt idx="18">
                  <c:v>3</c:v>
                </c:pt>
                <c:pt idx="19">
                  <c:v>3</c:v>
                </c:pt>
                <c:pt idx="20">
                  <c:v>4</c:v>
                </c:pt>
              </c:numCache>
            </c:numRef>
          </c:val>
          <c:smooth val="0"/>
          <c:extLst>
            <c:ext xmlns:c16="http://schemas.microsoft.com/office/drawing/2014/chart" uri="{C3380CC4-5D6E-409C-BE32-E72D297353CC}">
              <c16:uniqueId val="{00000000-576A-5B45-B1EE-FA16B2EB7537}"/>
            </c:ext>
          </c:extLst>
        </c:ser>
        <c:ser>
          <c:idx val="1"/>
          <c:order val="1"/>
          <c:tx>
            <c:strRef>
              <c:f>'Data Viz'!$C$3:$C$4</c:f>
              <c:strCache>
                <c:ptCount val="1"/>
                <c:pt idx="0">
                  <c:v>2</c:v>
                </c:pt>
              </c:strCache>
            </c:strRef>
          </c:tx>
          <c:spPr>
            <a:ln w="28575" cap="rnd">
              <a:solidFill>
                <a:schemeClr val="accent2"/>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Viz'!$C$5:$C$423</c:f>
              <c:numCache>
                <c:formatCode>General</c:formatCode>
                <c:ptCount val="418"/>
                <c:pt idx="21">
                  <c:v>32</c:v>
                </c:pt>
                <c:pt idx="22">
                  <c:v>11</c:v>
                </c:pt>
                <c:pt idx="23">
                  <c:v>3</c:v>
                </c:pt>
                <c:pt idx="24">
                  <c:v>15</c:v>
                </c:pt>
                <c:pt idx="25">
                  <c:v>14</c:v>
                </c:pt>
                <c:pt idx="26">
                  <c:v>17</c:v>
                </c:pt>
                <c:pt idx="27">
                  <c:v>16</c:v>
                </c:pt>
                <c:pt idx="28">
                  <c:v>8</c:v>
                </c:pt>
                <c:pt idx="29">
                  <c:v>9</c:v>
                </c:pt>
                <c:pt idx="30">
                  <c:v>10</c:v>
                </c:pt>
                <c:pt idx="31">
                  <c:v>8</c:v>
                </c:pt>
                <c:pt idx="32">
                  <c:v>3</c:v>
                </c:pt>
                <c:pt idx="33">
                  <c:v>3</c:v>
                </c:pt>
                <c:pt idx="34">
                  <c:v>5</c:v>
                </c:pt>
                <c:pt idx="35">
                  <c:v>15</c:v>
                </c:pt>
                <c:pt idx="36">
                  <c:v>8</c:v>
                </c:pt>
                <c:pt idx="37">
                  <c:v>3</c:v>
                </c:pt>
                <c:pt idx="38">
                  <c:v>2</c:v>
                </c:pt>
                <c:pt idx="39">
                  <c:v>5</c:v>
                </c:pt>
                <c:pt idx="40">
                  <c:v>9</c:v>
                </c:pt>
              </c:numCache>
            </c:numRef>
          </c:val>
          <c:smooth val="0"/>
          <c:extLst>
            <c:ext xmlns:c16="http://schemas.microsoft.com/office/drawing/2014/chart" uri="{C3380CC4-5D6E-409C-BE32-E72D297353CC}">
              <c16:uniqueId val="{00000001-576A-5B45-B1EE-FA16B2EB7537}"/>
            </c:ext>
          </c:extLst>
        </c:ser>
        <c:ser>
          <c:idx val="2"/>
          <c:order val="2"/>
          <c:tx>
            <c:strRef>
              <c:f>'Data Viz'!$D$3:$D$4</c:f>
              <c:strCache>
                <c:ptCount val="1"/>
                <c:pt idx="0">
                  <c:v>3</c:v>
                </c:pt>
              </c:strCache>
            </c:strRef>
          </c:tx>
          <c:spPr>
            <a:ln w="28575" cap="rnd">
              <a:solidFill>
                <a:schemeClr val="accent3"/>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Viz'!$D$5:$D$423</c:f>
              <c:numCache>
                <c:formatCode>General</c:formatCode>
                <c:ptCount val="418"/>
                <c:pt idx="41">
                  <c:v>42</c:v>
                </c:pt>
                <c:pt idx="42">
                  <c:v>20</c:v>
                </c:pt>
                <c:pt idx="43">
                  <c:v>25</c:v>
                </c:pt>
                <c:pt idx="44">
                  <c:v>23</c:v>
                </c:pt>
                <c:pt idx="45">
                  <c:v>22</c:v>
                </c:pt>
                <c:pt idx="46">
                  <c:v>18</c:v>
                </c:pt>
                <c:pt idx="47">
                  <c:v>5</c:v>
                </c:pt>
                <c:pt idx="48">
                  <c:v>9</c:v>
                </c:pt>
                <c:pt idx="49">
                  <c:v>3</c:v>
                </c:pt>
                <c:pt idx="50">
                  <c:v>15</c:v>
                </c:pt>
                <c:pt idx="51">
                  <c:v>6</c:v>
                </c:pt>
                <c:pt idx="52">
                  <c:v>3</c:v>
                </c:pt>
                <c:pt idx="53">
                  <c:v>4</c:v>
                </c:pt>
              </c:numCache>
            </c:numRef>
          </c:val>
          <c:smooth val="0"/>
          <c:extLst>
            <c:ext xmlns:c16="http://schemas.microsoft.com/office/drawing/2014/chart" uri="{C3380CC4-5D6E-409C-BE32-E72D297353CC}">
              <c16:uniqueId val="{00000002-576A-5B45-B1EE-FA16B2EB7537}"/>
            </c:ext>
          </c:extLst>
        </c:ser>
        <c:ser>
          <c:idx val="3"/>
          <c:order val="3"/>
          <c:tx>
            <c:strRef>
              <c:f>'Data Viz'!$E$3:$E$4</c:f>
              <c:strCache>
                <c:ptCount val="1"/>
                <c:pt idx="0">
                  <c:v>4</c:v>
                </c:pt>
              </c:strCache>
            </c:strRef>
          </c:tx>
          <c:spPr>
            <a:ln w="28575" cap="rnd">
              <a:solidFill>
                <a:schemeClr val="accent4"/>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Viz'!$E$5:$E$423</c:f>
              <c:numCache>
                <c:formatCode>General</c:formatCode>
                <c:ptCount val="418"/>
                <c:pt idx="54">
                  <c:v>7</c:v>
                </c:pt>
                <c:pt idx="55">
                  <c:v>35</c:v>
                </c:pt>
                <c:pt idx="56">
                  <c:v>12</c:v>
                </c:pt>
                <c:pt idx="57">
                  <c:v>19</c:v>
                </c:pt>
                <c:pt idx="58">
                  <c:v>18</c:v>
                </c:pt>
                <c:pt idx="59">
                  <c:v>6</c:v>
                </c:pt>
                <c:pt idx="60">
                  <c:v>6</c:v>
                </c:pt>
                <c:pt idx="61">
                  <c:v>3</c:v>
                </c:pt>
                <c:pt idx="62">
                  <c:v>10</c:v>
                </c:pt>
                <c:pt idx="63">
                  <c:v>9</c:v>
                </c:pt>
                <c:pt idx="64">
                  <c:v>36</c:v>
                </c:pt>
                <c:pt idx="65">
                  <c:v>16</c:v>
                </c:pt>
                <c:pt idx="66">
                  <c:v>5</c:v>
                </c:pt>
                <c:pt idx="67">
                  <c:v>14</c:v>
                </c:pt>
                <c:pt idx="68">
                  <c:v>14</c:v>
                </c:pt>
              </c:numCache>
            </c:numRef>
          </c:val>
          <c:smooth val="0"/>
          <c:extLst>
            <c:ext xmlns:c16="http://schemas.microsoft.com/office/drawing/2014/chart" uri="{C3380CC4-5D6E-409C-BE32-E72D297353CC}">
              <c16:uniqueId val="{00000003-576A-5B45-B1EE-FA16B2EB7537}"/>
            </c:ext>
          </c:extLst>
        </c:ser>
        <c:ser>
          <c:idx val="4"/>
          <c:order val="4"/>
          <c:tx>
            <c:strRef>
              <c:f>'Data Viz'!$F$3:$F$4</c:f>
              <c:strCache>
                <c:ptCount val="1"/>
                <c:pt idx="0">
                  <c:v>5</c:v>
                </c:pt>
              </c:strCache>
            </c:strRef>
          </c:tx>
          <c:spPr>
            <a:ln w="28575" cap="rnd">
              <a:solidFill>
                <a:schemeClr val="accent5"/>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Viz'!$F$5:$F$423</c:f>
              <c:numCache>
                <c:formatCode>General</c:formatCode>
                <c:ptCount val="418"/>
                <c:pt idx="69">
                  <c:v>58</c:v>
                </c:pt>
                <c:pt idx="70">
                  <c:v>30</c:v>
                </c:pt>
                <c:pt idx="71">
                  <c:v>24</c:v>
                </c:pt>
                <c:pt idx="72">
                  <c:v>30</c:v>
                </c:pt>
                <c:pt idx="73">
                  <c:v>18</c:v>
                </c:pt>
                <c:pt idx="74">
                  <c:v>27</c:v>
                </c:pt>
                <c:pt idx="75">
                  <c:v>21</c:v>
                </c:pt>
                <c:pt idx="76">
                  <c:v>20</c:v>
                </c:pt>
                <c:pt idx="77">
                  <c:v>23</c:v>
                </c:pt>
                <c:pt idx="78">
                  <c:v>15</c:v>
                </c:pt>
                <c:pt idx="79">
                  <c:v>14</c:v>
                </c:pt>
                <c:pt idx="80">
                  <c:v>6</c:v>
                </c:pt>
                <c:pt idx="81">
                  <c:v>5</c:v>
                </c:pt>
              </c:numCache>
            </c:numRef>
          </c:val>
          <c:smooth val="0"/>
          <c:extLst>
            <c:ext xmlns:c16="http://schemas.microsoft.com/office/drawing/2014/chart" uri="{C3380CC4-5D6E-409C-BE32-E72D297353CC}">
              <c16:uniqueId val="{00000004-576A-5B45-B1EE-FA16B2EB7537}"/>
            </c:ext>
          </c:extLst>
        </c:ser>
        <c:ser>
          <c:idx val="5"/>
          <c:order val="5"/>
          <c:tx>
            <c:strRef>
              <c:f>'Data Viz'!$G$3:$G$4</c:f>
              <c:strCache>
                <c:ptCount val="1"/>
                <c:pt idx="0">
                  <c:v>6</c:v>
                </c:pt>
              </c:strCache>
            </c:strRef>
          </c:tx>
          <c:spPr>
            <a:ln w="28575" cap="rnd">
              <a:solidFill>
                <a:schemeClr val="accent6"/>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Viz'!$G$5:$G$423</c:f>
              <c:numCache>
                <c:formatCode>General</c:formatCode>
                <c:ptCount val="418"/>
                <c:pt idx="82">
                  <c:v>14</c:v>
                </c:pt>
                <c:pt idx="83">
                  <c:v>44</c:v>
                </c:pt>
                <c:pt idx="84">
                  <c:v>12</c:v>
                </c:pt>
                <c:pt idx="85">
                  <c:v>17</c:v>
                </c:pt>
                <c:pt idx="86">
                  <c:v>4</c:v>
                </c:pt>
                <c:pt idx="87">
                  <c:v>1</c:v>
                </c:pt>
                <c:pt idx="88">
                  <c:v>11</c:v>
                </c:pt>
                <c:pt idx="89">
                  <c:v>11</c:v>
                </c:pt>
                <c:pt idx="90">
                  <c:v>16</c:v>
                </c:pt>
                <c:pt idx="91">
                  <c:v>10</c:v>
                </c:pt>
                <c:pt idx="92">
                  <c:v>7</c:v>
                </c:pt>
                <c:pt idx="93">
                  <c:v>13</c:v>
                </c:pt>
                <c:pt idx="94">
                  <c:v>4</c:v>
                </c:pt>
                <c:pt idx="95">
                  <c:v>6</c:v>
                </c:pt>
              </c:numCache>
            </c:numRef>
          </c:val>
          <c:smooth val="0"/>
          <c:extLst>
            <c:ext xmlns:c16="http://schemas.microsoft.com/office/drawing/2014/chart" uri="{C3380CC4-5D6E-409C-BE32-E72D297353CC}">
              <c16:uniqueId val="{00000005-576A-5B45-B1EE-FA16B2EB7537}"/>
            </c:ext>
          </c:extLst>
        </c:ser>
        <c:ser>
          <c:idx val="6"/>
          <c:order val="6"/>
          <c:tx>
            <c:strRef>
              <c:f>'Data Viz'!$H$3:$H$4</c:f>
              <c:strCache>
                <c:ptCount val="1"/>
                <c:pt idx="0">
                  <c:v>7</c:v>
                </c:pt>
              </c:strCache>
            </c:strRef>
          </c:tx>
          <c:spPr>
            <a:ln w="28575" cap="rnd">
              <a:solidFill>
                <a:schemeClr val="accent1">
                  <a:lumMod val="6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Viz'!$H$5:$H$423</c:f>
              <c:numCache>
                <c:formatCode>General</c:formatCode>
                <c:ptCount val="418"/>
                <c:pt idx="96">
                  <c:v>17</c:v>
                </c:pt>
                <c:pt idx="97">
                  <c:v>62</c:v>
                </c:pt>
                <c:pt idx="98">
                  <c:v>31</c:v>
                </c:pt>
                <c:pt idx="99">
                  <c:v>19</c:v>
                </c:pt>
                <c:pt idx="100">
                  <c:v>11</c:v>
                </c:pt>
                <c:pt idx="101">
                  <c:v>3</c:v>
                </c:pt>
                <c:pt idx="102">
                  <c:v>20</c:v>
                </c:pt>
                <c:pt idx="103">
                  <c:v>18</c:v>
                </c:pt>
                <c:pt idx="104">
                  <c:v>18</c:v>
                </c:pt>
                <c:pt idx="105">
                  <c:v>13</c:v>
                </c:pt>
                <c:pt idx="106">
                  <c:v>19</c:v>
                </c:pt>
                <c:pt idx="107">
                  <c:v>3</c:v>
                </c:pt>
                <c:pt idx="108">
                  <c:v>7</c:v>
                </c:pt>
                <c:pt idx="109">
                  <c:v>4</c:v>
                </c:pt>
                <c:pt idx="110">
                  <c:v>7</c:v>
                </c:pt>
              </c:numCache>
            </c:numRef>
          </c:val>
          <c:smooth val="0"/>
          <c:extLst>
            <c:ext xmlns:c16="http://schemas.microsoft.com/office/drawing/2014/chart" uri="{C3380CC4-5D6E-409C-BE32-E72D297353CC}">
              <c16:uniqueId val="{00000006-576A-5B45-B1EE-FA16B2EB7537}"/>
            </c:ext>
          </c:extLst>
        </c:ser>
        <c:ser>
          <c:idx val="7"/>
          <c:order val="7"/>
          <c:tx>
            <c:strRef>
              <c:f>'Data Viz'!$I$3:$I$4</c:f>
              <c:strCache>
                <c:ptCount val="1"/>
                <c:pt idx="0">
                  <c:v>8</c:v>
                </c:pt>
              </c:strCache>
            </c:strRef>
          </c:tx>
          <c:spPr>
            <a:ln w="28575" cap="rnd">
              <a:solidFill>
                <a:schemeClr val="accent2">
                  <a:lumMod val="6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Viz'!$I$5:$I$423</c:f>
              <c:numCache>
                <c:formatCode>General</c:formatCode>
                <c:ptCount val="418"/>
                <c:pt idx="111">
                  <c:v>104</c:v>
                </c:pt>
                <c:pt idx="112">
                  <c:v>57</c:v>
                </c:pt>
                <c:pt idx="113">
                  <c:v>33</c:v>
                </c:pt>
                <c:pt idx="114">
                  <c:v>11</c:v>
                </c:pt>
                <c:pt idx="115">
                  <c:v>8</c:v>
                </c:pt>
                <c:pt idx="116">
                  <c:v>34</c:v>
                </c:pt>
                <c:pt idx="117">
                  <c:v>25</c:v>
                </c:pt>
                <c:pt idx="118">
                  <c:v>83</c:v>
                </c:pt>
                <c:pt idx="119">
                  <c:v>10</c:v>
                </c:pt>
                <c:pt idx="120">
                  <c:v>13</c:v>
                </c:pt>
                <c:pt idx="121">
                  <c:v>6</c:v>
                </c:pt>
                <c:pt idx="122">
                  <c:v>5</c:v>
                </c:pt>
                <c:pt idx="123">
                  <c:v>4</c:v>
                </c:pt>
                <c:pt idx="124">
                  <c:v>9</c:v>
                </c:pt>
                <c:pt idx="125">
                  <c:v>45</c:v>
                </c:pt>
                <c:pt idx="126">
                  <c:v>12</c:v>
                </c:pt>
                <c:pt idx="127">
                  <c:v>35</c:v>
                </c:pt>
                <c:pt idx="128">
                  <c:v>12</c:v>
                </c:pt>
                <c:pt idx="129">
                  <c:v>9</c:v>
                </c:pt>
                <c:pt idx="130">
                  <c:v>2</c:v>
                </c:pt>
                <c:pt idx="131">
                  <c:v>3</c:v>
                </c:pt>
              </c:numCache>
            </c:numRef>
          </c:val>
          <c:smooth val="0"/>
          <c:extLst>
            <c:ext xmlns:c16="http://schemas.microsoft.com/office/drawing/2014/chart" uri="{C3380CC4-5D6E-409C-BE32-E72D297353CC}">
              <c16:uniqueId val="{00000007-576A-5B45-B1EE-FA16B2EB7537}"/>
            </c:ext>
          </c:extLst>
        </c:ser>
        <c:ser>
          <c:idx val="8"/>
          <c:order val="8"/>
          <c:tx>
            <c:strRef>
              <c:f>'Data Viz'!$J$3:$J$4</c:f>
              <c:strCache>
                <c:ptCount val="1"/>
                <c:pt idx="0">
                  <c:v>9</c:v>
                </c:pt>
              </c:strCache>
            </c:strRef>
          </c:tx>
          <c:spPr>
            <a:ln w="28575" cap="rnd">
              <a:solidFill>
                <a:schemeClr val="accent3">
                  <a:lumMod val="6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Viz'!$J$5:$J$423</c:f>
              <c:numCache>
                <c:formatCode>General</c:formatCode>
                <c:ptCount val="418"/>
                <c:pt idx="132">
                  <c:v>33</c:v>
                </c:pt>
                <c:pt idx="133">
                  <c:v>14</c:v>
                </c:pt>
                <c:pt idx="134">
                  <c:v>12</c:v>
                </c:pt>
                <c:pt idx="135">
                  <c:v>9</c:v>
                </c:pt>
                <c:pt idx="136">
                  <c:v>5</c:v>
                </c:pt>
                <c:pt idx="137">
                  <c:v>5</c:v>
                </c:pt>
                <c:pt idx="138">
                  <c:v>5</c:v>
                </c:pt>
                <c:pt idx="139">
                  <c:v>12</c:v>
                </c:pt>
                <c:pt idx="140">
                  <c:v>12</c:v>
                </c:pt>
                <c:pt idx="141">
                  <c:v>13</c:v>
                </c:pt>
                <c:pt idx="142">
                  <c:v>9</c:v>
                </c:pt>
                <c:pt idx="143">
                  <c:v>10</c:v>
                </c:pt>
                <c:pt idx="144">
                  <c:v>10</c:v>
                </c:pt>
                <c:pt idx="145">
                  <c:v>15</c:v>
                </c:pt>
              </c:numCache>
            </c:numRef>
          </c:val>
          <c:smooth val="0"/>
          <c:extLst>
            <c:ext xmlns:c16="http://schemas.microsoft.com/office/drawing/2014/chart" uri="{C3380CC4-5D6E-409C-BE32-E72D297353CC}">
              <c16:uniqueId val="{00000008-576A-5B45-B1EE-FA16B2EB7537}"/>
            </c:ext>
          </c:extLst>
        </c:ser>
        <c:ser>
          <c:idx val="9"/>
          <c:order val="9"/>
          <c:tx>
            <c:strRef>
              <c:f>'Data Viz'!$K$3:$K$4</c:f>
              <c:strCache>
                <c:ptCount val="1"/>
                <c:pt idx="0">
                  <c:v>10</c:v>
                </c:pt>
              </c:strCache>
            </c:strRef>
          </c:tx>
          <c:spPr>
            <a:ln w="28575" cap="rnd">
              <a:solidFill>
                <a:schemeClr val="accent4">
                  <a:lumMod val="6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Viz'!$K$5:$K$423</c:f>
              <c:numCache>
                <c:formatCode>General</c:formatCode>
                <c:ptCount val="418"/>
                <c:pt idx="146">
                  <c:v>44</c:v>
                </c:pt>
                <c:pt idx="147">
                  <c:v>16</c:v>
                </c:pt>
                <c:pt idx="148">
                  <c:v>10</c:v>
                </c:pt>
                <c:pt idx="149">
                  <c:v>6</c:v>
                </c:pt>
                <c:pt idx="150">
                  <c:v>2</c:v>
                </c:pt>
                <c:pt idx="151">
                  <c:v>11</c:v>
                </c:pt>
                <c:pt idx="152">
                  <c:v>2</c:v>
                </c:pt>
                <c:pt idx="153">
                  <c:v>5</c:v>
                </c:pt>
                <c:pt idx="154">
                  <c:v>5</c:v>
                </c:pt>
                <c:pt idx="155">
                  <c:v>9</c:v>
                </c:pt>
                <c:pt idx="156">
                  <c:v>6</c:v>
                </c:pt>
                <c:pt idx="157">
                  <c:v>4</c:v>
                </c:pt>
                <c:pt idx="158">
                  <c:v>10</c:v>
                </c:pt>
                <c:pt idx="159">
                  <c:v>5</c:v>
                </c:pt>
              </c:numCache>
            </c:numRef>
          </c:val>
          <c:smooth val="0"/>
          <c:extLst>
            <c:ext xmlns:c16="http://schemas.microsoft.com/office/drawing/2014/chart" uri="{C3380CC4-5D6E-409C-BE32-E72D297353CC}">
              <c16:uniqueId val="{00000009-576A-5B45-B1EE-FA16B2EB7537}"/>
            </c:ext>
          </c:extLst>
        </c:ser>
        <c:ser>
          <c:idx val="10"/>
          <c:order val="10"/>
          <c:tx>
            <c:strRef>
              <c:f>'Data Viz'!$L$3:$L$4</c:f>
              <c:strCache>
                <c:ptCount val="1"/>
                <c:pt idx="0">
                  <c:v>11</c:v>
                </c:pt>
              </c:strCache>
            </c:strRef>
          </c:tx>
          <c:spPr>
            <a:ln w="28575" cap="rnd">
              <a:solidFill>
                <a:schemeClr val="accent5">
                  <a:lumMod val="6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Viz'!$L$5:$L$423</c:f>
              <c:numCache>
                <c:formatCode>General</c:formatCode>
                <c:ptCount val="418"/>
                <c:pt idx="160">
                  <c:v>34</c:v>
                </c:pt>
                <c:pt idx="161">
                  <c:v>15</c:v>
                </c:pt>
                <c:pt idx="162">
                  <c:v>2</c:v>
                </c:pt>
                <c:pt idx="163">
                  <c:v>5</c:v>
                </c:pt>
                <c:pt idx="164">
                  <c:v>2</c:v>
                </c:pt>
                <c:pt idx="165">
                  <c:v>12</c:v>
                </c:pt>
                <c:pt idx="166">
                  <c:v>9</c:v>
                </c:pt>
                <c:pt idx="167">
                  <c:v>26</c:v>
                </c:pt>
                <c:pt idx="168">
                  <c:v>6</c:v>
                </c:pt>
                <c:pt idx="169">
                  <c:v>17</c:v>
                </c:pt>
                <c:pt idx="170">
                  <c:v>8</c:v>
                </c:pt>
                <c:pt idx="171">
                  <c:v>10</c:v>
                </c:pt>
                <c:pt idx="172">
                  <c:v>3</c:v>
                </c:pt>
                <c:pt idx="173">
                  <c:v>4</c:v>
                </c:pt>
              </c:numCache>
            </c:numRef>
          </c:val>
          <c:smooth val="0"/>
          <c:extLst>
            <c:ext xmlns:c16="http://schemas.microsoft.com/office/drawing/2014/chart" uri="{C3380CC4-5D6E-409C-BE32-E72D297353CC}">
              <c16:uniqueId val="{0000000A-576A-5B45-B1EE-FA16B2EB7537}"/>
            </c:ext>
          </c:extLst>
        </c:ser>
        <c:ser>
          <c:idx val="11"/>
          <c:order val="11"/>
          <c:tx>
            <c:strRef>
              <c:f>'Data Viz'!$M$3:$M$4</c:f>
              <c:strCache>
                <c:ptCount val="1"/>
                <c:pt idx="0">
                  <c:v>12</c:v>
                </c:pt>
              </c:strCache>
            </c:strRef>
          </c:tx>
          <c:spPr>
            <a:ln w="28575" cap="rnd">
              <a:solidFill>
                <a:schemeClr val="accent6">
                  <a:lumMod val="6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Viz'!$M$5:$M$423</c:f>
              <c:numCache>
                <c:formatCode>General</c:formatCode>
                <c:ptCount val="418"/>
                <c:pt idx="174">
                  <c:v>24</c:v>
                </c:pt>
                <c:pt idx="175">
                  <c:v>22</c:v>
                </c:pt>
                <c:pt idx="176">
                  <c:v>6</c:v>
                </c:pt>
                <c:pt idx="177">
                  <c:v>20</c:v>
                </c:pt>
                <c:pt idx="178">
                  <c:v>7</c:v>
                </c:pt>
                <c:pt idx="179">
                  <c:v>24</c:v>
                </c:pt>
                <c:pt idx="180">
                  <c:v>13</c:v>
                </c:pt>
                <c:pt idx="181">
                  <c:v>8</c:v>
                </c:pt>
                <c:pt idx="182">
                  <c:v>7</c:v>
                </c:pt>
                <c:pt idx="183">
                  <c:v>26</c:v>
                </c:pt>
                <c:pt idx="184">
                  <c:v>9</c:v>
                </c:pt>
                <c:pt idx="185">
                  <c:v>6</c:v>
                </c:pt>
                <c:pt idx="186">
                  <c:v>6</c:v>
                </c:pt>
                <c:pt idx="187">
                  <c:v>10</c:v>
                </c:pt>
                <c:pt idx="188">
                  <c:v>66</c:v>
                </c:pt>
                <c:pt idx="189">
                  <c:v>68</c:v>
                </c:pt>
              </c:numCache>
            </c:numRef>
          </c:val>
          <c:smooth val="0"/>
          <c:extLst>
            <c:ext xmlns:c16="http://schemas.microsoft.com/office/drawing/2014/chart" uri="{C3380CC4-5D6E-409C-BE32-E72D297353CC}">
              <c16:uniqueId val="{0000000B-576A-5B45-B1EE-FA16B2EB7537}"/>
            </c:ext>
          </c:extLst>
        </c:ser>
        <c:ser>
          <c:idx val="12"/>
          <c:order val="12"/>
          <c:tx>
            <c:strRef>
              <c:f>'Data Viz'!$N$3:$N$4</c:f>
              <c:strCache>
                <c:ptCount val="1"/>
                <c:pt idx="0">
                  <c:v>13</c:v>
                </c:pt>
              </c:strCache>
            </c:strRef>
          </c:tx>
          <c:spPr>
            <a:ln w="28575" cap="rnd">
              <a:solidFill>
                <a:schemeClr val="accent1">
                  <a:lumMod val="80000"/>
                  <a:lumOff val="2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Viz'!$N$5:$N$423</c:f>
              <c:numCache>
                <c:formatCode>General</c:formatCode>
                <c:ptCount val="418"/>
                <c:pt idx="190">
                  <c:v>52</c:v>
                </c:pt>
                <c:pt idx="191">
                  <c:v>17</c:v>
                </c:pt>
                <c:pt idx="192">
                  <c:v>4</c:v>
                </c:pt>
                <c:pt idx="193">
                  <c:v>18</c:v>
                </c:pt>
                <c:pt idx="194">
                  <c:v>13</c:v>
                </c:pt>
                <c:pt idx="195">
                  <c:v>12</c:v>
                </c:pt>
                <c:pt idx="196">
                  <c:v>4</c:v>
                </c:pt>
                <c:pt idx="197">
                  <c:v>28</c:v>
                </c:pt>
                <c:pt idx="198">
                  <c:v>5</c:v>
                </c:pt>
                <c:pt idx="199">
                  <c:v>1</c:v>
                </c:pt>
                <c:pt idx="200">
                  <c:v>15</c:v>
                </c:pt>
                <c:pt idx="201">
                  <c:v>9</c:v>
                </c:pt>
                <c:pt idx="202">
                  <c:v>15</c:v>
                </c:pt>
                <c:pt idx="203">
                  <c:v>7</c:v>
                </c:pt>
                <c:pt idx="204">
                  <c:v>7</c:v>
                </c:pt>
                <c:pt idx="205">
                  <c:v>4</c:v>
                </c:pt>
                <c:pt idx="206">
                  <c:v>3</c:v>
                </c:pt>
                <c:pt idx="207">
                  <c:v>18</c:v>
                </c:pt>
                <c:pt idx="208">
                  <c:v>3</c:v>
                </c:pt>
                <c:pt idx="209">
                  <c:v>7</c:v>
                </c:pt>
                <c:pt idx="210">
                  <c:v>2</c:v>
                </c:pt>
                <c:pt idx="211">
                  <c:v>12</c:v>
                </c:pt>
                <c:pt idx="212">
                  <c:v>17</c:v>
                </c:pt>
                <c:pt idx="213">
                  <c:v>15</c:v>
                </c:pt>
                <c:pt idx="214">
                  <c:v>3</c:v>
                </c:pt>
                <c:pt idx="215">
                  <c:v>7</c:v>
                </c:pt>
              </c:numCache>
            </c:numRef>
          </c:val>
          <c:smooth val="0"/>
          <c:extLst>
            <c:ext xmlns:c16="http://schemas.microsoft.com/office/drawing/2014/chart" uri="{C3380CC4-5D6E-409C-BE32-E72D297353CC}">
              <c16:uniqueId val="{0000000C-576A-5B45-B1EE-FA16B2EB7537}"/>
            </c:ext>
          </c:extLst>
        </c:ser>
        <c:ser>
          <c:idx val="13"/>
          <c:order val="13"/>
          <c:tx>
            <c:strRef>
              <c:f>'Data Viz'!$O$3:$O$4</c:f>
              <c:strCache>
                <c:ptCount val="1"/>
                <c:pt idx="0">
                  <c:v>14</c:v>
                </c:pt>
              </c:strCache>
            </c:strRef>
          </c:tx>
          <c:spPr>
            <a:ln w="28575" cap="rnd">
              <a:solidFill>
                <a:schemeClr val="accent2">
                  <a:lumMod val="80000"/>
                  <a:lumOff val="2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Viz'!$O$5:$O$423</c:f>
              <c:numCache>
                <c:formatCode>General</c:formatCode>
                <c:ptCount val="418"/>
                <c:pt idx="216">
                  <c:v>14</c:v>
                </c:pt>
                <c:pt idx="217">
                  <c:v>9</c:v>
                </c:pt>
                <c:pt idx="218">
                  <c:v>7</c:v>
                </c:pt>
                <c:pt idx="219">
                  <c:v>6</c:v>
                </c:pt>
                <c:pt idx="220">
                  <c:v>2</c:v>
                </c:pt>
                <c:pt idx="221">
                  <c:v>6</c:v>
                </c:pt>
                <c:pt idx="222">
                  <c:v>5</c:v>
                </c:pt>
                <c:pt idx="223">
                  <c:v>23</c:v>
                </c:pt>
                <c:pt idx="224">
                  <c:v>11</c:v>
                </c:pt>
                <c:pt idx="225">
                  <c:v>11</c:v>
                </c:pt>
                <c:pt idx="226">
                  <c:v>5</c:v>
                </c:pt>
                <c:pt idx="227">
                  <c:v>5</c:v>
                </c:pt>
                <c:pt idx="228">
                  <c:v>16</c:v>
                </c:pt>
                <c:pt idx="229">
                  <c:v>5</c:v>
                </c:pt>
                <c:pt idx="230">
                  <c:v>5</c:v>
                </c:pt>
                <c:pt idx="231">
                  <c:v>3</c:v>
                </c:pt>
              </c:numCache>
            </c:numRef>
          </c:val>
          <c:smooth val="0"/>
          <c:extLst>
            <c:ext xmlns:c16="http://schemas.microsoft.com/office/drawing/2014/chart" uri="{C3380CC4-5D6E-409C-BE32-E72D297353CC}">
              <c16:uniqueId val="{0000000D-576A-5B45-B1EE-FA16B2EB7537}"/>
            </c:ext>
          </c:extLst>
        </c:ser>
        <c:ser>
          <c:idx val="14"/>
          <c:order val="14"/>
          <c:tx>
            <c:strRef>
              <c:f>'Data Viz'!$P$3:$P$4</c:f>
              <c:strCache>
                <c:ptCount val="1"/>
                <c:pt idx="0">
                  <c:v>15</c:v>
                </c:pt>
              </c:strCache>
            </c:strRef>
          </c:tx>
          <c:spPr>
            <a:ln w="28575" cap="rnd">
              <a:solidFill>
                <a:schemeClr val="accent3">
                  <a:lumMod val="80000"/>
                  <a:lumOff val="2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Viz'!$P$5:$P$423</c:f>
              <c:numCache>
                <c:formatCode>General</c:formatCode>
                <c:ptCount val="418"/>
                <c:pt idx="232">
                  <c:v>4</c:v>
                </c:pt>
                <c:pt idx="233">
                  <c:v>3</c:v>
                </c:pt>
                <c:pt idx="234">
                  <c:v>38</c:v>
                </c:pt>
                <c:pt idx="235">
                  <c:v>9</c:v>
                </c:pt>
                <c:pt idx="236">
                  <c:v>18</c:v>
                </c:pt>
                <c:pt idx="237">
                  <c:v>23</c:v>
                </c:pt>
                <c:pt idx="238">
                  <c:v>19</c:v>
                </c:pt>
                <c:pt idx="239">
                  <c:v>8</c:v>
                </c:pt>
                <c:pt idx="240">
                  <c:v>6</c:v>
                </c:pt>
                <c:pt idx="241">
                  <c:v>4</c:v>
                </c:pt>
                <c:pt idx="242">
                  <c:v>14</c:v>
                </c:pt>
                <c:pt idx="243">
                  <c:v>6</c:v>
                </c:pt>
                <c:pt idx="244">
                  <c:v>5</c:v>
                </c:pt>
                <c:pt idx="245">
                  <c:v>8</c:v>
                </c:pt>
                <c:pt idx="246">
                  <c:v>9</c:v>
                </c:pt>
                <c:pt idx="247">
                  <c:v>8</c:v>
                </c:pt>
                <c:pt idx="248">
                  <c:v>8</c:v>
                </c:pt>
                <c:pt idx="249">
                  <c:v>2</c:v>
                </c:pt>
              </c:numCache>
            </c:numRef>
          </c:val>
          <c:smooth val="0"/>
          <c:extLst>
            <c:ext xmlns:c16="http://schemas.microsoft.com/office/drawing/2014/chart" uri="{C3380CC4-5D6E-409C-BE32-E72D297353CC}">
              <c16:uniqueId val="{0000000E-576A-5B45-B1EE-FA16B2EB7537}"/>
            </c:ext>
          </c:extLst>
        </c:ser>
        <c:ser>
          <c:idx val="15"/>
          <c:order val="15"/>
          <c:tx>
            <c:strRef>
              <c:f>'Data Viz'!$Q$3:$Q$4</c:f>
              <c:strCache>
                <c:ptCount val="1"/>
                <c:pt idx="0">
                  <c:v>16</c:v>
                </c:pt>
              </c:strCache>
            </c:strRef>
          </c:tx>
          <c:spPr>
            <a:ln w="28575" cap="rnd">
              <a:solidFill>
                <a:schemeClr val="accent4">
                  <a:lumMod val="80000"/>
                  <a:lumOff val="2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Viz'!$Q$5:$Q$423</c:f>
              <c:numCache>
                <c:formatCode>General</c:formatCode>
                <c:ptCount val="418"/>
                <c:pt idx="250">
                  <c:v>4</c:v>
                </c:pt>
                <c:pt idx="251">
                  <c:v>25</c:v>
                </c:pt>
                <c:pt idx="252">
                  <c:v>13</c:v>
                </c:pt>
                <c:pt idx="253">
                  <c:v>20</c:v>
                </c:pt>
                <c:pt idx="254">
                  <c:v>9</c:v>
                </c:pt>
                <c:pt idx="255">
                  <c:v>4</c:v>
                </c:pt>
                <c:pt idx="256">
                  <c:v>5</c:v>
                </c:pt>
                <c:pt idx="257">
                  <c:v>14</c:v>
                </c:pt>
                <c:pt idx="258">
                  <c:v>16</c:v>
                </c:pt>
                <c:pt idx="259">
                  <c:v>14</c:v>
                </c:pt>
                <c:pt idx="260">
                  <c:v>16</c:v>
                </c:pt>
                <c:pt idx="261">
                  <c:v>15</c:v>
                </c:pt>
                <c:pt idx="262">
                  <c:v>21</c:v>
                </c:pt>
                <c:pt idx="263">
                  <c:v>22</c:v>
                </c:pt>
              </c:numCache>
            </c:numRef>
          </c:val>
          <c:smooth val="0"/>
          <c:extLst>
            <c:ext xmlns:c16="http://schemas.microsoft.com/office/drawing/2014/chart" uri="{C3380CC4-5D6E-409C-BE32-E72D297353CC}">
              <c16:uniqueId val="{0000000F-576A-5B45-B1EE-FA16B2EB7537}"/>
            </c:ext>
          </c:extLst>
        </c:ser>
        <c:ser>
          <c:idx val="16"/>
          <c:order val="16"/>
          <c:tx>
            <c:strRef>
              <c:f>'Data Viz'!$R$3:$R$4</c:f>
              <c:strCache>
                <c:ptCount val="1"/>
                <c:pt idx="0">
                  <c:v>17</c:v>
                </c:pt>
              </c:strCache>
            </c:strRef>
          </c:tx>
          <c:spPr>
            <a:ln w="28575" cap="rnd">
              <a:solidFill>
                <a:schemeClr val="accent5">
                  <a:lumMod val="80000"/>
                  <a:lumOff val="2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Viz'!$R$5:$R$423</c:f>
              <c:numCache>
                <c:formatCode>General</c:formatCode>
                <c:ptCount val="418"/>
                <c:pt idx="264">
                  <c:v>34</c:v>
                </c:pt>
                <c:pt idx="265">
                  <c:v>12</c:v>
                </c:pt>
                <c:pt idx="266">
                  <c:v>13</c:v>
                </c:pt>
                <c:pt idx="267">
                  <c:v>22</c:v>
                </c:pt>
                <c:pt idx="268">
                  <c:v>24</c:v>
                </c:pt>
                <c:pt idx="269">
                  <c:v>15</c:v>
                </c:pt>
                <c:pt idx="270">
                  <c:v>16</c:v>
                </c:pt>
                <c:pt idx="271">
                  <c:v>17</c:v>
                </c:pt>
                <c:pt idx="272">
                  <c:v>17</c:v>
                </c:pt>
                <c:pt idx="273">
                  <c:v>27</c:v>
                </c:pt>
                <c:pt idx="274">
                  <c:v>26</c:v>
                </c:pt>
                <c:pt idx="275">
                  <c:v>27</c:v>
                </c:pt>
                <c:pt idx="276">
                  <c:v>25</c:v>
                </c:pt>
                <c:pt idx="277">
                  <c:v>22</c:v>
                </c:pt>
                <c:pt idx="278">
                  <c:v>23</c:v>
                </c:pt>
                <c:pt idx="279">
                  <c:v>29</c:v>
                </c:pt>
                <c:pt idx="280">
                  <c:v>26</c:v>
                </c:pt>
                <c:pt idx="281">
                  <c:v>23</c:v>
                </c:pt>
                <c:pt idx="282">
                  <c:v>38</c:v>
                </c:pt>
                <c:pt idx="283">
                  <c:v>14</c:v>
                </c:pt>
                <c:pt idx="284">
                  <c:v>14</c:v>
                </c:pt>
                <c:pt idx="285">
                  <c:v>49</c:v>
                </c:pt>
                <c:pt idx="286">
                  <c:v>59</c:v>
                </c:pt>
                <c:pt idx="287">
                  <c:v>32</c:v>
                </c:pt>
                <c:pt idx="288">
                  <c:v>27</c:v>
                </c:pt>
                <c:pt idx="289">
                  <c:v>29</c:v>
                </c:pt>
                <c:pt idx="290">
                  <c:v>37</c:v>
                </c:pt>
                <c:pt idx="291">
                  <c:v>22</c:v>
                </c:pt>
                <c:pt idx="292">
                  <c:v>26</c:v>
                </c:pt>
                <c:pt idx="293">
                  <c:v>19</c:v>
                </c:pt>
                <c:pt idx="294">
                  <c:v>79</c:v>
                </c:pt>
                <c:pt idx="295">
                  <c:v>57</c:v>
                </c:pt>
                <c:pt idx="296">
                  <c:v>26</c:v>
                </c:pt>
                <c:pt idx="297">
                  <c:v>16</c:v>
                </c:pt>
                <c:pt idx="298">
                  <c:v>29</c:v>
                </c:pt>
                <c:pt idx="299">
                  <c:v>20</c:v>
                </c:pt>
              </c:numCache>
            </c:numRef>
          </c:val>
          <c:smooth val="0"/>
          <c:extLst>
            <c:ext xmlns:c16="http://schemas.microsoft.com/office/drawing/2014/chart" uri="{C3380CC4-5D6E-409C-BE32-E72D297353CC}">
              <c16:uniqueId val="{00000010-576A-5B45-B1EE-FA16B2EB7537}"/>
            </c:ext>
          </c:extLst>
        </c:ser>
        <c:ser>
          <c:idx val="17"/>
          <c:order val="17"/>
          <c:tx>
            <c:strRef>
              <c:f>'Data Viz'!$S$3:$S$4</c:f>
              <c:strCache>
                <c:ptCount val="1"/>
                <c:pt idx="0">
                  <c:v>18</c:v>
                </c:pt>
              </c:strCache>
            </c:strRef>
          </c:tx>
          <c:spPr>
            <a:ln w="28575" cap="rnd">
              <a:solidFill>
                <a:schemeClr val="accent6">
                  <a:lumMod val="80000"/>
                  <a:lumOff val="2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Viz'!$S$5:$S$423</c:f>
              <c:numCache>
                <c:formatCode>General</c:formatCode>
                <c:ptCount val="418"/>
                <c:pt idx="300">
                  <c:v>55</c:v>
                </c:pt>
                <c:pt idx="301">
                  <c:v>29</c:v>
                </c:pt>
                <c:pt idx="302">
                  <c:v>17</c:v>
                </c:pt>
                <c:pt idx="303">
                  <c:v>22</c:v>
                </c:pt>
                <c:pt idx="304">
                  <c:v>12</c:v>
                </c:pt>
                <c:pt idx="305">
                  <c:v>20</c:v>
                </c:pt>
                <c:pt idx="306">
                  <c:v>13</c:v>
                </c:pt>
                <c:pt idx="307">
                  <c:v>20</c:v>
                </c:pt>
                <c:pt idx="308">
                  <c:v>15</c:v>
                </c:pt>
                <c:pt idx="309">
                  <c:v>30</c:v>
                </c:pt>
                <c:pt idx="310">
                  <c:v>23</c:v>
                </c:pt>
                <c:pt idx="311">
                  <c:v>12</c:v>
                </c:pt>
                <c:pt idx="312">
                  <c:v>13</c:v>
                </c:pt>
                <c:pt idx="313">
                  <c:v>22</c:v>
                </c:pt>
                <c:pt idx="314">
                  <c:v>33</c:v>
                </c:pt>
                <c:pt idx="315">
                  <c:v>29</c:v>
                </c:pt>
                <c:pt idx="316">
                  <c:v>49</c:v>
                </c:pt>
                <c:pt idx="317">
                  <c:v>25</c:v>
                </c:pt>
                <c:pt idx="318">
                  <c:v>21</c:v>
                </c:pt>
                <c:pt idx="319">
                  <c:v>23</c:v>
                </c:pt>
                <c:pt idx="320">
                  <c:v>13</c:v>
                </c:pt>
                <c:pt idx="321">
                  <c:v>64</c:v>
                </c:pt>
                <c:pt idx="322">
                  <c:v>22</c:v>
                </c:pt>
                <c:pt idx="323">
                  <c:v>107</c:v>
                </c:pt>
                <c:pt idx="324">
                  <c:v>316</c:v>
                </c:pt>
                <c:pt idx="325">
                  <c:v>77</c:v>
                </c:pt>
                <c:pt idx="326">
                  <c:v>36</c:v>
                </c:pt>
                <c:pt idx="327">
                  <c:v>58</c:v>
                </c:pt>
                <c:pt idx="328">
                  <c:v>13</c:v>
                </c:pt>
                <c:pt idx="329">
                  <c:v>5</c:v>
                </c:pt>
                <c:pt idx="330">
                  <c:v>6</c:v>
                </c:pt>
                <c:pt idx="331">
                  <c:v>15</c:v>
                </c:pt>
                <c:pt idx="332">
                  <c:v>12</c:v>
                </c:pt>
                <c:pt idx="333">
                  <c:v>7</c:v>
                </c:pt>
                <c:pt idx="334">
                  <c:v>10</c:v>
                </c:pt>
              </c:numCache>
            </c:numRef>
          </c:val>
          <c:smooth val="0"/>
          <c:extLst>
            <c:ext xmlns:c16="http://schemas.microsoft.com/office/drawing/2014/chart" uri="{C3380CC4-5D6E-409C-BE32-E72D297353CC}">
              <c16:uniqueId val="{00000011-576A-5B45-B1EE-FA16B2EB7537}"/>
            </c:ext>
          </c:extLst>
        </c:ser>
        <c:ser>
          <c:idx val="18"/>
          <c:order val="18"/>
          <c:tx>
            <c:strRef>
              <c:f>'Data Viz'!$T$3:$T$4</c:f>
              <c:strCache>
                <c:ptCount val="1"/>
                <c:pt idx="0">
                  <c:v>19</c:v>
                </c:pt>
              </c:strCache>
            </c:strRef>
          </c:tx>
          <c:spPr>
            <a:ln w="28575" cap="rnd">
              <a:solidFill>
                <a:schemeClr val="accent1">
                  <a:lumMod val="8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Viz'!$T$5:$T$423</c:f>
              <c:numCache>
                <c:formatCode>General</c:formatCode>
                <c:ptCount val="418"/>
                <c:pt idx="335">
                  <c:v>31</c:v>
                </c:pt>
                <c:pt idx="336">
                  <c:v>23</c:v>
                </c:pt>
                <c:pt idx="337">
                  <c:v>30</c:v>
                </c:pt>
                <c:pt idx="338">
                  <c:v>40</c:v>
                </c:pt>
                <c:pt idx="339">
                  <c:v>41</c:v>
                </c:pt>
                <c:pt idx="340">
                  <c:v>16</c:v>
                </c:pt>
                <c:pt idx="341">
                  <c:v>51</c:v>
                </c:pt>
                <c:pt idx="342">
                  <c:v>15</c:v>
                </c:pt>
                <c:pt idx="343">
                  <c:v>71</c:v>
                </c:pt>
                <c:pt idx="344">
                  <c:v>44</c:v>
                </c:pt>
                <c:pt idx="345">
                  <c:v>19</c:v>
                </c:pt>
                <c:pt idx="346">
                  <c:v>18</c:v>
                </c:pt>
                <c:pt idx="347">
                  <c:v>11</c:v>
                </c:pt>
                <c:pt idx="348">
                  <c:v>30</c:v>
                </c:pt>
                <c:pt idx="349">
                  <c:v>18</c:v>
                </c:pt>
                <c:pt idx="350">
                  <c:v>24</c:v>
                </c:pt>
                <c:pt idx="351">
                  <c:v>130</c:v>
                </c:pt>
                <c:pt idx="352">
                  <c:v>47</c:v>
                </c:pt>
                <c:pt idx="353">
                  <c:v>30</c:v>
                </c:pt>
                <c:pt idx="354">
                  <c:v>13</c:v>
                </c:pt>
                <c:pt idx="355">
                  <c:v>7</c:v>
                </c:pt>
                <c:pt idx="356">
                  <c:v>18</c:v>
                </c:pt>
                <c:pt idx="357">
                  <c:v>21</c:v>
                </c:pt>
                <c:pt idx="358">
                  <c:v>12</c:v>
                </c:pt>
                <c:pt idx="359">
                  <c:v>26</c:v>
                </c:pt>
                <c:pt idx="360">
                  <c:v>13</c:v>
                </c:pt>
                <c:pt idx="361">
                  <c:v>45</c:v>
                </c:pt>
                <c:pt idx="362">
                  <c:v>11</c:v>
                </c:pt>
              </c:numCache>
            </c:numRef>
          </c:val>
          <c:smooth val="0"/>
          <c:extLst>
            <c:ext xmlns:c16="http://schemas.microsoft.com/office/drawing/2014/chart" uri="{C3380CC4-5D6E-409C-BE32-E72D297353CC}">
              <c16:uniqueId val="{00000012-576A-5B45-B1EE-FA16B2EB7537}"/>
            </c:ext>
          </c:extLst>
        </c:ser>
        <c:ser>
          <c:idx val="19"/>
          <c:order val="19"/>
          <c:tx>
            <c:strRef>
              <c:f>'Data Viz'!$U$3:$U$4</c:f>
              <c:strCache>
                <c:ptCount val="1"/>
                <c:pt idx="0">
                  <c:v>20</c:v>
                </c:pt>
              </c:strCache>
            </c:strRef>
          </c:tx>
          <c:spPr>
            <a:ln w="28575" cap="rnd">
              <a:solidFill>
                <a:schemeClr val="accent2">
                  <a:lumMod val="8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Viz'!$U$5:$U$423</c:f>
              <c:numCache>
                <c:formatCode>General</c:formatCode>
                <c:ptCount val="418"/>
                <c:pt idx="363">
                  <c:v>50</c:v>
                </c:pt>
                <c:pt idx="364">
                  <c:v>10</c:v>
                </c:pt>
                <c:pt idx="365">
                  <c:v>14</c:v>
                </c:pt>
                <c:pt idx="366">
                  <c:v>108</c:v>
                </c:pt>
                <c:pt idx="367">
                  <c:v>13</c:v>
                </c:pt>
                <c:pt idx="368">
                  <c:v>6</c:v>
                </c:pt>
                <c:pt idx="369">
                  <c:v>5</c:v>
                </c:pt>
                <c:pt idx="370">
                  <c:v>4</c:v>
                </c:pt>
                <c:pt idx="371">
                  <c:v>5</c:v>
                </c:pt>
                <c:pt idx="372">
                  <c:v>9</c:v>
                </c:pt>
                <c:pt idx="373">
                  <c:v>20</c:v>
                </c:pt>
                <c:pt idx="374">
                  <c:v>5</c:v>
                </c:pt>
                <c:pt idx="375">
                  <c:v>3</c:v>
                </c:pt>
                <c:pt idx="376">
                  <c:v>12</c:v>
                </c:pt>
                <c:pt idx="377">
                  <c:v>10</c:v>
                </c:pt>
                <c:pt idx="378">
                  <c:v>11</c:v>
                </c:pt>
                <c:pt idx="379">
                  <c:v>6</c:v>
                </c:pt>
              </c:numCache>
            </c:numRef>
          </c:val>
          <c:smooth val="0"/>
          <c:extLst>
            <c:ext xmlns:c16="http://schemas.microsoft.com/office/drawing/2014/chart" uri="{C3380CC4-5D6E-409C-BE32-E72D297353CC}">
              <c16:uniqueId val="{00000013-576A-5B45-B1EE-FA16B2EB7537}"/>
            </c:ext>
          </c:extLst>
        </c:ser>
        <c:ser>
          <c:idx val="20"/>
          <c:order val="20"/>
          <c:tx>
            <c:strRef>
              <c:f>'Data Viz'!$V$3:$V$4</c:f>
              <c:strCache>
                <c:ptCount val="1"/>
                <c:pt idx="0">
                  <c:v>21</c:v>
                </c:pt>
              </c:strCache>
            </c:strRef>
          </c:tx>
          <c:spPr>
            <a:ln w="28575" cap="rnd">
              <a:solidFill>
                <a:schemeClr val="accent3">
                  <a:lumMod val="8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Viz'!$V$5:$V$423</c:f>
              <c:numCache>
                <c:formatCode>General</c:formatCode>
                <c:ptCount val="418"/>
                <c:pt idx="380">
                  <c:v>39</c:v>
                </c:pt>
                <c:pt idx="381">
                  <c:v>13</c:v>
                </c:pt>
                <c:pt idx="382">
                  <c:v>11</c:v>
                </c:pt>
                <c:pt idx="383">
                  <c:v>11</c:v>
                </c:pt>
                <c:pt idx="384">
                  <c:v>20</c:v>
                </c:pt>
                <c:pt idx="385">
                  <c:v>2</c:v>
                </c:pt>
                <c:pt idx="386">
                  <c:v>8</c:v>
                </c:pt>
                <c:pt idx="387">
                  <c:v>6</c:v>
                </c:pt>
                <c:pt idx="388">
                  <c:v>15</c:v>
                </c:pt>
                <c:pt idx="389">
                  <c:v>6</c:v>
                </c:pt>
                <c:pt idx="390">
                  <c:v>12</c:v>
                </c:pt>
              </c:numCache>
            </c:numRef>
          </c:val>
          <c:smooth val="0"/>
          <c:extLst>
            <c:ext xmlns:c16="http://schemas.microsoft.com/office/drawing/2014/chart" uri="{C3380CC4-5D6E-409C-BE32-E72D297353CC}">
              <c16:uniqueId val="{00000014-576A-5B45-B1EE-FA16B2EB7537}"/>
            </c:ext>
          </c:extLst>
        </c:ser>
        <c:ser>
          <c:idx val="21"/>
          <c:order val="21"/>
          <c:tx>
            <c:strRef>
              <c:f>'Data Viz'!$W$3:$W$4</c:f>
              <c:strCache>
                <c:ptCount val="1"/>
                <c:pt idx="0">
                  <c:v>22</c:v>
                </c:pt>
              </c:strCache>
            </c:strRef>
          </c:tx>
          <c:spPr>
            <a:ln w="28575" cap="rnd">
              <a:solidFill>
                <a:schemeClr val="accent4">
                  <a:lumMod val="8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Viz'!$W$5:$W$423</c:f>
              <c:numCache>
                <c:formatCode>General</c:formatCode>
                <c:ptCount val="418"/>
                <c:pt idx="391">
                  <c:v>37</c:v>
                </c:pt>
                <c:pt idx="392">
                  <c:v>13</c:v>
                </c:pt>
                <c:pt idx="393">
                  <c:v>2</c:v>
                </c:pt>
                <c:pt idx="394">
                  <c:v>24</c:v>
                </c:pt>
                <c:pt idx="395">
                  <c:v>10</c:v>
                </c:pt>
                <c:pt idx="396">
                  <c:v>11</c:v>
                </c:pt>
                <c:pt idx="397">
                  <c:v>20</c:v>
                </c:pt>
                <c:pt idx="398">
                  <c:v>38</c:v>
                </c:pt>
                <c:pt idx="399">
                  <c:v>25</c:v>
                </c:pt>
                <c:pt idx="400">
                  <c:v>13</c:v>
                </c:pt>
                <c:pt idx="401">
                  <c:v>21</c:v>
                </c:pt>
                <c:pt idx="402">
                  <c:v>11</c:v>
                </c:pt>
                <c:pt idx="403">
                  <c:v>15</c:v>
                </c:pt>
                <c:pt idx="404">
                  <c:v>13</c:v>
                </c:pt>
              </c:numCache>
            </c:numRef>
          </c:val>
          <c:smooth val="0"/>
          <c:extLst>
            <c:ext xmlns:c16="http://schemas.microsoft.com/office/drawing/2014/chart" uri="{C3380CC4-5D6E-409C-BE32-E72D297353CC}">
              <c16:uniqueId val="{00000015-576A-5B45-B1EE-FA16B2EB7537}"/>
            </c:ext>
          </c:extLst>
        </c:ser>
        <c:ser>
          <c:idx val="22"/>
          <c:order val="22"/>
          <c:tx>
            <c:strRef>
              <c:f>'Data Viz'!$X$3:$X$4</c:f>
              <c:strCache>
                <c:ptCount val="1"/>
                <c:pt idx="0">
                  <c:v>23</c:v>
                </c:pt>
              </c:strCache>
            </c:strRef>
          </c:tx>
          <c:spPr>
            <a:ln w="28575" cap="rnd">
              <a:solidFill>
                <a:schemeClr val="accent5">
                  <a:lumMod val="80000"/>
                </a:schemeClr>
              </a:solidFill>
              <a:round/>
            </a:ln>
            <a:effectLst/>
          </c:spPr>
          <c:marker>
            <c:symbol val="none"/>
          </c:marker>
          <c:cat>
            <c:strRef>
              <c:f>'Data Viz'!$A$5:$A$423</c:f>
              <c:strCache>
                <c:ptCount val="418"/>
                <c:pt idx="0">
                  <c:v>08.01.2013</c:v>
                </c:pt>
                <c:pt idx="1">
                  <c:v>09.01.2013</c:v>
                </c:pt>
                <c:pt idx="2">
                  <c:v>10.01.2013</c:v>
                </c:pt>
                <c:pt idx="3">
                  <c:v>11.01.2013</c:v>
                </c:pt>
                <c:pt idx="4">
                  <c:v>12.01.2013</c:v>
                </c:pt>
                <c:pt idx="5">
                  <c:v>13.01.2013</c:v>
                </c:pt>
                <c:pt idx="6">
                  <c:v>14.01.2013</c:v>
                </c:pt>
                <c:pt idx="7">
                  <c:v>15.01.2013</c:v>
                </c:pt>
                <c:pt idx="8">
                  <c:v>16.01.2013</c:v>
                </c:pt>
                <c:pt idx="9">
                  <c:v>17.01.2013</c:v>
                </c:pt>
                <c:pt idx="10">
                  <c:v>18.01.2013</c:v>
                </c:pt>
                <c:pt idx="11">
                  <c:v>19.01.2013</c:v>
                </c:pt>
                <c:pt idx="12">
                  <c:v>20.01.2013</c:v>
                </c:pt>
                <c:pt idx="13">
                  <c:v>21.01.2013</c:v>
                </c:pt>
                <c:pt idx="14">
                  <c:v>22.01.2013</c:v>
                </c:pt>
                <c:pt idx="15">
                  <c:v>23.01.2013</c:v>
                </c:pt>
                <c:pt idx="16">
                  <c:v>24.01.2013</c:v>
                </c:pt>
                <c:pt idx="17">
                  <c:v>25.01.2013</c:v>
                </c:pt>
                <c:pt idx="18">
                  <c:v>26.01.2013</c:v>
                </c:pt>
                <c:pt idx="19">
                  <c:v>27.01.2013</c:v>
                </c:pt>
                <c:pt idx="20">
                  <c:v>28.01.2013</c:v>
                </c:pt>
                <c:pt idx="21">
                  <c:v>29.01.2013</c:v>
                </c:pt>
                <c:pt idx="22">
                  <c:v>30.01.2013</c:v>
                </c:pt>
                <c:pt idx="23">
                  <c:v>31.01.2013</c:v>
                </c:pt>
                <c:pt idx="24">
                  <c:v>01.02.2013</c:v>
                </c:pt>
                <c:pt idx="25">
                  <c:v>02.02.2013</c:v>
                </c:pt>
                <c:pt idx="26">
                  <c:v>03.02.2013</c:v>
                </c:pt>
                <c:pt idx="27">
                  <c:v>04.02.2013</c:v>
                </c:pt>
                <c:pt idx="28">
                  <c:v>05.02.2013</c:v>
                </c:pt>
                <c:pt idx="29">
                  <c:v>06.02.2013</c:v>
                </c:pt>
                <c:pt idx="30">
                  <c:v>07.02.2013</c:v>
                </c:pt>
                <c:pt idx="31">
                  <c:v>08.02.2013</c:v>
                </c:pt>
                <c:pt idx="32">
                  <c:v>09.02.2013</c:v>
                </c:pt>
                <c:pt idx="33">
                  <c:v>10.02.2013</c:v>
                </c:pt>
                <c:pt idx="34">
                  <c:v>11.02.2013</c:v>
                </c:pt>
                <c:pt idx="35">
                  <c:v>12.02.2013</c:v>
                </c:pt>
                <c:pt idx="36">
                  <c:v>13.02.2013</c:v>
                </c:pt>
                <c:pt idx="37">
                  <c:v>14.02.2013</c:v>
                </c:pt>
                <c:pt idx="38">
                  <c:v>15.02.2013</c:v>
                </c:pt>
                <c:pt idx="39">
                  <c:v>17.02.2013</c:v>
                </c:pt>
                <c:pt idx="40">
                  <c:v>18.02.2013</c:v>
                </c:pt>
                <c:pt idx="41">
                  <c:v>19.02.2013</c:v>
                </c:pt>
                <c:pt idx="42">
                  <c:v>20.02.2013</c:v>
                </c:pt>
                <c:pt idx="43">
                  <c:v>21.02.2013</c:v>
                </c:pt>
                <c:pt idx="44">
                  <c:v>22.02.2013</c:v>
                </c:pt>
                <c:pt idx="45">
                  <c:v>23.02.2013</c:v>
                </c:pt>
                <c:pt idx="46">
                  <c:v>24.02.2013</c:v>
                </c:pt>
                <c:pt idx="47">
                  <c:v>25.02.2013</c:v>
                </c:pt>
                <c:pt idx="48">
                  <c:v>26.02.2013</c:v>
                </c:pt>
                <c:pt idx="49">
                  <c:v>27.02.2013</c:v>
                </c:pt>
                <c:pt idx="50">
                  <c:v>28.02.2013</c:v>
                </c:pt>
                <c:pt idx="51">
                  <c:v>01.03.2013</c:v>
                </c:pt>
                <c:pt idx="52">
                  <c:v>02.03.2013</c:v>
                </c:pt>
                <c:pt idx="53">
                  <c:v>03.03.2013</c:v>
                </c:pt>
                <c:pt idx="54">
                  <c:v>04.03.2013</c:v>
                </c:pt>
                <c:pt idx="55">
                  <c:v>05.03.2013</c:v>
                </c:pt>
                <c:pt idx="56">
                  <c:v>06.03.2013</c:v>
                </c:pt>
                <c:pt idx="57">
                  <c:v>07.03.2013</c:v>
                </c:pt>
                <c:pt idx="58">
                  <c:v>08.03.2013</c:v>
                </c:pt>
                <c:pt idx="59">
                  <c:v>09.03.2013</c:v>
                </c:pt>
                <c:pt idx="60">
                  <c:v>10.03.2013</c:v>
                </c:pt>
                <c:pt idx="61">
                  <c:v>11.03.2013</c:v>
                </c:pt>
                <c:pt idx="62">
                  <c:v>12.03.2013</c:v>
                </c:pt>
                <c:pt idx="63">
                  <c:v>13.03.2013</c:v>
                </c:pt>
                <c:pt idx="64">
                  <c:v>14.03.2013</c:v>
                </c:pt>
                <c:pt idx="65">
                  <c:v>15.03.2013</c:v>
                </c:pt>
                <c:pt idx="66">
                  <c:v>16.03.2013</c:v>
                </c:pt>
                <c:pt idx="67">
                  <c:v>17.03.2013</c:v>
                </c:pt>
                <c:pt idx="68">
                  <c:v>18.03.2013</c:v>
                </c:pt>
                <c:pt idx="69">
                  <c:v>19.03.2013</c:v>
                </c:pt>
                <c:pt idx="70">
                  <c:v>20.03.2013</c:v>
                </c:pt>
                <c:pt idx="71">
                  <c:v>21.03.2013</c:v>
                </c:pt>
                <c:pt idx="72">
                  <c:v>22.03.2013</c:v>
                </c:pt>
                <c:pt idx="73">
                  <c:v>23.03.2013</c:v>
                </c:pt>
                <c:pt idx="74">
                  <c:v>24.03.2013</c:v>
                </c:pt>
                <c:pt idx="75">
                  <c:v>25.03.2013</c:v>
                </c:pt>
                <c:pt idx="76">
                  <c:v>26.03.2013</c:v>
                </c:pt>
                <c:pt idx="77">
                  <c:v>27.03.2013</c:v>
                </c:pt>
                <c:pt idx="78">
                  <c:v>28.03.2013</c:v>
                </c:pt>
                <c:pt idx="79">
                  <c:v>29.03.2013</c:v>
                </c:pt>
                <c:pt idx="80">
                  <c:v>30.03.2013</c:v>
                </c:pt>
                <c:pt idx="81">
                  <c:v>31.03.2013</c:v>
                </c:pt>
                <c:pt idx="82">
                  <c:v>01.04.2013</c:v>
                </c:pt>
                <c:pt idx="83">
                  <c:v>02.04.2013</c:v>
                </c:pt>
                <c:pt idx="84">
                  <c:v>03.04.2013</c:v>
                </c:pt>
                <c:pt idx="85">
                  <c:v>04.04.2013</c:v>
                </c:pt>
                <c:pt idx="86">
                  <c:v>05.04.2013</c:v>
                </c:pt>
                <c:pt idx="87">
                  <c:v>06.04.2013</c:v>
                </c:pt>
                <c:pt idx="88">
                  <c:v>07.04.2013</c:v>
                </c:pt>
                <c:pt idx="89">
                  <c:v>08.04.2013</c:v>
                </c:pt>
                <c:pt idx="90">
                  <c:v>09.04.2013</c:v>
                </c:pt>
                <c:pt idx="91">
                  <c:v>10.04.2013</c:v>
                </c:pt>
                <c:pt idx="92">
                  <c:v>11.04.2013</c:v>
                </c:pt>
                <c:pt idx="93">
                  <c:v>12.04.2013</c:v>
                </c:pt>
                <c:pt idx="94">
                  <c:v>13.04.2013</c:v>
                </c:pt>
                <c:pt idx="95">
                  <c:v>14.04.2013</c:v>
                </c:pt>
                <c:pt idx="96">
                  <c:v>15.04.2013</c:v>
                </c:pt>
                <c:pt idx="97">
                  <c:v>16.04.2013</c:v>
                </c:pt>
                <c:pt idx="98">
                  <c:v>17.04.2013</c:v>
                </c:pt>
                <c:pt idx="99">
                  <c:v>18.04.2013</c:v>
                </c:pt>
                <c:pt idx="100">
                  <c:v>19.04.2013</c:v>
                </c:pt>
                <c:pt idx="101">
                  <c:v>20.04.2013</c:v>
                </c:pt>
                <c:pt idx="102">
                  <c:v>21.04.2013</c:v>
                </c:pt>
                <c:pt idx="103">
                  <c:v>22.04.2013</c:v>
                </c:pt>
                <c:pt idx="104">
                  <c:v>23.04.2013</c:v>
                </c:pt>
                <c:pt idx="105">
                  <c:v>24.04.2013</c:v>
                </c:pt>
                <c:pt idx="106">
                  <c:v>25.04.2013</c:v>
                </c:pt>
                <c:pt idx="107">
                  <c:v>26.04.2013</c:v>
                </c:pt>
                <c:pt idx="108">
                  <c:v>27.04.2013</c:v>
                </c:pt>
                <c:pt idx="109">
                  <c:v>28.04.2013</c:v>
                </c:pt>
                <c:pt idx="110">
                  <c:v>29.04.2013</c:v>
                </c:pt>
                <c:pt idx="111">
                  <c:v>30.04.2013</c:v>
                </c:pt>
                <c:pt idx="112">
                  <c:v>01.05.2013</c:v>
                </c:pt>
                <c:pt idx="113">
                  <c:v>02.05.2013</c:v>
                </c:pt>
                <c:pt idx="114">
                  <c:v>03.05.2013</c:v>
                </c:pt>
                <c:pt idx="115">
                  <c:v>04.05.2013</c:v>
                </c:pt>
                <c:pt idx="116">
                  <c:v>05.05.2013</c:v>
                </c:pt>
                <c:pt idx="117">
                  <c:v>06.05.2013</c:v>
                </c:pt>
                <c:pt idx="118">
                  <c:v>07.05.2013</c:v>
                </c:pt>
                <c:pt idx="119">
                  <c:v>08.05.2013</c:v>
                </c:pt>
                <c:pt idx="120">
                  <c:v>09.05.2013</c:v>
                </c:pt>
                <c:pt idx="121">
                  <c:v>10.05.2013</c:v>
                </c:pt>
                <c:pt idx="122">
                  <c:v>11.05.2013</c:v>
                </c:pt>
                <c:pt idx="123">
                  <c:v>12.05.2013</c:v>
                </c:pt>
                <c:pt idx="124">
                  <c:v>13.05.2013</c:v>
                </c:pt>
                <c:pt idx="125">
                  <c:v>14.05.2013</c:v>
                </c:pt>
                <c:pt idx="126">
                  <c:v>15.05.2013</c:v>
                </c:pt>
                <c:pt idx="127">
                  <c:v>16.05.2013</c:v>
                </c:pt>
                <c:pt idx="128">
                  <c:v>17.05.2013</c:v>
                </c:pt>
                <c:pt idx="129">
                  <c:v>18.05.2013</c:v>
                </c:pt>
                <c:pt idx="130">
                  <c:v>19.05.2013</c:v>
                </c:pt>
                <c:pt idx="131">
                  <c:v>20.05.2013</c:v>
                </c:pt>
                <c:pt idx="132">
                  <c:v>21.05.2013</c:v>
                </c:pt>
                <c:pt idx="133">
                  <c:v>22.05.2013</c:v>
                </c:pt>
                <c:pt idx="134">
                  <c:v>23.05.2013</c:v>
                </c:pt>
                <c:pt idx="135">
                  <c:v>24.05.2013</c:v>
                </c:pt>
                <c:pt idx="136">
                  <c:v>25.05.2013</c:v>
                </c:pt>
                <c:pt idx="137">
                  <c:v>26.05.2013</c:v>
                </c:pt>
                <c:pt idx="138">
                  <c:v>27.05.2013</c:v>
                </c:pt>
                <c:pt idx="139">
                  <c:v>28.05.2013</c:v>
                </c:pt>
                <c:pt idx="140">
                  <c:v>29.05.2013</c:v>
                </c:pt>
                <c:pt idx="141">
                  <c:v>30.05.2013</c:v>
                </c:pt>
                <c:pt idx="142">
                  <c:v>31.05.2013</c:v>
                </c:pt>
                <c:pt idx="143">
                  <c:v>01.06.2013</c:v>
                </c:pt>
                <c:pt idx="144">
                  <c:v>02.06.2013</c:v>
                </c:pt>
                <c:pt idx="145">
                  <c:v>03.06.2013</c:v>
                </c:pt>
                <c:pt idx="146">
                  <c:v>04.06.2013</c:v>
                </c:pt>
                <c:pt idx="147">
                  <c:v>05.06.2013</c:v>
                </c:pt>
                <c:pt idx="148">
                  <c:v>06.06.2013</c:v>
                </c:pt>
                <c:pt idx="149">
                  <c:v>07.06.2013</c:v>
                </c:pt>
                <c:pt idx="150">
                  <c:v>08.06.2013</c:v>
                </c:pt>
                <c:pt idx="151">
                  <c:v>09.06.2013</c:v>
                </c:pt>
                <c:pt idx="152">
                  <c:v>10.06.2013</c:v>
                </c:pt>
                <c:pt idx="153">
                  <c:v>11.06.2013</c:v>
                </c:pt>
                <c:pt idx="154">
                  <c:v>12.06.2013</c:v>
                </c:pt>
                <c:pt idx="155">
                  <c:v>13.06.2013</c:v>
                </c:pt>
                <c:pt idx="156">
                  <c:v>14.06.2013</c:v>
                </c:pt>
                <c:pt idx="157">
                  <c:v>15.06.2013</c:v>
                </c:pt>
                <c:pt idx="158">
                  <c:v>16.06.2013</c:v>
                </c:pt>
                <c:pt idx="159">
                  <c:v>17.06.2013</c:v>
                </c:pt>
                <c:pt idx="160">
                  <c:v>18.06.2013</c:v>
                </c:pt>
                <c:pt idx="161">
                  <c:v>19.06.2013</c:v>
                </c:pt>
                <c:pt idx="162">
                  <c:v>20.06.2013</c:v>
                </c:pt>
                <c:pt idx="163">
                  <c:v>21.06.2013</c:v>
                </c:pt>
                <c:pt idx="164">
                  <c:v>22.06.2013</c:v>
                </c:pt>
                <c:pt idx="165">
                  <c:v>23.06.2013</c:v>
                </c:pt>
                <c:pt idx="166">
                  <c:v>24.06.2013</c:v>
                </c:pt>
                <c:pt idx="167">
                  <c:v>25.06.2013</c:v>
                </c:pt>
                <c:pt idx="168">
                  <c:v>26.06.2013</c:v>
                </c:pt>
                <c:pt idx="169">
                  <c:v>27.06.2013</c:v>
                </c:pt>
                <c:pt idx="170">
                  <c:v>28.06.2013</c:v>
                </c:pt>
                <c:pt idx="171">
                  <c:v>29.06.2013</c:v>
                </c:pt>
                <c:pt idx="172">
                  <c:v>30.06.2013</c:v>
                </c:pt>
                <c:pt idx="173">
                  <c:v>01.07.2013</c:v>
                </c:pt>
                <c:pt idx="174">
                  <c:v>02.07.2013</c:v>
                </c:pt>
                <c:pt idx="175">
                  <c:v>03.07.2013</c:v>
                </c:pt>
                <c:pt idx="176">
                  <c:v>04.07.2013</c:v>
                </c:pt>
                <c:pt idx="177">
                  <c:v>05.07.2013</c:v>
                </c:pt>
                <c:pt idx="178">
                  <c:v>06.07.2013</c:v>
                </c:pt>
                <c:pt idx="179">
                  <c:v>07.07.2013</c:v>
                </c:pt>
                <c:pt idx="180">
                  <c:v>08.07.2013</c:v>
                </c:pt>
                <c:pt idx="181">
                  <c:v>09.07.2013</c:v>
                </c:pt>
                <c:pt idx="182">
                  <c:v>10.07.2013</c:v>
                </c:pt>
                <c:pt idx="183">
                  <c:v>11.07.2013</c:v>
                </c:pt>
                <c:pt idx="184">
                  <c:v>12.07.2013</c:v>
                </c:pt>
                <c:pt idx="185">
                  <c:v>13.07.2013</c:v>
                </c:pt>
                <c:pt idx="186">
                  <c:v>14.07.2013</c:v>
                </c:pt>
                <c:pt idx="187">
                  <c:v>15.07.2013</c:v>
                </c:pt>
                <c:pt idx="188">
                  <c:v>16.07.2013</c:v>
                </c:pt>
                <c:pt idx="189">
                  <c:v>17.07.2013</c:v>
                </c:pt>
                <c:pt idx="190">
                  <c:v>18.07.2013</c:v>
                </c:pt>
                <c:pt idx="191">
                  <c:v>19.07.2013</c:v>
                </c:pt>
                <c:pt idx="192">
                  <c:v>20.07.2013</c:v>
                </c:pt>
                <c:pt idx="193">
                  <c:v>21.07.2013</c:v>
                </c:pt>
                <c:pt idx="194">
                  <c:v>22.07.2013</c:v>
                </c:pt>
                <c:pt idx="195">
                  <c:v>23.07.2013</c:v>
                </c:pt>
                <c:pt idx="196">
                  <c:v>24.07.2013</c:v>
                </c:pt>
                <c:pt idx="197">
                  <c:v>25.07.2013</c:v>
                </c:pt>
                <c:pt idx="198">
                  <c:v>26.07.2013</c:v>
                </c:pt>
                <c:pt idx="199">
                  <c:v>27.07.2013</c:v>
                </c:pt>
                <c:pt idx="200">
                  <c:v>28.07.2013</c:v>
                </c:pt>
                <c:pt idx="201">
                  <c:v>29.07.2013</c:v>
                </c:pt>
                <c:pt idx="202">
                  <c:v>30.07.2013</c:v>
                </c:pt>
                <c:pt idx="203">
                  <c:v>31.07.2013</c:v>
                </c:pt>
                <c:pt idx="204">
                  <c:v>01.08.2013</c:v>
                </c:pt>
                <c:pt idx="205">
                  <c:v>02.08.2013</c:v>
                </c:pt>
                <c:pt idx="206">
                  <c:v>03.08.2013</c:v>
                </c:pt>
                <c:pt idx="207">
                  <c:v>04.08.2013</c:v>
                </c:pt>
                <c:pt idx="208">
                  <c:v>05.08.2013</c:v>
                </c:pt>
                <c:pt idx="209">
                  <c:v>06.08.2013</c:v>
                </c:pt>
                <c:pt idx="210">
                  <c:v>07.08.2013</c:v>
                </c:pt>
                <c:pt idx="211">
                  <c:v>08.08.2013</c:v>
                </c:pt>
                <c:pt idx="212">
                  <c:v>09.08.2013</c:v>
                </c:pt>
                <c:pt idx="213">
                  <c:v>10.08.2013</c:v>
                </c:pt>
                <c:pt idx="214">
                  <c:v>11.08.2013</c:v>
                </c:pt>
                <c:pt idx="215">
                  <c:v>12.08.2013</c:v>
                </c:pt>
                <c:pt idx="216">
                  <c:v>13.08.2013</c:v>
                </c:pt>
                <c:pt idx="217">
                  <c:v>14.08.2013</c:v>
                </c:pt>
                <c:pt idx="218">
                  <c:v>15.08.2013</c:v>
                </c:pt>
                <c:pt idx="219">
                  <c:v>16.08.2013</c:v>
                </c:pt>
                <c:pt idx="220">
                  <c:v>17.08.2013</c:v>
                </c:pt>
                <c:pt idx="221">
                  <c:v>18.08.2013</c:v>
                </c:pt>
                <c:pt idx="222">
                  <c:v>19.08.2013</c:v>
                </c:pt>
                <c:pt idx="223">
                  <c:v>20.08.2013</c:v>
                </c:pt>
                <c:pt idx="224">
                  <c:v>21.08.2013</c:v>
                </c:pt>
                <c:pt idx="225">
                  <c:v>22.08.2013</c:v>
                </c:pt>
                <c:pt idx="226">
                  <c:v>23.08.2013</c:v>
                </c:pt>
                <c:pt idx="227">
                  <c:v>24.08.2013</c:v>
                </c:pt>
                <c:pt idx="228">
                  <c:v>25.08.2013</c:v>
                </c:pt>
                <c:pt idx="229">
                  <c:v>26.08.2013</c:v>
                </c:pt>
                <c:pt idx="230">
                  <c:v>27.08.2013</c:v>
                </c:pt>
                <c:pt idx="231">
                  <c:v>28.08.2013</c:v>
                </c:pt>
                <c:pt idx="232">
                  <c:v>29.08.2013</c:v>
                </c:pt>
                <c:pt idx="233">
                  <c:v>30.08.2013</c:v>
                </c:pt>
                <c:pt idx="234">
                  <c:v>31.08.2013</c:v>
                </c:pt>
                <c:pt idx="235">
                  <c:v>01.09.2013</c:v>
                </c:pt>
                <c:pt idx="236">
                  <c:v>02.09.2013</c:v>
                </c:pt>
                <c:pt idx="237">
                  <c:v>03.09.2013</c:v>
                </c:pt>
                <c:pt idx="238">
                  <c:v>04.09.2013</c:v>
                </c:pt>
                <c:pt idx="239">
                  <c:v>05.09.2013</c:v>
                </c:pt>
                <c:pt idx="240">
                  <c:v>06.09.2013</c:v>
                </c:pt>
                <c:pt idx="241">
                  <c:v>07.09.2013</c:v>
                </c:pt>
                <c:pt idx="242">
                  <c:v>08.09.2013</c:v>
                </c:pt>
                <c:pt idx="243">
                  <c:v>09.09.2013</c:v>
                </c:pt>
                <c:pt idx="244">
                  <c:v>10.09.2013</c:v>
                </c:pt>
                <c:pt idx="245">
                  <c:v>11.09.2013</c:v>
                </c:pt>
                <c:pt idx="246">
                  <c:v>12.09.2013</c:v>
                </c:pt>
                <c:pt idx="247">
                  <c:v>13.09.2013</c:v>
                </c:pt>
                <c:pt idx="248">
                  <c:v>14.09.2013</c:v>
                </c:pt>
                <c:pt idx="249">
                  <c:v>15.09.2013</c:v>
                </c:pt>
                <c:pt idx="250">
                  <c:v>16.09.2013</c:v>
                </c:pt>
                <c:pt idx="251">
                  <c:v>17.09.2013</c:v>
                </c:pt>
                <c:pt idx="252">
                  <c:v>18.09.2013</c:v>
                </c:pt>
                <c:pt idx="253">
                  <c:v>19.09.2013</c:v>
                </c:pt>
                <c:pt idx="254">
                  <c:v>20.09.2013</c:v>
                </c:pt>
                <c:pt idx="255">
                  <c:v>21.09.2013</c:v>
                </c:pt>
                <c:pt idx="256">
                  <c:v>22.09.2013</c:v>
                </c:pt>
                <c:pt idx="257">
                  <c:v>23.09.2013</c:v>
                </c:pt>
                <c:pt idx="258">
                  <c:v>24.09.2013</c:v>
                </c:pt>
                <c:pt idx="259">
                  <c:v>25.09.2013</c:v>
                </c:pt>
                <c:pt idx="260">
                  <c:v>26.09.2013</c:v>
                </c:pt>
                <c:pt idx="261">
                  <c:v>27.09.2013</c:v>
                </c:pt>
                <c:pt idx="262">
                  <c:v>28.09.2013</c:v>
                </c:pt>
                <c:pt idx="263">
                  <c:v>29.09.2013</c:v>
                </c:pt>
                <c:pt idx="264">
                  <c:v>30.09.2013</c:v>
                </c:pt>
                <c:pt idx="265">
                  <c:v>01.10.2013</c:v>
                </c:pt>
                <c:pt idx="266">
                  <c:v>02.10.2013</c:v>
                </c:pt>
                <c:pt idx="267">
                  <c:v>03.10.2013</c:v>
                </c:pt>
                <c:pt idx="268">
                  <c:v>04.10.2013</c:v>
                </c:pt>
                <c:pt idx="269">
                  <c:v>05.10.2013</c:v>
                </c:pt>
                <c:pt idx="270">
                  <c:v>06.10.2013</c:v>
                </c:pt>
                <c:pt idx="271">
                  <c:v>07.10.2013</c:v>
                </c:pt>
                <c:pt idx="272">
                  <c:v>08.10.2013</c:v>
                </c:pt>
                <c:pt idx="273">
                  <c:v>09.10.2013</c:v>
                </c:pt>
                <c:pt idx="274">
                  <c:v>10.10.2013</c:v>
                </c:pt>
                <c:pt idx="275">
                  <c:v>11.10.2013</c:v>
                </c:pt>
                <c:pt idx="276">
                  <c:v>12.10.2013</c:v>
                </c:pt>
                <c:pt idx="277">
                  <c:v>13.10.2013</c:v>
                </c:pt>
                <c:pt idx="278">
                  <c:v>14.10.2013</c:v>
                </c:pt>
                <c:pt idx="279">
                  <c:v>15.10.2013</c:v>
                </c:pt>
                <c:pt idx="280">
                  <c:v>16.10.2013</c:v>
                </c:pt>
                <c:pt idx="281">
                  <c:v>17.10.2013</c:v>
                </c:pt>
                <c:pt idx="282">
                  <c:v>18.10.2013</c:v>
                </c:pt>
                <c:pt idx="283">
                  <c:v>19.10.2013</c:v>
                </c:pt>
                <c:pt idx="284">
                  <c:v>20.10.2013</c:v>
                </c:pt>
                <c:pt idx="285">
                  <c:v>21.10.2013</c:v>
                </c:pt>
                <c:pt idx="286">
                  <c:v>22.10.2013</c:v>
                </c:pt>
                <c:pt idx="287">
                  <c:v>23.10.2013</c:v>
                </c:pt>
                <c:pt idx="288">
                  <c:v>24.10.2013</c:v>
                </c:pt>
                <c:pt idx="289">
                  <c:v>25.10.2013</c:v>
                </c:pt>
                <c:pt idx="290">
                  <c:v>26.10.2013</c:v>
                </c:pt>
                <c:pt idx="291">
                  <c:v>27.10.2013</c:v>
                </c:pt>
                <c:pt idx="292">
                  <c:v>28.10.2013</c:v>
                </c:pt>
                <c:pt idx="293">
                  <c:v>29.10.2013</c:v>
                </c:pt>
                <c:pt idx="294">
                  <c:v>30.10.2013</c:v>
                </c:pt>
                <c:pt idx="295">
                  <c:v>31.10.2013</c:v>
                </c:pt>
                <c:pt idx="296">
                  <c:v>01.11.2013</c:v>
                </c:pt>
                <c:pt idx="297">
                  <c:v>02.11.2013</c:v>
                </c:pt>
                <c:pt idx="298">
                  <c:v>03.11.2013</c:v>
                </c:pt>
                <c:pt idx="299">
                  <c:v>04.11.2013</c:v>
                </c:pt>
                <c:pt idx="300">
                  <c:v>05.11.2013</c:v>
                </c:pt>
                <c:pt idx="301">
                  <c:v>06.11.2013</c:v>
                </c:pt>
                <c:pt idx="302">
                  <c:v>07.11.2013</c:v>
                </c:pt>
                <c:pt idx="303">
                  <c:v>08.11.2013</c:v>
                </c:pt>
                <c:pt idx="304">
                  <c:v>09.11.2013</c:v>
                </c:pt>
                <c:pt idx="305">
                  <c:v>10.11.2013</c:v>
                </c:pt>
                <c:pt idx="306">
                  <c:v>11.11.2013</c:v>
                </c:pt>
                <c:pt idx="307">
                  <c:v>12.11.2013</c:v>
                </c:pt>
                <c:pt idx="308">
                  <c:v>13.11.2013</c:v>
                </c:pt>
                <c:pt idx="309">
                  <c:v>14.11.2013</c:v>
                </c:pt>
                <c:pt idx="310">
                  <c:v>15.11.2013</c:v>
                </c:pt>
                <c:pt idx="311">
                  <c:v>16.11.2013</c:v>
                </c:pt>
                <c:pt idx="312">
                  <c:v>17.11.2013</c:v>
                </c:pt>
                <c:pt idx="313">
                  <c:v>18.11.2013</c:v>
                </c:pt>
                <c:pt idx="314">
                  <c:v>19.11.2013</c:v>
                </c:pt>
                <c:pt idx="315">
                  <c:v>20.11.2013</c:v>
                </c:pt>
                <c:pt idx="316">
                  <c:v>21.11.2013</c:v>
                </c:pt>
                <c:pt idx="317">
                  <c:v>22.11.2013</c:v>
                </c:pt>
                <c:pt idx="318">
                  <c:v>23.11.2013</c:v>
                </c:pt>
                <c:pt idx="319">
                  <c:v>24.11.2013</c:v>
                </c:pt>
                <c:pt idx="320">
                  <c:v>25.11.2013</c:v>
                </c:pt>
                <c:pt idx="321">
                  <c:v>26.11.2013</c:v>
                </c:pt>
                <c:pt idx="322">
                  <c:v>27.11.2013</c:v>
                </c:pt>
                <c:pt idx="323">
                  <c:v>28.11.2013</c:v>
                </c:pt>
                <c:pt idx="324">
                  <c:v>29.11.2013</c:v>
                </c:pt>
                <c:pt idx="325">
                  <c:v>30.11.2013</c:v>
                </c:pt>
                <c:pt idx="326">
                  <c:v>01.12.2013</c:v>
                </c:pt>
                <c:pt idx="327">
                  <c:v>02.12.2013</c:v>
                </c:pt>
                <c:pt idx="328">
                  <c:v>03.12.2013</c:v>
                </c:pt>
                <c:pt idx="329">
                  <c:v>04.12.2013</c:v>
                </c:pt>
                <c:pt idx="330">
                  <c:v>05.12.2013</c:v>
                </c:pt>
                <c:pt idx="331">
                  <c:v>06.12.2013</c:v>
                </c:pt>
                <c:pt idx="332">
                  <c:v>07.12.2013</c:v>
                </c:pt>
                <c:pt idx="333">
                  <c:v>08.12.2013</c:v>
                </c:pt>
                <c:pt idx="334">
                  <c:v>09.12.2013</c:v>
                </c:pt>
                <c:pt idx="335">
                  <c:v>10.12.2013</c:v>
                </c:pt>
                <c:pt idx="336">
                  <c:v>11.12.2013</c:v>
                </c:pt>
                <c:pt idx="337">
                  <c:v>12.12.2013</c:v>
                </c:pt>
                <c:pt idx="338">
                  <c:v>13.12.2013</c:v>
                </c:pt>
                <c:pt idx="339">
                  <c:v>14.12.2013</c:v>
                </c:pt>
                <c:pt idx="340">
                  <c:v>15.12.2013</c:v>
                </c:pt>
                <c:pt idx="341">
                  <c:v>16.12.2013</c:v>
                </c:pt>
                <c:pt idx="342">
                  <c:v>17.12.2013</c:v>
                </c:pt>
                <c:pt idx="343">
                  <c:v>18.12.2013</c:v>
                </c:pt>
                <c:pt idx="344">
                  <c:v>19.12.2013</c:v>
                </c:pt>
                <c:pt idx="345">
                  <c:v>20.12.2013</c:v>
                </c:pt>
                <c:pt idx="346">
                  <c:v>21.12.2013</c:v>
                </c:pt>
                <c:pt idx="347">
                  <c:v>22.12.2013</c:v>
                </c:pt>
                <c:pt idx="348">
                  <c:v>23.12.2013</c:v>
                </c:pt>
                <c:pt idx="349">
                  <c:v>24.12.2013</c:v>
                </c:pt>
                <c:pt idx="350">
                  <c:v>25.12.2013</c:v>
                </c:pt>
                <c:pt idx="351">
                  <c:v>26.12.2013</c:v>
                </c:pt>
                <c:pt idx="352">
                  <c:v>27.12.2013</c:v>
                </c:pt>
                <c:pt idx="353">
                  <c:v>28.12.2013</c:v>
                </c:pt>
                <c:pt idx="354">
                  <c:v>29.12.2013</c:v>
                </c:pt>
                <c:pt idx="355">
                  <c:v>30.12.2013</c:v>
                </c:pt>
                <c:pt idx="356">
                  <c:v>31.12.2013</c:v>
                </c:pt>
                <c:pt idx="357">
                  <c:v>01.01.2014</c:v>
                </c:pt>
                <c:pt idx="358">
                  <c:v>02.01.2014</c:v>
                </c:pt>
                <c:pt idx="359">
                  <c:v>03.01.2014</c:v>
                </c:pt>
                <c:pt idx="360">
                  <c:v>04.01.2014</c:v>
                </c:pt>
                <c:pt idx="361">
                  <c:v>05.01.2014</c:v>
                </c:pt>
                <c:pt idx="362">
                  <c:v>06.01.2014</c:v>
                </c:pt>
                <c:pt idx="363">
                  <c:v>07.01.2014</c:v>
                </c:pt>
                <c:pt idx="364">
                  <c:v>08.01.2014</c:v>
                </c:pt>
                <c:pt idx="365">
                  <c:v>09.01.2014</c:v>
                </c:pt>
                <c:pt idx="366">
                  <c:v>10.01.2014</c:v>
                </c:pt>
                <c:pt idx="367">
                  <c:v>11.01.2014</c:v>
                </c:pt>
                <c:pt idx="368">
                  <c:v>12.01.2014</c:v>
                </c:pt>
                <c:pt idx="369">
                  <c:v>13.01.2014</c:v>
                </c:pt>
                <c:pt idx="370">
                  <c:v>14.01.2014</c:v>
                </c:pt>
                <c:pt idx="371">
                  <c:v>15.01.2014</c:v>
                </c:pt>
                <c:pt idx="372">
                  <c:v>16.01.2014</c:v>
                </c:pt>
                <c:pt idx="373">
                  <c:v>17.01.2014</c:v>
                </c:pt>
                <c:pt idx="374">
                  <c:v>18.01.2014</c:v>
                </c:pt>
                <c:pt idx="375">
                  <c:v>19.01.2014</c:v>
                </c:pt>
                <c:pt idx="376">
                  <c:v>20.01.2014</c:v>
                </c:pt>
                <c:pt idx="377">
                  <c:v>21.01.2014</c:v>
                </c:pt>
                <c:pt idx="378">
                  <c:v>22.01.2014</c:v>
                </c:pt>
                <c:pt idx="379">
                  <c:v>23.01.2014</c:v>
                </c:pt>
                <c:pt idx="380">
                  <c:v>24.01.2014</c:v>
                </c:pt>
                <c:pt idx="381">
                  <c:v>25.01.2014</c:v>
                </c:pt>
                <c:pt idx="382">
                  <c:v>26.01.2014</c:v>
                </c:pt>
                <c:pt idx="383">
                  <c:v>27.01.2014</c:v>
                </c:pt>
                <c:pt idx="384">
                  <c:v>28.01.2014</c:v>
                </c:pt>
                <c:pt idx="385">
                  <c:v>29.01.2014</c:v>
                </c:pt>
                <c:pt idx="386">
                  <c:v>30.01.2014</c:v>
                </c:pt>
                <c:pt idx="387">
                  <c:v>31.01.2014</c:v>
                </c:pt>
                <c:pt idx="388">
                  <c:v>01.02.2014</c:v>
                </c:pt>
                <c:pt idx="389">
                  <c:v>02.02.2014</c:v>
                </c:pt>
                <c:pt idx="390">
                  <c:v>03.02.2014</c:v>
                </c:pt>
                <c:pt idx="391">
                  <c:v>04.02.2014</c:v>
                </c:pt>
                <c:pt idx="392">
                  <c:v>05.02.2014</c:v>
                </c:pt>
                <c:pt idx="393">
                  <c:v>06.02.2014</c:v>
                </c:pt>
                <c:pt idx="394">
                  <c:v>07.02.2014</c:v>
                </c:pt>
                <c:pt idx="395">
                  <c:v>08.02.2014</c:v>
                </c:pt>
                <c:pt idx="396">
                  <c:v>09.02.2014</c:v>
                </c:pt>
                <c:pt idx="397">
                  <c:v>10.02.2014</c:v>
                </c:pt>
                <c:pt idx="398">
                  <c:v>11.02.2014</c:v>
                </c:pt>
                <c:pt idx="399">
                  <c:v>12.02.2014</c:v>
                </c:pt>
                <c:pt idx="400">
                  <c:v>13.02.2014</c:v>
                </c:pt>
                <c:pt idx="401">
                  <c:v>14.02.2014</c:v>
                </c:pt>
                <c:pt idx="402">
                  <c:v>15.02.2014</c:v>
                </c:pt>
                <c:pt idx="403">
                  <c:v>16.02.2014</c:v>
                </c:pt>
                <c:pt idx="404">
                  <c:v>17.02.2014</c:v>
                </c:pt>
                <c:pt idx="405">
                  <c:v>18.02.2014</c:v>
                </c:pt>
                <c:pt idx="406">
                  <c:v>19.02.2014</c:v>
                </c:pt>
                <c:pt idx="407">
                  <c:v>20.02.2014</c:v>
                </c:pt>
                <c:pt idx="408">
                  <c:v>21.02.2014</c:v>
                </c:pt>
                <c:pt idx="409">
                  <c:v>22.02.2014</c:v>
                </c:pt>
                <c:pt idx="410">
                  <c:v>23.02.2014</c:v>
                </c:pt>
                <c:pt idx="411">
                  <c:v>24.02.2014</c:v>
                </c:pt>
                <c:pt idx="412">
                  <c:v>25.02.2014</c:v>
                </c:pt>
                <c:pt idx="413">
                  <c:v>26.02.2014</c:v>
                </c:pt>
                <c:pt idx="414">
                  <c:v>27.02.2014</c:v>
                </c:pt>
                <c:pt idx="415">
                  <c:v>28.02.2014</c:v>
                </c:pt>
                <c:pt idx="416">
                  <c:v>01.03.2014</c:v>
                </c:pt>
                <c:pt idx="417">
                  <c:v>02.03.2014</c:v>
                </c:pt>
              </c:strCache>
            </c:strRef>
          </c:cat>
          <c:val>
            <c:numRef>
              <c:f>'Data Viz'!$X$5:$X$423</c:f>
              <c:numCache>
                <c:formatCode>General</c:formatCode>
                <c:ptCount val="418"/>
                <c:pt idx="405">
                  <c:v>27</c:v>
                </c:pt>
                <c:pt idx="406">
                  <c:v>16</c:v>
                </c:pt>
                <c:pt idx="407">
                  <c:v>21</c:v>
                </c:pt>
                <c:pt idx="408">
                  <c:v>47</c:v>
                </c:pt>
                <c:pt idx="409">
                  <c:v>20</c:v>
                </c:pt>
                <c:pt idx="410">
                  <c:v>28</c:v>
                </c:pt>
                <c:pt idx="411">
                  <c:v>12</c:v>
                </c:pt>
                <c:pt idx="412">
                  <c:v>36</c:v>
                </c:pt>
                <c:pt idx="413">
                  <c:v>13</c:v>
                </c:pt>
                <c:pt idx="414">
                  <c:v>23</c:v>
                </c:pt>
                <c:pt idx="415">
                  <c:v>56</c:v>
                </c:pt>
                <c:pt idx="416">
                  <c:v>37</c:v>
                </c:pt>
                <c:pt idx="417">
                  <c:v>49</c:v>
                </c:pt>
              </c:numCache>
            </c:numRef>
          </c:val>
          <c:smooth val="0"/>
          <c:extLst>
            <c:ext xmlns:c16="http://schemas.microsoft.com/office/drawing/2014/chart" uri="{C3380CC4-5D6E-409C-BE32-E72D297353CC}">
              <c16:uniqueId val="{00000016-576A-5B45-B1EE-FA16B2EB7537}"/>
            </c:ext>
          </c:extLst>
        </c:ser>
        <c:dLbls>
          <c:showLegendKey val="0"/>
          <c:showVal val="0"/>
          <c:showCatName val="0"/>
          <c:showSerName val="0"/>
          <c:showPercent val="0"/>
          <c:showBubbleSize val="0"/>
        </c:dLbls>
        <c:smooth val="0"/>
        <c:axId val="536019952"/>
        <c:axId val="806278271"/>
      </c:lineChart>
      <c:dateAx>
        <c:axId val="53601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806278271"/>
        <c:crosses val="autoZero"/>
        <c:auto val="0"/>
        <c:lblOffset val="100"/>
        <c:baseTimeUnit val="days"/>
        <c:majorUnit val="20"/>
      </c:dateAx>
      <c:valAx>
        <c:axId val="80627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536019952"/>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Length - Total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Regression!$B$2:$B$24</c:f>
              <c:numCache>
                <c:formatCode>General</c:formatCode>
                <c:ptCount val="23"/>
                <c:pt idx="0">
                  <c:v>21</c:v>
                </c:pt>
                <c:pt idx="1">
                  <c:v>20</c:v>
                </c:pt>
                <c:pt idx="2">
                  <c:v>13</c:v>
                </c:pt>
                <c:pt idx="3">
                  <c:v>15</c:v>
                </c:pt>
                <c:pt idx="4">
                  <c:v>13</c:v>
                </c:pt>
                <c:pt idx="5">
                  <c:v>14</c:v>
                </c:pt>
                <c:pt idx="6">
                  <c:v>15</c:v>
                </c:pt>
                <c:pt idx="7">
                  <c:v>21</c:v>
                </c:pt>
                <c:pt idx="8">
                  <c:v>14</c:v>
                </c:pt>
                <c:pt idx="9">
                  <c:v>14</c:v>
                </c:pt>
                <c:pt idx="10">
                  <c:v>14</c:v>
                </c:pt>
                <c:pt idx="11">
                  <c:v>16</c:v>
                </c:pt>
                <c:pt idx="12">
                  <c:v>26</c:v>
                </c:pt>
                <c:pt idx="13">
                  <c:v>16</c:v>
                </c:pt>
                <c:pt idx="14">
                  <c:v>18</c:v>
                </c:pt>
                <c:pt idx="15">
                  <c:v>14</c:v>
                </c:pt>
                <c:pt idx="16">
                  <c:v>36</c:v>
                </c:pt>
                <c:pt idx="17">
                  <c:v>35</c:v>
                </c:pt>
                <c:pt idx="18">
                  <c:v>28</c:v>
                </c:pt>
                <c:pt idx="19">
                  <c:v>17</c:v>
                </c:pt>
                <c:pt idx="20">
                  <c:v>11</c:v>
                </c:pt>
                <c:pt idx="21">
                  <c:v>14</c:v>
                </c:pt>
                <c:pt idx="22">
                  <c:v>13</c:v>
                </c:pt>
              </c:numCache>
            </c:numRef>
          </c:xVal>
          <c:yVal>
            <c:numRef>
              <c:f>Regression!$F$2:$F$24</c:f>
              <c:numCache>
                <c:formatCode>General</c:formatCode>
                <c:ptCount val="23"/>
                <c:pt idx="0">
                  <c:v>173</c:v>
                </c:pt>
                <c:pt idx="1">
                  <c:v>196</c:v>
                </c:pt>
                <c:pt idx="2">
                  <c:v>195</c:v>
                </c:pt>
                <c:pt idx="3">
                  <c:v>210</c:v>
                </c:pt>
                <c:pt idx="4">
                  <c:v>291</c:v>
                </c:pt>
                <c:pt idx="5">
                  <c:v>170</c:v>
                </c:pt>
                <c:pt idx="6">
                  <c:v>252</c:v>
                </c:pt>
                <c:pt idx="7">
                  <c:v>520</c:v>
                </c:pt>
                <c:pt idx="8">
                  <c:v>164</c:v>
                </c:pt>
                <c:pt idx="9">
                  <c:v>135</c:v>
                </c:pt>
                <c:pt idx="10">
                  <c:v>153</c:v>
                </c:pt>
                <c:pt idx="11">
                  <c:v>322</c:v>
                </c:pt>
                <c:pt idx="12">
                  <c:v>298</c:v>
                </c:pt>
                <c:pt idx="13">
                  <c:v>133</c:v>
                </c:pt>
                <c:pt idx="14">
                  <c:v>192</c:v>
                </c:pt>
                <c:pt idx="15">
                  <c:v>198</c:v>
                </c:pt>
                <c:pt idx="16">
                  <c:v>991</c:v>
                </c:pt>
                <c:pt idx="17">
                  <c:v>1244</c:v>
                </c:pt>
                <c:pt idx="18">
                  <c:v>855</c:v>
                </c:pt>
                <c:pt idx="19">
                  <c:v>291</c:v>
                </c:pt>
                <c:pt idx="20">
                  <c:v>143</c:v>
                </c:pt>
                <c:pt idx="21">
                  <c:v>253</c:v>
                </c:pt>
                <c:pt idx="22">
                  <c:v>385</c:v>
                </c:pt>
              </c:numCache>
            </c:numRef>
          </c:yVal>
          <c:smooth val="0"/>
          <c:extLst>
            <c:ext xmlns:c16="http://schemas.microsoft.com/office/drawing/2014/chart" uri="{C3380CC4-5D6E-409C-BE32-E72D297353CC}">
              <c16:uniqueId val="{00000000-145F-774F-BE6C-E313C781DC8B}"/>
            </c:ext>
          </c:extLst>
        </c:ser>
        <c:dLbls>
          <c:showLegendKey val="0"/>
          <c:showVal val="0"/>
          <c:showCatName val="0"/>
          <c:showSerName val="0"/>
          <c:showPercent val="0"/>
          <c:showBubbleSize val="0"/>
        </c:dLbls>
        <c:axId val="2088892416"/>
        <c:axId val="2088891520"/>
      </c:scatterChart>
      <c:valAx>
        <c:axId val="208889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088891520"/>
        <c:crosses val="autoZero"/>
        <c:crossBetween val="midCat"/>
      </c:valAx>
      <c:valAx>
        <c:axId val="208889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088892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Standardized</a:t>
            </a:r>
            <a:r>
              <a:rPr lang="en-US" baseline="0"/>
              <a:t> </a:t>
            </a:r>
            <a:r>
              <a:rPr lang="en-US"/>
              <a:t>Ln(Length) - Total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A"/>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Regression!$D$2:$D$24</c:f>
              <c:numCache>
                <c:formatCode>General</c:formatCode>
                <c:ptCount val="23"/>
                <c:pt idx="0">
                  <c:v>0.61827230815016543</c:v>
                </c:pt>
                <c:pt idx="1">
                  <c:v>0.46738262275944936</c:v>
                </c:pt>
                <c:pt idx="2">
                  <c:v>-0.86486742778679715</c:v>
                </c:pt>
                <c:pt idx="3">
                  <c:v>-0.42231016970699592</c:v>
                </c:pt>
                <c:pt idx="4">
                  <c:v>-0.86486742778679715</c:v>
                </c:pt>
                <c:pt idx="5">
                  <c:v>-0.63567925444130136</c:v>
                </c:pt>
                <c:pt idx="6">
                  <c:v>-0.42231016970699592</c:v>
                </c:pt>
                <c:pt idx="7">
                  <c:v>0.61827230815016543</c:v>
                </c:pt>
                <c:pt idx="8">
                  <c:v>-0.63567925444130136</c:v>
                </c:pt>
                <c:pt idx="9">
                  <c:v>-0.63567925444130136</c:v>
                </c:pt>
                <c:pt idx="10">
                  <c:v>-0.63567925444130136</c:v>
                </c:pt>
                <c:pt idx="11">
                  <c:v>-0.2227167205803926</c:v>
                </c:pt>
                <c:pt idx="12">
                  <c:v>1.2787769272711149</c:v>
                </c:pt>
                <c:pt idx="13">
                  <c:v>-0.2227167205803926</c:v>
                </c:pt>
                <c:pt idx="14">
                  <c:v>0.14154204954462757</c:v>
                </c:pt>
                <c:pt idx="15">
                  <c:v>-0.63567925444130136</c:v>
                </c:pt>
                <c:pt idx="16">
                  <c:v>2.2851864046025399</c:v>
                </c:pt>
                <c:pt idx="17">
                  <c:v>2.1980644439564525</c:v>
                </c:pt>
                <c:pt idx="18">
                  <c:v>1.5079651006166108</c:v>
                </c:pt>
                <c:pt idx="19">
                  <c:v>-3.5227494656775708E-2</c:v>
                </c:pt>
                <c:pt idx="20">
                  <c:v>-1.3815030798113421</c:v>
                </c:pt>
                <c:pt idx="21">
                  <c:v>-0.63567925444130136</c:v>
                </c:pt>
                <c:pt idx="22">
                  <c:v>-0.86486742778679715</c:v>
                </c:pt>
              </c:numCache>
            </c:numRef>
          </c:xVal>
          <c:yVal>
            <c:numRef>
              <c:f>Regression!$F$2:$F$24</c:f>
              <c:numCache>
                <c:formatCode>General</c:formatCode>
                <c:ptCount val="23"/>
                <c:pt idx="0">
                  <c:v>173</c:v>
                </c:pt>
                <c:pt idx="1">
                  <c:v>196</c:v>
                </c:pt>
                <c:pt idx="2">
                  <c:v>195</c:v>
                </c:pt>
                <c:pt idx="3">
                  <c:v>210</c:v>
                </c:pt>
                <c:pt idx="4">
                  <c:v>291</c:v>
                </c:pt>
                <c:pt idx="5">
                  <c:v>170</c:v>
                </c:pt>
                <c:pt idx="6">
                  <c:v>252</c:v>
                </c:pt>
                <c:pt idx="7">
                  <c:v>520</c:v>
                </c:pt>
                <c:pt idx="8">
                  <c:v>164</c:v>
                </c:pt>
                <c:pt idx="9">
                  <c:v>135</c:v>
                </c:pt>
                <c:pt idx="10">
                  <c:v>153</c:v>
                </c:pt>
                <c:pt idx="11">
                  <c:v>322</c:v>
                </c:pt>
                <c:pt idx="12">
                  <c:v>298</c:v>
                </c:pt>
                <c:pt idx="13">
                  <c:v>133</c:v>
                </c:pt>
                <c:pt idx="14">
                  <c:v>192</c:v>
                </c:pt>
                <c:pt idx="15">
                  <c:v>198</c:v>
                </c:pt>
                <c:pt idx="16">
                  <c:v>991</c:v>
                </c:pt>
                <c:pt idx="17">
                  <c:v>1244</c:v>
                </c:pt>
                <c:pt idx="18">
                  <c:v>855</c:v>
                </c:pt>
                <c:pt idx="19">
                  <c:v>291</c:v>
                </c:pt>
                <c:pt idx="20">
                  <c:v>143</c:v>
                </c:pt>
                <c:pt idx="21">
                  <c:v>253</c:v>
                </c:pt>
                <c:pt idx="22">
                  <c:v>385</c:v>
                </c:pt>
              </c:numCache>
            </c:numRef>
          </c:yVal>
          <c:smooth val="0"/>
          <c:extLst>
            <c:ext xmlns:c16="http://schemas.microsoft.com/office/drawing/2014/chart" uri="{C3380CC4-5D6E-409C-BE32-E72D297353CC}">
              <c16:uniqueId val="{00000000-F2BD-9F40-AB04-C1B5F61E7DEA}"/>
            </c:ext>
          </c:extLst>
        </c:ser>
        <c:dLbls>
          <c:showLegendKey val="0"/>
          <c:showVal val="0"/>
          <c:showCatName val="0"/>
          <c:showSerName val="0"/>
          <c:showPercent val="0"/>
          <c:showBubbleSize val="0"/>
        </c:dLbls>
        <c:axId val="2076140736"/>
        <c:axId val="2076131776"/>
      </c:scatterChart>
      <c:valAx>
        <c:axId val="2076140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076131776"/>
        <c:crossesAt val="0"/>
        <c:crossBetween val="midCat"/>
      </c:valAx>
      <c:valAx>
        <c:axId val="207613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A"/>
          </a:p>
        </c:txPr>
        <c:crossAx val="20761407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114300</xdr:rowOff>
    </xdr:from>
    <xdr:to>
      <xdr:col>0</xdr:col>
      <xdr:colOff>2235536</xdr:colOff>
      <xdr:row>1</xdr:row>
      <xdr:rowOff>718152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4800"/>
          <a:ext cx="2235536" cy="6038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141622</xdr:colOff>
      <xdr:row>6</xdr:row>
      <xdr:rowOff>94866</xdr:rowOff>
    </xdr:from>
    <xdr:to>
      <xdr:col>35</xdr:col>
      <xdr:colOff>128538</xdr:colOff>
      <xdr:row>39</xdr:row>
      <xdr:rowOff>96983</xdr:rowOff>
    </xdr:to>
    <xdr:graphicFrame macro="">
      <xdr:nvGraphicFramePr>
        <xdr:cNvPr id="4" name="Chart 3">
          <a:extLst>
            <a:ext uri="{FF2B5EF4-FFF2-40B4-BE49-F238E27FC236}">
              <a16:creationId xmlns:a16="http://schemas.microsoft.com/office/drawing/2014/main" id="{7635D9ED-44A8-012A-EA46-499C67A18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422479</xdr:colOff>
      <xdr:row>25</xdr:row>
      <xdr:rowOff>32124</xdr:rowOff>
    </xdr:from>
    <xdr:to>
      <xdr:col>7</xdr:col>
      <xdr:colOff>133458</xdr:colOff>
      <xdr:row>39</xdr:row>
      <xdr:rowOff>139160</xdr:rowOff>
    </xdr:to>
    <xdr:graphicFrame macro="">
      <xdr:nvGraphicFramePr>
        <xdr:cNvPr id="4" name="Chart 3">
          <a:extLst>
            <a:ext uri="{FF2B5EF4-FFF2-40B4-BE49-F238E27FC236}">
              <a16:creationId xmlns:a16="http://schemas.microsoft.com/office/drawing/2014/main" id="{9E4EA4BC-9742-BA81-AA56-EE4BF212C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400387</xdr:colOff>
      <xdr:row>25</xdr:row>
      <xdr:rowOff>41418</xdr:rowOff>
    </xdr:from>
    <xdr:to>
      <xdr:col>13</xdr:col>
      <xdr:colOff>445198</xdr:colOff>
      <xdr:row>39</xdr:row>
      <xdr:rowOff>152206</xdr:rowOff>
    </xdr:to>
    <xdr:graphicFrame macro="">
      <xdr:nvGraphicFramePr>
        <xdr:cNvPr id="8" name="Chart 7">
          <a:extLst>
            <a:ext uri="{FF2B5EF4-FFF2-40B4-BE49-F238E27FC236}">
              <a16:creationId xmlns:a16="http://schemas.microsoft.com/office/drawing/2014/main" id="{90A3283F-58A7-7DF3-75EF-5194BB28E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khailo Rykhalskyi" refreshedDate="45999.399875347219" createdVersion="8" refreshedVersion="8" minRefreshableVersion="3" recordCount="418" xr:uid="{E19F5603-0053-CD4E-B88A-DB92465CDE5E}">
  <cacheSource type="worksheet">
    <worksheetSource ref="C7:E425" sheet="Sales Data"/>
  </cacheSource>
  <cacheFields count="6">
    <cacheField name="Date" numFmtId="14">
      <sharedItems containsSemiMixedTypes="0" containsNonDate="0" containsDate="1" containsString="0" minDate="2013-01-08T00:00:00" maxDate="2014-03-03T00:00:00" count="418">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sharedItems>
      <fieldGroup par="5"/>
    </cacheField>
    <cacheField name="LEC ID" numFmtId="0">
      <sharedItems containsSemiMixedTypes="0" containsString="0" containsNumber="1" containsInteger="1" minValue="1" maxValue="23" count="23">
        <n v="1"/>
        <n v="2"/>
        <n v="3"/>
        <n v="4"/>
        <n v="5"/>
        <n v="6"/>
        <n v="7"/>
        <n v="8"/>
        <n v="9"/>
        <n v="10"/>
        <n v="11"/>
        <n v="12"/>
        <n v="13"/>
        <n v="14"/>
        <n v="15"/>
        <n v="16"/>
        <n v="17"/>
        <n v="18"/>
        <n v="19"/>
        <n v="20"/>
        <n v="21"/>
        <n v="22"/>
        <n v="23"/>
      </sharedItems>
    </cacheField>
    <cacheField name="Units Sold" numFmtId="0">
      <sharedItems containsSemiMixedTypes="0" containsString="0" containsNumber="1" containsInteger="1" minValue="1" maxValue="316"/>
    </cacheField>
    <cacheField name="Months (Date)" numFmtId="0" databaseField="0">
      <fieldGroup base="0">
        <rangePr groupBy="months" startDate="2013-01-08T00:00:00" endDate="2014-03-03T00:00:00"/>
        <groupItems count="14">
          <s v="&lt;08.01.2013"/>
          <s v="Jan"/>
          <s v="Feb"/>
          <s v="Mar"/>
          <s v="Apr"/>
          <s v="May"/>
          <s v="Jun"/>
          <s v="Jul"/>
          <s v="Aug"/>
          <s v="Sep"/>
          <s v="Oct"/>
          <s v="Nov"/>
          <s v="Dec"/>
          <s v="&gt;03.03.2014"/>
        </groupItems>
      </fieldGroup>
    </cacheField>
    <cacheField name="Quarters (Date)" numFmtId="0" databaseField="0">
      <fieldGroup base="0">
        <rangePr groupBy="quarters" startDate="2013-01-08T00:00:00" endDate="2014-03-03T00:00:00"/>
        <groupItems count="6">
          <s v="&lt;08.01.2013"/>
          <s v="Qtr1"/>
          <s v="Qtr2"/>
          <s v="Qtr3"/>
          <s v="Qtr4"/>
          <s v="&gt;03.03.2014"/>
        </groupItems>
      </fieldGroup>
    </cacheField>
    <cacheField name="Years (Date)" numFmtId="0" databaseField="0">
      <fieldGroup base="0">
        <rangePr groupBy="years" startDate="2013-01-08T00:00:00" endDate="2014-03-03T00:00:00"/>
        <groupItems count="4">
          <s v="&lt;08.01.2013"/>
          <s v="2013"/>
          <s v="2014"/>
          <s v="&gt;03.03.201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x v="0"/>
    <x v="0"/>
    <n v="40"/>
  </r>
  <r>
    <x v="1"/>
    <x v="0"/>
    <n v="5"/>
  </r>
  <r>
    <x v="2"/>
    <x v="0"/>
    <n v="14"/>
  </r>
  <r>
    <x v="3"/>
    <x v="0"/>
    <n v="8"/>
  </r>
  <r>
    <x v="4"/>
    <x v="0"/>
    <n v="4"/>
  </r>
  <r>
    <x v="5"/>
    <x v="0"/>
    <n v="13"/>
  </r>
  <r>
    <x v="6"/>
    <x v="0"/>
    <n v="9"/>
  </r>
  <r>
    <x v="7"/>
    <x v="0"/>
    <n v="8"/>
  </r>
  <r>
    <x v="8"/>
    <x v="0"/>
    <n v="5"/>
  </r>
  <r>
    <x v="9"/>
    <x v="0"/>
    <n v="5"/>
  </r>
  <r>
    <x v="10"/>
    <x v="0"/>
    <n v="3"/>
  </r>
  <r>
    <x v="11"/>
    <x v="0"/>
    <n v="1"/>
  </r>
  <r>
    <x v="12"/>
    <x v="0"/>
    <n v="7"/>
  </r>
  <r>
    <x v="13"/>
    <x v="0"/>
    <n v="13"/>
  </r>
  <r>
    <x v="14"/>
    <x v="0"/>
    <n v="10"/>
  </r>
  <r>
    <x v="15"/>
    <x v="0"/>
    <n v="9"/>
  </r>
  <r>
    <x v="16"/>
    <x v="0"/>
    <n v="7"/>
  </r>
  <r>
    <x v="17"/>
    <x v="0"/>
    <n v="2"/>
  </r>
  <r>
    <x v="18"/>
    <x v="0"/>
    <n v="3"/>
  </r>
  <r>
    <x v="19"/>
    <x v="0"/>
    <n v="3"/>
  </r>
  <r>
    <x v="20"/>
    <x v="0"/>
    <n v="4"/>
  </r>
  <r>
    <x v="21"/>
    <x v="1"/>
    <n v="32"/>
  </r>
  <r>
    <x v="22"/>
    <x v="1"/>
    <n v="11"/>
  </r>
  <r>
    <x v="23"/>
    <x v="1"/>
    <n v="3"/>
  </r>
  <r>
    <x v="24"/>
    <x v="1"/>
    <n v="15"/>
  </r>
  <r>
    <x v="25"/>
    <x v="1"/>
    <n v="14"/>
  </r>
  <r>
    <x v="26"/>
    <x v="1"/>
    <n v="17"/>
  </r>
  <r>
    <x v="27"/>
    <x v="1"/>
    <n v="16"/>
  </r>
  <r>
    <x v="28"/>
    <x v="1"/>
    <n v="8"/>
  </r>
  <r>
    <x v="29"/>
    <x v="1"/>
    <n v="9"/>
  </r>
  <r>
    <x v="30"/>
    <x v="1"/>
    <n v="10"/>
  </r>
  <r>
    <x v="31"/>
    <x v="1"/>
    <n v="8"/>
  </r>
  <r>
    <x v="32"/>
    <x v="1"/>
    <n v="3"/>
  </r>
  <r>
    <x v="33"/>
    <x v="1"/>
    <n v="3"/>
  </r>
  <r>
    <x v="34"/>
    <x v="1"/>
    <n v="5"/>
  </r>
  <r>
    <x v="35"/>
    <x v="1"/>
    <n v="15"/>
  </r>
  <r>
    <x v="36"/>
    <x v="1"/>
    <n v="8"/>
  </r>
  <r>
    <x v="37"/>
    <x v="1"/>
    <n v="3"/>
  </r>
  <r>
    <x v="38"/>
    <x v="1"/>
    <n v="2"/>
  </r>
  <r>
    <x v="39"/>
    <x v="1"/>
    <n v="5"/>
  </r>
  <r>
    <x v="40"/>
    <x v="1"/>
    <n v="9"/>
  </r>
  <r>
    <x v="41"/>
    <x v="2"/>
    <n v="42"/>
  </r>
  <r>
    <x v="42"/>
    <x v="2"/>
    <n v="20"/>
  </r>
  <r>
    <x v="43"/>
    <x v="2"/>
    <n v="25"/>
  </r>
  <r>
    <x v="44"/>
    <x v="2"/>
    <n v="23"/>
  </r>
  <r>
    <x v="45"/>
    <x v="2"/>
    <n v="22"/>
  </r>
  <r>
    <x v="46"/>
    <x v="2"/>
    <n v="18"/>
  </r>
  <r>
    <x v="47"/>
    <x v="2"/>
    <n v="5"/>
  </r>
  <r>
    <x v="48"/>
    <x v="2"/>
    <n v="9"/>
  </r>
  <r>
    <x v="49"/>
    <x v="2"/>
    <n v="3"/>
  </r>
  <r>
    <x v="50"/>
    <x v="2"/>
    <n v="15"/>
  </r>
  <r>
    <x v="51"/>
    <x v="2"/>
    <n v="6"/>
  </r>
  <r>
    <x v="52"/>
    <x v="2"/>
    <n v="3"/>
  </r>
  <r>
    <x v="53"/>
    <x v="2"/>
    <n v="4"/>
  </r>
  <r>
    <x v="54"/>
    <x v="3"/>
    <n v="7"/>
  </r>
  <r>
    <x v="55"/>
    <x v="3"/>
    <n v="35"/>
  </r>
  <r>
    <x v="56"/>
    <x v="3"/>
    <n v="12"/>
  </r>
  <r>
    <x v="57"/>
    <x v="3"/>
    <n v="19"/>
  </r>
  <r>
    <x v="58"/>
    <x v="3"/>
    <n v="18"/>
  </r>
  <r>
    <x v="59"/>
    <x v="3"/>
    <n v="6"/>
  </r>
  <r>
    <x v="60"/>
    <x v="3"/>
    <n v="6"/>
  </r>
  <r>
    <x v="61"/>
    <x v="3"/>
    <n v="3"/>
  </r>
  <r>
    <x v="62"/>
    <x v="3"/>
    <n v="10"/>
  </r>
  <r>
    <x v="63"/>
    <x v="3"/>
    <n v="9"/>
  </r>
  <r>
    <x v="64"/>
    <x v="3"/>
    <n v="36"/>
  </r>
  <r>
    <x v="65"/>
    <x v="3"/>
    <n v="16"/>
  </r>
  <r>
    <x v="66"/>
    <x v="3"/>
    <n v="5"/>
  </r>
  <r>
    <x v="67"/>
    <x v="3"/>
    <n v="14"/>
  </r>
  <r>
    <x v="68"/>
    <x v="3"/>
    <n v="14"/>
  </r>
  <r>
    <x v="69"/>
    <x v="4"/>
    <n v="58"/>
  </r>
  <r>
    <x v="70"/>
    <x v="4"/>
    <n v="30"/>
  </r>
  <r>
    <x v="71"/>
    <x v="4"/>
    <n v="24"/>
  </r>
  <r>
    <x v="72"/>
    <x v="4"/>
    <n v="30"/>
  </r>
  <r>
    <x v="73"/>
    <x v="4"/>
    <n v="18"/>
  </r>
  <r>
    <x v="74"/>
    <x v="4"/>
    <n v="27"/>
  </r>
  <r>
    <x v="75"/>
    <x v="4"/>
    <n v="21"/>
  </r>
  <r>
    <x v="76"/>
    <x v="4"/>
    <n v="20"/>
  </r>
  <r>
    <x v="77"/>
    <x v="4"/>
    <n v="23"/>
  </r>
  <r>
    <x v="78"/>
    <x v="4"/>
    <n v="15"/>
  </r>
  <r>
    <x v="79"/>
    <x v="4"/>
    <n v="14"/>
  </r>
  <r>
    <x v="80"/>
    <x v="4"/>
    <n v="6"/>
  </r>
  <r>
    <x v="81"/>
    <x v="4"/>
    <n v="5"/>
  </r>
  <r>
    <x v="82"/>
    <x v="5"/>
    <n v="14"/>
  </r>
  <r>
    <x v="83"/>
    <x v="5"/>
    <n v="44"/>
  </r>
  <r>
    <x v="84"/>
    <x v="5"/>
    <n v="12"/>
  </r>
  <r>
    <x v="85"/>
    <x v="5"/>
    <n v="17"/>
  </r>
  <r>
    <x v="86"/>
    <x v="5"/>
    <n v="4"/>
  </r>
  <r>
    <x v="87"/>
    <x v="5"/>
    <n v="1"/>
  </r>
  <r>
    <x v="88"/>
    <x v="5"/>
    <n v="11"/>
  </r>
  <r>
    <x v="89"/>
    <x v="5"/>
    <n v="11"/>
  </r>
  <r>
    <x v="90"/>
    <x v="5"/>
    <n v="16"/>
  </r>
  <r>
    <x v="91"/>
    <x v="5"/>
    <n v="10"/>
  </r>
  <r>
    <x v="92"/>
    <x v="5"/>
    <n v="7"/>
  </r>
  <r>
    <x v="93"/>
    <x v="5"/>
    <n v="13"/>
  </r>
  <r>
    <x v="94"/>
    <x v="5"/>
    <n v="4"/>
  </r>
  <r>
    <x v="95"/>
    <x v="5"/>
    <n v="6"/>
  </r>
  <r>
    <x v="96"/>
    <x v="6"/>
    <n v="17"/>
  </r>
  <r>
    <x v="97"/>
    <x v="6"/>
    <n v="62"/>
  </r>
  <r>
    <x v="98"/>
    <x v="6"/>
    <n v="31"/>
  </r>
  <r>
    <x v="99"/>
    <x v="6"/>
    <n v="19"/>
  </r>
  <r>
    <x v="100"/>
    <x v="6"/>
    <n v="11"/>
  </r>
  <r>
    <x v="101"/>
    <x v="6"/>
    <n v="3"/>
  </r>
  <r>
    <x v="102"/>
    <x v="6"/>
    <n v="20"/>
  </r>
  <r>
    <x v="103"/>
    <x v="6"/>
    <n v="18"/>
  </r>
  <r>
    <x v="104"/>
    <x v="6"/>
    <n v="18"/>
  </r>
  <r>
    <x v="105"/>
    <x v="6"/>
    <n v="13"/>
  </r>
  <r>
    <x v="106"/>
    <x v="6"/>
    <n v="19"/>
  </r>
  <r>
    <x v="107"/>
    <x v="6"/>
    <n v="3"/>
  </r>
  <r>
    <x v="108"/>
    <x v="6"/>
    <n v="7"/>
  </r>
  <r>
    <x v="109"/>
    <x v="6"/>
    <n v="4"/>
  </r>
  <r>
    <x v="110"/>
    <x v="6"/>
    <n v="7"/>
  </r>
  <r>
    <x v="111"/>
    <x v="7"/>
    <n v="104"/>
  </r>
  <r>
    <x v="112"/>
    <x v="7"/>
    <n v="57"/>
  </r>
  <r>
    <x v="113"/>
    <x v="7"/>
    <n v="33"/>
  </r>
  <r>
    <x v="114"/>
    <x v="7"/>
    <n v="11"/>
  </r>
  <r>
    <x v="115"/>
    <x v="7"/>
    <n v="8"/>
  </r>
  <r>
    <x v="116"/>
    <x v="7"/>
    <n v="34"/>
  </r>
  <r>
    <x v="117"/>
    <x v="7"/>
    <n v="25"/>
  </r>
  <r>
    <x v="118"/>
    <x v="7"/>
    <n v="83"/>
  </r>
  <r>
    <x v="119"/>
    <x v="7"/>
    <n v="10"/>
  </r>
  <r>
    <x v="120"/>
    <x v="7"/>
    <n v="13"/>
  </r>
  <r>
    <x v="121"/>
    <x v="7"/>
    <n v="6"/>
  </r>
  <r>
    <x v="122"/>
    <x v="7"/>
    <n v="5"/>
  </r>
  <r>
    <x v="123"/>
    <x v="7"/>
    <n v="4"/>
  </r>
  <r>
    <x v="124"/>
    <x v="7"/>
    <n v="9"/>
  </r>
  <r>
    <x v="125"/>
    <x v="7"/>
    <n v="45"/>
  </r>
  <r>
    <x v="126"/>
    <x v="7"/>
    <n v="12"/>
  </r>
  <r>
    <x v="127"/>
    <x v="7"/>
    <n v="35"/>
  </r>
  <r>
    <x v="128"/>
    <x v="7"/>
    <n v="12"/>
  </r>
  <r>
    <x v="129"/>
    <x v="7"/>
    <n v="9"/>
  </r>
  <r>
    <x v="130"/>
    <x v="7"/>
    <n v="2"/>
  </r>
  <r>
    <x v="131"/>
    <x v="7"/>
    <n v="3"/>
  </r>
  <r>
    <x v="132"/>
    <x v="8"/>
    <n v="33"/>
  </r>
  <r>
    <x v="133"/>
    <x v="8"/>
    <n v="14"/>
  </r>
  <r>
    <x v="134"/>
    <x v="8"/>
    <n v="12"/>
  </r>
  <r>
    <x v="135"/>
    <x v="8"/>
    <n v="9"/>
  </r>
  <r>
    <x v="136"/>
    <x v="8"/>
    <n v="5"/>
  </r>
  <r>
    <x v="137"/>
    <x v="8"/>
    <n v="5"/>
  </r>
  <r>
    <x v="138"/>
    <x v="8"/>
    <n v="5"/>
  </r>
  <r>
    <x v="139"/>
    <x v="8"/>
    <n v="12"/>
  </r>
  <r>
    <x v="140"/>
    <x v="8"/>
    <n v="12"/>
  </r>
  <r>
    <x v="141"/>
    <x v="8"/>
    <n v="13"/>
  </r>
  <r>
    <x v="142"/>
    <x v="8"/>
    <n v="9"/>
  </r>
  <r>
    <x v="143"/>
    <x v="8"/>
    <n v="10"/>
  </r>
  <r>
    <x v="144"/>
    <x v="8"/>
    <n v="10"/>
  </r>
  <r>
    <x v="145"/>
    <x v="8"/>
    <n v="15"/>
  </r>
  <r>
    <x v="146"/>
    <x v="9"/>
    <n v="44"/>
  </r>
  <r>
    <x v="147"/>
    <x v="9"/>
    <n v="16"/>
  </r>
  <r>
    <x v="148"/>
    <x v="9"/>
    <n v="10"/>
  </r>
  <r>
    <x v="149"/>
    <x v="9"/>
    <n v="6"/>
  </r>
  <r>
    <x v="150"/>
    <x v="9"/>
    <n v="2"/>
  </r>
  <r>
    <x v="151"/>
    <x v="9"/>
    <n v="11"/>
  </r>
  <r>
    <x v="152"/>
    <x v="9"/>
    <n v="2"/>
  </r>
  <r>
    <x v="153"/>
    <x v="9"/>
    <n v="5"/>
  </r>
  <r>
    <x v="154"/>
    <x v="9"/>
    <n v="5"/>
  </r>
  <r>
    <x v="155"/>
    <x v="9"/>
    <n v="9"/>
  </r>
  <r>
    <x v="156"/>
    <x v="9"/>
    <n v="6"/>
  </r>
  <r>
    <x v="157"/>
    <x v="9"/>
    <n v="4"/>
  </r>
  <r>
    <x v="158"/>
    <x v="9"/>
    <n v="10"/>
  </r>
  <r>
    <x v="159"/>
    <x v="9"/>
    <n v="5"/>
  </r>
  <r>
    <x v="160"/>
    <x v="10"/>
    <n v="34"/>
  </r>
  <r>
    <x v="161"/>
    <x v="10"/>
    <n v="15"/>
  </r>
  <r>
    <x v="162"/>
    <x v="10"/>
    <n v="2"/>
  </r>
  <r>
    <x v="163"/>
    <x v="10"/>
    <n v="5"/>
  </r>
  <r>
    <x v="164"/>
    <x v="10"/>
    <n v="2"/>
  </r>
  <r>
    <x v="165"/>
    <x v="10"/>
    <n v="12"/>
  </r>
  <r>
    <x v="166"/>
    <x v="10"/>
    <n v="9"/>
  </r>
  <r>
    <x v="167"/>
    <x v="10"/>
    <n v="26"/>
  </r>
  <r>
    <x v="168"/>
    <x v="10"/>
    <n v="6"/>
  </r>
  <r>
    <x v="169"/>
    <x v="10"/>
    <n v="17"/>
  </r>
  <r>
    <x v="170"/>
    <x v="10"/>
    <n v="8"/>
  </r>
  <r>
    <x v="171"/>
    <x v="10"/>
    <n v="10"/>
  </r>
  <r>
    <x v="172"/>
    <x v="10"/>
    <n v="3"/>
  </r>
  <r>
    <x v="173"/>
    <x v="10"/>
    <n v="4"/>
  </r>
  <r>
    <x v="174"/>
    <x v="11"/>
    <n v="24"/>
  </r>
  <r>
    <x v="175"/>
    <x v="11"/>
    <n v="22"/>
  </r>
  <r>
    <x v="176"/>
    <x v="11"/>
    <n v="6"/>
  </r>
  <r>
    <x v="177"/>
    <x v="11"/>
    <n v="20"/>
  </r>
  <r>
    <x v="178"/>
    <x v="11"/>
    <n v="7"/>
  </r>
  <r>
    <x v="179"/>
    <x v="11"/>
    <n v="24"/>
  </r>
  <r>
    <x v="180"/>
    <x v="11"/>
    <n v="13"/>
  </r>
  <r>
    <x v="181"/>
    <x v="11"/>
    <n v="8"/>
  </r>
  <r>
    <x v="182"/>
    <x v="11"/>
    <n v="7"/>
  </r>
  <r>
    <x v="183"/>
    <x v="11"/>
    <n v="26"/>
  </r>
  <r>
    <x v="184"/>
    <x v="11"/>
    <n v="9"/>
  </r>
  <r>
    <x v="185"/>
    <x v="11"/>
    <n v="6"/>
  </r>
  <r>
    <x v="186"/>
    <x v="11"/>
    <n v="6"/>
  </r>
  <r>
    <x v="187"/>
    <x v="11"/>
    <n v="10"/>
  </r>
  <r>
    <x v="188"/>
    <x v="11"/>
    <n v="66"/>
  </r>
  <r>
    <x v="189"/>
    <x v="11"/>
    <n v="68"/>
  </r>
  <r>
    <x v="190"/>
    <x v="12"/>
    <n v="52"/>
  </r>
  <r>
    <x v="191"/>
    <x v="12"/>
    <n v="17"/>
  </r>
  <r>
    <x v="192"/>
    <x v="12"/>
    <n v="4"/>
  </r>
  <r>
    <x v="193"/>
    <x v="12"/>
    <n v="18"/>
  </r>
  <r>
    <x v="194"/>
    <x v="12"/>
    <n v="13"/>
  </r>
  <r>
    <x v="195"/>
    <x v="12"/>
    <n v="12"/>
  </r>
  <r>
    <x v="196"/>
    <x v="12"/>
    <n v="4"/>
  </r>
  <r>
    <x v="197"/>
    <x v="12"/>
    <n v="28"/>
  </r>
  <r>
    <x v="198"/>
    <x v="12"/>
    <n v="5"/>
  </r>
  <r>
    <x v="199"/>
    <x v="12"/>
    <n v="1"/>
  </r>
  <r>
    <x v="200"/>
    <x v="12"/>
    <n v="15"/>
  </r>
  <r>
    <x v="201"/>
    <x v="12"/>
    <n v="9"/>
  </r>
  <r>
    <x v="202"/>
    <x v="12"/>
    <n v="15"/>
  </r>
  <r>
    <x v="203"/>
    <x v="12"/>
    <n v="7"/>
  </r>
  <r>
    <x v="204"/>
    <x v="12"/>
    <n v="7"/>
  </r>
  <r>
    <x v="205"/>
    <x v="12"/>
    <n v="4"/>
  </r>
  <r>
    <x v="206"/>
    <x v="12"/>
    <n v="3"/>
  </r>
  <r>
    <x v="207"/>
    <x v="12"/>
    <n v="18"/>
  </r>
  <r>
    <x v="208"/>
    <x v="12"/>
    <n v="3"/>
  </r>
  <r>
    <x v="209"/>
    <x v="12"/>
    <n v="7"/>
  </r>
  <r>
    <x v="210"/>
    <x v="12"/>
    <n v="2"/>
  </r>
  <r>
    <x v="211"/>
    <x v="12"/>
    <n v="12"/>
  </r>
  <r>
    <x v="212"/>
    <x v="12"/>
    <n v="17"/>
  </r>
  <r>
    <x v="213"/>
    <x v="12"/>
    <n v="15"/>
  </r>
  <r>
    <x v="214"/>
    <x v="12"/>
    <n v="3"/>
  </r>
  <r>
    <x v="215"/>
    <x v="12"/>
    <n v="7"/>
  </r>
  <r>
    <x v="216"/>
    <x v="13"/>
    <n v="14"/>
  </r>
  <r>
    <x v="217"/>
    <x v="13"/>
    <n v="9"/>
  </r>
  <r>
    <x v="218"/>
    <x v="13"/>
    <n v="7"/>
  </r>
  <r>
    <x v="219"/>
    <x v="13"/>
    <n v="6"/>
  </r>
  <r>
    <x v="220"/>
    <x v="13"/>
    <n v="2"/>
  </r>
  <r>
    <x v="221"/>
    <x v="13"/>
    <n v="6"/>
  </r>
  <r>
    <x v="222"/>
    <x v="13"/>
    <n v="5"/>
  </r>
  <r>
    <x v="223"/>
    <x v="13"/>
    <n v="23"/>
  </r>
  <r>
    <x v="224"/>
    <x v="13"/>
    <n v="11"/>
  </r>
  <r>
    <x v="225"/>
    <x v="13"/>
    <n v="11"/>
  </r>
  <r>
    <x v="226"/>
    <x v="13"/>
    <n v="5"/>
  </r>
  <r>
    <x v="227"/>
    <x v="13"/>
    <n v="5"/>
  </r>
  <r>
    <x v="228"/>
    <x v="13"/>
    <n v="16"/>
  </r>
  <r>
    <x v="229"/>
    <x v="13"/>
    <n v="5"/>
  </r>
  <r>
    <x v="230"/>
    <x v="13"/>
    <n v="5"/>
  </r>
  <r>
    <x v="231"/>
    <x v="13"/>
    <n v="3"/>
  </r>
  <r>
    <x v="232"/>
    <x v="14"/>
    <n v="4"/>
  </r>
  <r>
    <x v="233"/>
    <x v="14"/>
    <n v="3"/>
  </r>
  <r>
    <x v="234"/>
    <x v="14"/>
    <n v="38"/>
  </r>
  <r>
    <x v="235"/>
    <x v="14"/>
    <n v="9"/>
  </r>
  <r>
    <x v="236"/>
    <x v="14"/>
    <n v="18"/>
  </r>
  <r>
    <x v="237"/>
    <x v="14"/>
    <n v="23"/>
  </r>
  <r>
    <x v="238"/>
    <x v="14"/>
    <n v="19"/>
  </r>
  <r>
    <x v="239"/>
    <x v="14"/>
    <n v="8"/>
  </r>
  <r>
    <x v="240"/>
    <x v="14"/>
    <n v="6"/>
  </r>
  <r>
    <x v="241"/>
    <x v="14"/>
    <n v="4"/>
  </r>
  <r>
    <x v="242"/>
    <x v="14"/>
    <n v="14"/>
  </r>
  <r>
    <x v="243"/>
    <x v="14"/>
    <n v="6"/>
  </r>
  <r>
    <x v="244"/>
    <x v="14"/>
    <n v="5"/>
  </r>
  <r>
    <x v="245"/>
    <x v="14"/>
    <n v="8"/>
  </r>
  <r>
    <x v="246"/>
    <x v="14"/>
    <n v="9"/>
  </r>
  <r>
    <x v="247"/>
    <x v="14"/>
    <n v="8"/>
  </r>
  <r>
    <x v="248"/>
    <x v="14"/>
    <n v="8"/>
  </r>
  <r>
    <x v="249"/>
    <x v="14"/>
    <n v="2"/>
  </r>
  <r>
    <x v="250"/>
    <x v="15"/>
    <n v="4"/>
  </r>
  <r>
    <x v="251"/>
    <x v="15"/>
    <n v="25"/>
  </r>
  <r>
    <x v="252"/>
    <x v="15"/>
    <n v="13"/>
  </r>
  <r>
    <x v="253"/>
    <x v="15"/>
    <n v="20"/>
  </r>
  <r>
    <x v="254"/>
    <x v="15"/>
    <n v="9"/>
  </r>
  <r>
    <x v="255"/>
    <x v="15"/>
    <n v="4"/>
  </r>
  <r>
    <x v="256"/>
    <x v="15"/>
    <n v="5"/>
  </r>
  <r>
    <x v="257"/>
    <x v="15"/>
    <n v="14"/>
  </r>
  <r>
    <x v="258"/>
    <x v="15"/>
    <n v="16"/>
  </r>
  <r>
    <x v="259"/>
    <x v="15"/>
    <n v="14"/>
  </r>
  <r>
    <x v="260"/>
    <x v="15"/>
    <n v="16"/>
  </r>
  <r>
    <x v="261"/>
    <x v="15"/>
    <n v="15"/>
  </r>
  <r>
    <x v="262"/>
    <x v="15"/>
    <n v="21"/>
  </r>
  <r>
    <x v="263"/>
    <x v="15"/>
    <n v="22"/>
  </r>
  <r>
    <x v="264"/>
    <x v="16"/>
    <n v="34"/>
  </r>
  <r>
    <x v="265"/>
    <x v="16"/>
    <n v="12"/>
  </r>
  <r>
    <x v="266"/>
    <x v="16"/>
    <n v="13"/>
  </r>
  <r>
    <x v="267"/>
    <x v="16"/>
    <n v="22"/>
  </r>
  <r>
    <x v="268"/>
    <x v="16"/>
    <n v="24"/>
  </r>
  <r>
    <x v="269"/>
    <x v="16"/>
    <n v="15"/>
  </r>
  <r>
    <x v="270"/>
    <x v="16"/>
    <n v="16"/>
  </r>
  <r>
    <x v="271"/>
    <x v="16"/>
    <n v="17"/>
  </r>
  <r>
    <x v="272"/>
    <x v="16"/>
    <n v="17"/>
  </r>
  <r>
    <x v="273"/>
    <x v="16"/>
    <n v="27"/>
  </r>
  <r>
    <x v="274"/>
    <x v="16"/>
    <n v="26"/>
  </r>
  <r>
    <x v="275"/>
    <x v="16"/>
    <n v="27"/>
  </r>
  <r>
    <x v="276"/>
    <x v="16"/>
    <n v="25"/>
  </r>
  <r>
    <x v="277"/>
    <x v="16"/>
    <n v="22"/>
  </r>
  <r>
    <x v="278"/>
    <x v="16"/>
    <n v="23"/>
  </r>
  <r>
    <x v="279"/>
    <x v="16"/>
    <n v="29"/>
  </r>
  <r>
    <x v="280"/>
    <x v="16"/>
    <n v="26"/>
  </r>
  <r>
    <x v="281"/>
    <x v="16"/>
    <n v="23"/>
  </r>
  <r>
    <x v="282"/>
    <x v="16"/>
    <n v="38"/>
  </r>
  <r>
    <x v="283"/>
    <x v="16"/>
    <n v="14"/>
  </r>
  <r>
    <x v="284"/>
    <x v="16"/>
    <n v="14"/>
  </r>
  <r>
    <x v="285"/>
    <x v="16"/>
    <n v="49"/>
  </r>
  <r>
    <x v="286"/>
    <x v="16"/>
    <n v="59"/>
  </r>
  <r>
    <x v="287"/>
    <x v="16"/>
    <n v="32"/>
  </r>
  <r>
    <x v="288"/>
    <x v="16"/>
    <n v="27"/>
  </r>
  <r>
    <x v="289"/>
    <x v="16"/>
    <n v="29"/>
  </r>
  <r>
    <x v="290"/>
    <x v="16"/>
    <n v="37"/>
  </r>
  <r>
    <x v="291"/>
    <x v="16"/>
    <n v="22"/>
  </r>
  <r>
    <x v="292"/>
    <x v="16"/>
    <n v="26"/>
  </r>
  <r>
    <x v="293"/>
    <x v="16"/>
    <n v="19"/>
  </r>
  <r>
    <x v="294"/>
    <x v="16"/>
    <n v="79"/>
  </r>
  <r>
    <x v="295"/>
    <x v="16"/>
    <n v="57"/>
  </r>
  <r>
    <x v="296"/>
    <x v="16"/>
    <n v="26"/>
  </r>
  <r>
    <x v="297"/>
    <x v="16"/>
    <n v="16"/>
  </r>
  <r>
    <x v="298"/>
    <x v="16"/>
    <n v="29"/>
  </r>
  <r>
    <x v="299"/>
    <x v="16"/>
    <n v="20"/>
  </r>
  <r>
    <x v="300"/>
    <x v="17"/>
    <n v="55"/>
  </r>
  <r>
    <x v="301"/>
    <x v="17"/>
    <n v="29"/>
  </r>
  <r>
    <x v="302"/>
    <x v="17"/>
    <n v="17"/>
  </r>
  <r>
    <x v="303"/>
    <x v="17"/>
    <n v="22"/>
  </r>
  <r>
    <x v="304"/>
    <x v="17"/>
    <n v="12"/>
  </r>
  <r>
    <x v="305"/>
    <x v="17"/>
    <n v="20"/>
  </r>
  <r>
    <x v="306"/>
    <x v="17"/>
    <n v="13"/>
  </r>
  <r>
    <x v="307"/>
    <x v="17"/>
    <n v="20"/>
  </r>
  <r>
    <x v="308"/>
    <x v="17"/>
    <n v="15"/>
  </r>
  <r>
    <x v="309"/>
    <x v="17"/>
    <n v="30"/>
  </r>
  <r>
    <x v="310"/>
    <x v="17"/>
    <n v="23"/>
  </r>
  <r>
    <x v="311"/>
    <x v="17"/>
    <n v="12"/>
  </r>
  <r>
    <x v="312"/>
    <x v="17"/>
    <n v="13"/>
  </r>
  <r>
    <x v="313"/>
    <x v="17"/>
    <n v="22"/>
  </r>
  <r>
    <x v="314"/>
    <x v="17"/>
    <n v="33"/>
  </r>
  <r>
    <x v="315"/>
    <x v="17"/>
    <n v="29"/>
  </r>
  <r>
    <x v="316"/>
    <x v="17"/>
    <n v="49"/>
  </r>
  <r>
    <x v="317"/>
    <x v="17"/>
    <n v="25"/>
  </r>
  <r>
    <x v="318"/>
    <x v="17"/>
    <n v="21"/>
  </r>
  <r>
    <x v="319"/>
    <x v="17"/>
    <n v="23"/>
  </r>
  <r>
    <x v="320"/>
    <x v="17"/>
    <n v="13"/>
  </r>
  <r>
    <x v="321"/>
    <x v="17"/>
    <n v="64"/>
  </r>
  <r>
    <x v="322"/>
    <x v="17"/>
    <n v="22"/>
  </r>
  <r>
    <x v="323"/>
    <x v="17"/>
    <n v="107"/>
  </r>
  <r>
    <x v="324"/>
    <x v="17"/>
    <n v="316"/>
  </r>
  <r>
    <x v="325"/>
    <x v="17"/>
    <n v="77"/>
  </r>
  <r>
    <x v="326"/>
    <x v="17"/>
    <n v="36"/>
  </r>
  <r>
    <x v="327"/>
    <x v="17"/>
    <n v="58"/>
  </r>
  <r>
    <x v="328"/>
    <x v="17"/>
    <n v="13"/>
  </r>
  <r>
    <x v="329"/>
    <x v="17"/>
    <n v="5"/>
  </r>
  <r>
    <x v="330"/>
    <x v="17"/>
    <n v="6"/>
  </r>
  <r>
    <x v="331"/>
    <x v="17"/>
    <n v="15"/>
  </r>
  <r>
    <x v="332"/>
    <x v="17"/>
    <n v="12"/>
  </r>
  <r>
    <x v="333"/>
    <x v="17"/>
    <n v="7"/>
  </r>
  <r>
    <x v="334"/>
    <x v="17"/>
    <n v="10"/>
  </r>
  <r>
    <x v="335"/>
    <x v="18"/>
    <n v="31"/>
  </r>
  <r>
    <x v="336"/>
    <x v="18"/>
    <n v="23"/>
  </r>
  <r>
    <x v="337"/>
    <x v="18"/>
    <n v="30"/>
  </r>
  <r>
    <x v="338"/>
    <x v="18"/>
    <n v="40"/>
  </r>
  <r>
    <x v="339"/>
    <x v="18"/>
    <n v="41"/>
  </r>
  <r>
    <x v="340"/>
    <x v="18"/>
    <n v="16"/>
  </r>
  <r>
    <x v="341"/>
    <x v="18"/>
    <n v="51"/>
  </r>
  <r>
    <x v="342"/>
    <x v="18"/>
    <n v="15"/>
  </r>
  <r>
    <x v="343"/>
    <x v="18"/>
    <n v="71"/>
  </r>
  <r>
    <x v="344"/>
    <x v="18"/>
    <n v="44"/>
  </r>
  <r>
    <x v="345"/>
    <x v="18"/>
    <n v="19"/>
  </r>
  <r>
    <x v="346"/>
    <x v="18"/>
    <n v="18"/>
  </r>
  <r>
    <x v="347"/>
    <x v="18"/>
    <n v="11"/>
  </r>
  <r>
    <x v="348"/>
    <x v="18"/>
    <n v="30"/>
  </r>
  <r>
    <x v="349"/>
    <x v="18"/>
    <n v="18"/>
  </r>
  <r>
    <x v="350"/>
    <x v="18"/>
    <n v="24"/>
  </r>
  <r>
    <x v="351"/>
    <x v="18"/>
    <n v="130"/>
  </r>
  <r>
    <x v="352"/>
    <x v="18"/>
    <n v="47"/>
  </r>
  <r>
    <x v="353"/>
    <x v="18"/>
    <n v="30"/>
  </r>
  <r>
    <x v="354"/>
    <x v="18"/>
    <n v="13"/>
  </r>
  <r>
    <x v="355"/>
    <x v="18"/>
    <n v="7"/>
  </r>
  <r>
    <x v="356"/>
    <x v="18"/>
    <n v="18"/>
  </r>
  <r>
    <x v="357"/>
    <x v="18"/>
    <n v="21"/>
  </r>
  <r>
    <x v="358"/>
    <x v="18"/>
    <n v="12"/>
  </r>
  <r>
    <x v="359"/>
    <x v="18"/>
    <n v="26"/>
  </r>
  <r>
    <x v="360"/>
    <x v="18"/>
    <n v="13"/>
  </r>
  <r>
    <x v="361"/>
    <x v="18"/>
    <n v="45"/>
  </r>
  <r>
    <x v="362"/>
    <x v="18"/>
    <n v="11"/>
  </r>
  <r>
    <x v="363"/>
    <x v="19"/>
    <n v="50"/>
  </r>
  <r>
    <x v="364"/>
    <x v="19"/>
    <n v="10"/>
  </r>
  <r>
    <x v="365"/>
    <x v="19"/>
    <n v="14"/>
  </r>
  <r>
    <x v="366"/>
    <x v="19"/>
    <n v="108"/>
  </r>
  <r>
    <x v="367"/>
    <x v="19"/>
    <n v="13"/>
  </r>
  <r>
    <x v="368"/>
    <x v="19"/>
    <n v="6"/>
  </r>
  <r>
    <x v="369"/>
    <x v="19"/>
    <n v="5"/>
  </r>
  <r>
    <x v="370"/>
    <x v="19"/>
    <n v="4"/>
  </r>
  <r>
    <x v="371"/>
    <x v="19"/>
    <n v="5"/>
  </r>
  <r>
    <x v="372"/>
    <x v="19"/>
    <n v="9"/>
  </r>
  <r>
    <x v="373"/>
    <x v="19"/>
    <n v="20"/>
  </r>
  <r>
    <x v="374"/>
    <x v="19"/>
    <n v="5"/>
  </r>
  <r>
    <x v="375"/>
    <x v="19"/>
    <n v="3"/>
  </r>
  <r>
    <x v="376"/>
    <x v="19"/>
    <n v="12"/>
  </r>
  <r>
    <x v="377"/>
    <x v="19"/>
    <n v="10"/>
  </r>
  <r>
    <x v="378"/>
    <x v="19"/>
    <n v="11"/>
  </r>
  <r>
    <x v="379"/>
    <x v="19"/>
    <n v="6"/>
  </r>
  <r>
    <x v="380"/>
    <x v="20"/>
    <n v="39"/>
  </r>
  <r>
    <x v="381"/>
    <x v="20"/>
    <n v="13"/>
  </r>
  <r>
    <x v="382"/>
    <x v="20"/>
    <n v="11"/>
  </r>
  <r>
    <x v="383"/>
    <x v="20"/>
    <n v="11"/>
  </r>
  <r>
    <x v="384"/>
    <x v="20"/>
    <n v="20"/>
  </r>
  <r>
    <x v="385"/>
    <x v="20"/>
    <n v="2"/>
  </r>
  <r>
    <x v="386"/>
    <x v="20"/>
    <n v="8"/>
  </r>
  <r>
    <x v="387"/>
    <x v="20"/>
    <n v="6"/>
  </r>
  <r>
    <x v="388"/>
    <x v="20"/>
    <n v="15"/>
  </r>
  <r>
    <x v="389"/>
    <x v="20"/>
    <n v="6"/>
  </r>
  <r>
    <x v="390"/>
    <x v="20"/>
    <n v="12"/>
  </r>
  <r>
    <x v="391"/>
    <x v="21"/>
    <n v="37"/>
  </r>
  <r>
    <x v="392"/>
    <x v="21"/>
    <n v="13"/>
  </r>
  <r>
    <x v="393"/>
    <x v="21"/>
    <n v="2"/>
  </r>
  <r>
    <x v="394"/>
    <x v="21"/>
    <n v="24"/>
  </r>
  <r>
    <x v="395"/>
    <x v="21"/>
    <n v="10"/>
  </r>
  <r>
    <x v="396"/>
    <x v="21"/>
    <n v="11"/>
  </r>
  <r>
    <x v="397"/>
    <x v="21"/>
    <n v="20"/>
  </r>
  <r>
    <x v="398"/>
    <x v="21"/>
    <n v="38"/>
  </r>
  <r>
    <x v="399"/>
    <x v="21"/>
    <n v="25"/>
  </r>
  <r>
    <x v="400"/>
    <x v="21"/>
    <n v="13"/>
  </r>
  <r>
    <x v="401"/>
    <x v="21"/>
    <n v="21"/>
  </r>
  <r>
    <x v="402"/>
    <x v="21"/>
    <n v="11"/>
  </r>
  <r>
    <x v="403"/>
    <x v="21"/>
    <n v="15"/>
  </r>
  <r>
    <x v="404"/>
    <x v="21"/>
    <n v="13"/>
  </r>
  <r>
    <x v="405"/>
    <x v="22"/>
    <n v="27"/>
  </r>
  <r>
    <x v="406"/>
    <x v="22"/>
    <n v="16"/>
  </r>
  <r>
    <x v="407"/>
    <x v="22"/>
    <n v="21"/>
  </r>
  <r>
    <x v="408"/>
    <x v="22"/>
    <n v="47"/>
  </r>
  <r>
    <x v="409"/>
    <x v="22"/>
    <n v="20"/>
  </r>
  <r>
    <x v="410"/>
    <x v="22"/>
    <n v="28"/>
  </r>
  <r>
    <x v="411"/>
    <x v="22"/>
    <n v="12"/>
  </r>
  <r>
    <x v="412"/>
    <x v="22"/>
    <n v="36"/>
  </r>
  <r>
    <x v="413"/>
    <x v="22"/>
    <n v="13"/>
  </r>
  <r>
    <x v="414"/>
    <x v="22"/>
    <n v="23"/>
  </r>
  <r>
    <x v="415"/>
    <x v="22"/>
    <n v="56"/>
  </r>
  <r>
    <x v="416"/>
    <x v="22"/>
    <n v="37"/>
  </r>
  <r>
    <x v="417"/>
    <x v="22"/>
    <n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CE2D18-61CA-0843-9D27-CB1C6B295238}"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Y423" firstHeaderRow="1" firstDataRow="2" firstDataCol="1"/>
  <pivotFields count="6">
    <pivotField axis="axisRow" numFmtId="14" showAll="0">
      <items count="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t="default"/>
      </items>
    </pivotField>
    <pivotField axis="axisCol" showAll="0">
      <items count="24">
        <item x="0"/>
        <item x="1"/>
        <item x="2"/>
        <item x="3"/>
        <item x="4"/>
        <item x="5"/>
        <item x="6"/>
        <item x="7"/>
        <item x="8"/>
        <item x="9"/>
        <item x="10"/>
        <item x="11"/>
        <item x="12"/>
        <item x="13"/>
        <item x="14"/>
        <item x="15"/>
        <item x="16"/>
        <item x="17"/>
        <item x="18"/>
        <item x="19"/>
        <item x="20"/>
        <item x="21"/>
        <item x="2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41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t="grand">
      <x/>
    </i>
  </rowItems>
  <colFields count="1">
    <field x="1"/>
  </colFields>
  <colItems count="24">
    <i>
      <x/>
    </i>
    <i>
      <x v="1"/>
    </i>
    <i>
      <x v="2"/>
    </i>
    <i>
      <x v="3"/>
    </i>
    <i>
      <x v="4"/>
    </i>
    <i>
      <x v="5"/>
    </i>
    <i>
      <x v="6"/>
    </i>
    <i>
      <x v="7"/>
    </i>
    <i>
      <x v="8"/>
    </i>
    <i>
      <x v="9"/>
    </i>
    <i>
      <x v="10"/>
    </i>
    <i>
      <x v="11"/>
    </i>
    <i>
      <x v="12"/>
    </i>
    <i>
      <x v="13"/>
    </i>
    <i>
      <x v="14"/>
    </i>
    <i>
      <x v="15"/>
    </i>
    <i>
      <x v="16"/>
    </i>
    <i>
      <x v="17"/>
    </i>
    <i>
      <x v="18"/>
    </i>
    <i>
      <x v="19"/>
    </i>
    <i>
      <x v="20"/>
    </i>
    <i>
      <x v="21"/>
    </i>
    <i>
      <x v="22"/>
    </i>
    <i t="grand">
      <x/>
    </i>
  </colItems>
  <dataFields count="1">
    <dataField name="Sum of Units Sold" fld="2" baseField="0" baseItem="0"/>
  </dataFields>
  <chartFormats count="23">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5"/>
          </reference>
        </references>
      </pivotArea>
    </chartFormat>
    <chartFormat chart="3" format="6" series="1">
      <pivotArea type="data" outline="0" fieldPosition="0">
        <references count="2">
          <reference field="4294967294" count="1" selected="0">
            <x v="0"/>
          </reference>
          <reference field="1" count="1" selected="0">
            <x v="6"/>
          </reference>
        </references>
      </pivotArea>
    </chartFormat>
    <chartFormat chart="3" format="7" series="1">
      <pivotArea type="data" outline="0" fieldPosition="0">
        <references count="2">
          <reference field="4294967294" count="1" selected="0">
            <x v="0"/>
          </reference>
          <reference field="1" count="1" selected="0">
            <x v="7"/>
          </reference>
        </references>
      </pivotArea>
    </chartFormat>
    <chartFormat chart="3" format="8" series="1">
      <pivotArea type="data" outline="0" fieldPosition="0">
        <references count="2">
          <reference field="4294967294" count="1" selected="0">
            <x v="0"/>
          </reference>
          <reference field="1" count="1" selected="0">
            <x v="8"/>
          </reference>
        </references>
      </pivotArea>
    </chartFormat>
    <chartFormat chart="3" format="9" series="1">
      <pivotArea type="data" outline="0" fieldPosition="0">
        <references count="2">
          <reference field="4294967294" count="1" selected="0">
            <x v="0"/>
          </reference>
          <reference field="1" count="1" selected="0">
            <x v="9"/>
          </reference>
        </references>
      </pivotArea>
    </chartFormat>
    <chartFormat chart="3" format="10" series="1">
      <pivotArea type="data" outline="0" fieldPosition="0">
        <references count="2">
          <reference field="4294967294" count="1" selected="0">
            <x v="0"/>
          </reference>
          <reference field="1" count="1" selected="0">
            <x v="10"/>
          </reference>
        </references>
      </pivotArea>
    </chartFormat>
    <chartFormat chart="3" format="11" series="1">
      <pivotArea type="data" outline="0" fieldPosition="0">
        <references count="2">
          <reference field="4294967294" count="1" selected="0">
            <x v="0"/>
          </reference>
          <reference field="1" count="1" selected="0">
            <x v="11"/>
          </reference>
        </references>
      </pivotArea>
    </chartFormat>
    <chartFormat chart="3" format="12" series="1">
      <pivotArea type="data" outline="0" fieldPosition="0">
        <references count="2">
          <reference field="4294967294" count="1" selected="0">
            <x v="0"/>
          </reference>
          <reference field="1" count="1" selected="0">
            <x v="12"/>
          </reference>
        </references>
      </pivotArea>
    </chartFormat>
    <chartFormat chart="3" format="13" series="1">
      <pivotArea type="data" outline="0" fieldPosition="0">
        <references count="2">
          <reference field="4294967294" count="1" selected="0">
            <x v="0"/>
          </reference>
          <reference field="1" count="1" selected="0">
            <x v="13"/>
          </reference>
        </references>
      </pivotArea>
    </chartFormat>
    <chartFormat chart="3" format="14" series="1">
      <pivotArea type="data" outline="0" fieldPosition="0">
        <references count="2">
          <reference field="4294967294" count="1" selected="0">
            <x v="0"/>
          </reference>
          <reference field="1" count="1" selected="0">
            <x v="14"/>
          </reference>
        </references>
      </pivotArea>
    </chartFormat>
    <chartFormat chart="3" format="15" series="1">
      <pivotArea type="data" outline="0" fieldPosition="0">
        <references count="2">
          <reference field="4294967294" count="1" selected="0">
            <x v="0"/>
          </reference>
          <reference field="1" count="1" selected="0">
            <x v="15"/>
          </reference>
        </references>
      </pivotArea>
    </chartFormat>
    <chartFormat chart="3" format="16" series="1">
      <pivotArea type="data" outline="0" fieldPosition="0">
        <references count="2">
          <reference field="4294967294" count="1" selected="0">
            <x v="0"/>
          </reference>
          <reference field="1" count="1" selected="0">
            <x v="16"/>
          </reference>
        </references>
      </pivotArea>
    </chartFormat>
    <chartFormat chart="3" format="17" series="1">
      <pivotArea type="data" outline="0" fieldPosition="0">
        <references count="2">
          <reference field="4294967294" count="1" selected="0">
            <x v="0"/>
          </reference>
          <reference field="1" count="1" selected="0">
            <x v="17"/>
          </reference>
        </references>
      </pivotArea>
    </chartFormat>
    <chartFormat chart="3" format="18" series="1">
      <pivotArea type="data" outline="0" fieldPosition="0">
        <references count="2">
          <reference field="4294967294" count="1" selected="0">
            <x v="0"/>
          </reference>
          <reference field="1" count="1" selected="0">
            <x v="18"/>
          </reference>
        </references>
      </pivotArea>
    </chartFormat>
    <chartFormat chart="3" format="19" series="1">
      <pivotArea type="data" outline="0" fieldPosition="0">
        <references count="2">
          <reference field="4294967294" count="1" selected="0">
            <x v="0"/>
          </reference>
          <reference field="1" count="1" selected="0">
            <x v="19"/>
          </reference>
        </references>
      </pivotArea>
    </chartFormat>
    <chartFormat chart="3" format="20" series="1">
      <pivotArea type="data" outline="0" fieldPosition="0">
        <references count="2">
          <reference field="4294967294" count="1" selected="0">
            <x v="0"/>
          </reference>
          <reference field="1" count="1" selected="0">
            <x v="20"/>
          </reference>
        </references>
      </pivotArea>
    </chartFormat>
    <chartFormat chart="3" format="21" series="1">
      <pivotArea type="data" outline="0" fieldPosition="0">
        <references count="2">
          <reference field="4294967294" count="1" selected="0">
            <x v="0"/>
          </reference>
          <reference field="1" count="1" selected="0">
            <x v="21"/>
          </reference>
        </references>
      </pivotArea>
    </chartFormat>
    <chartFormat chart="3" format="22" series="1">
      <pivotArea type="data" outline="0" fieldPosition="0">
        <references count="2">
          <reference field="4294967294" count="1" selected="0">
            <x v="0"/>
          </reference>
          <reference field="1"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
  <sheetViews>
    <sheetView zoomScale="132" workbookViewId="0">
      <selection activeCell="B8" sqref="B8"/>
    </sheetView>
  </sheetViews>
  <sheetFormatPr baseColWidth="10" defaultColWidth="9.1640625" defaultRowHeight="15"/>
  <cols>
    <col min="1" max="1" width="33.6640625" style="2" customWidth="1"/>
    <col min="2" max="2" width="100.6640625" style="2" customWidth="1"/>
    <col min="3" max="16384" width="9.1640625" style="2"/>
  </cols>
  <sheetData>
    <row r="2" spans="1:2" ht="65.25" customHeight="1">
      <c r="B2" s="6" t="s">
        <v>8</v>
      </c>
    </row>
    <row r="3" spans="1:2" ht="13.5" customHeight="1">
      <c r="A3" s="3"/>
      <c r="B3" s="3"/>
    </row>
    <row r="4" spans="1:2" ht="69" customHeight="1">
      <c r="A4" s="61" t="s">
        <v>9</v>
      </c>
      <c r="B4" s="62"/>
    </row>
    <row r="5" spans="1:2">
      <c r="A5" s="4" t="s">
        <v>7</v>
      </c>
    </row>
  </sheetData>
  <mergeCells count="1">
    <mergeCell ref="A4:B4"/>
  </mergeCells>
  <pageMargins left="0.7" right="0.7" top="0.75" bottom="0.75" header="0.3" footer="0.3"/>
  <pageSetup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427"/>
  <sheetViews>
    <sheetView zoomScale="134" zoomScaleNormal="107" workbookViewId="0">
      <selection activeCell="H17" sqref="H17"/>
    </sheetView>
  </sheetViews>
  <sheetFormatPr baseColWidth="10" defaultColWidth="8.83203125" defaultRowHeight="15"/>
  <cols>
    <col min="1" max="1" width="11.33203125" customWidth="1"/>
    <col min="3" max="3" width="15.83203125" customWidth="1"/>
    <col min="7" max="7" width="10.83203125" customWidth="1"/>
  </cols>
  <sheetData>
    <row r="2" spans="1:7">
      <c r="C2" s="63" t="s">
        <v>4</v>
      </c>
      <c r="D2" s="63"/>
      <c r="E2" s="63"/>
    </row>
    <row r="3" spans="1:7" ht="15.75" customHeight="1">
      <c r="A3" s="63" t="s">
        <v>6</v>
      </c>
      <c r="B3" s="63"/>
      <c r="C3" s="63"/>
      <c r="D3" s="63"/>
      <c r="E3" s="63"/>
      <c r="F3" s="63"/>
      <c r="G3" s="63"/>
    </row>
    <row r="4" spans="1:7">
      <c r="A4" s="63" t="s">
        <v>5</v>
      </c>
      <c r="B4" s="63"/>
      <c r="C4" s="63"/>
      <c r="D4" s="63"/>
      <c r="E4" s="63"/>
      <c r="F4" s="63"/>
      <c r="G4" s="63"/>
    </row>
    <row r="5" spans="1:7">
      <c r="C5" s="5"/>
    </row>
    <row r="6" spans="1:7">
      <c r="C6" s="5"/>
    </row>
    <row r="7" spans="1:7">
      <c r="C7" t="s">
        <v>1</v>
      </c>
      <c r="D7" t="s">
        <v>0</v>
      </c>
      <c r="E7" t="s">
        <v>2</v>
      </c>
    </row>
    <row r="8" spans="1:7">
      <c r="C8" s="1">
        <v>41282</v>
      </c>
      <c r="D8">
        <v>1</v>
      </c>
      <c r="E8">
        <v>40</v>
      </c>
    </row>
    <row r="9" spans="1:7">
      <c r="C9" s="1">
        <v>41283</v>
      </c>
      <c r="D9">
        <v>1</v>
      </c>
      <c r="E9">
        <v>5</v>
      </c>
    </row>
    <row r="10" spans="1:7">
      <c r="C10" s="1">
        <v>41284</v>
      </c>
      <c r="D10">
        <v>1</v>
      </c>
      <c r="E10">
        <v>14</v>
      </c>
    </row>
    <row r="11" spans="1:7">
      <c r="C11" s="1">
        <v>41285</v>
      </c>
      <c r="D11">
        <v>1</v>
      </c>
      <c r="E11">
        <v>8</v>
      </c>
    </row>
    <row r="12" spans="1:7">
      <c r="C12" s="1">
        <v>41286</v>
      </c>
      <c r="D12">
        <v>1</v>
      </c>
      <c r="E12">
        <v>4</v>
      </c>
    </row>
    <row r="13" spans="1:7">
      <c r="C13" s="1">
        <v>41287</v>
      </c>
      <c r="D13">
        <v>1</v>
      </c>
      <c r="E13">
        <v>13</v>
      </c>
    </row>
    <row r="14" spans="1:7">
      <c r="C14" s="1">
        <v>41288</v>
      </c>
      <c r="D14">
        <v>1</v>
      </c>
      <c r="E14">
        <v>9</v>
      </c>
    </row>
    <row r="15" spans="1:7">
      <c r="C15" s="1">
        <v>41289</v>
      </c>
      <c r="D15">
        <v>1</v>
      </c>
      <c r="E15">
        <v>8</v>
      </c>
    </row>
    <row r="16" spans="1:7">
      <c r="C16" s="1">
        <v>41290</v>
      </c>
      <c r="D16">
        <v>1</v>
      </c>
      <c r="E16">
        <v>5</v>
      </c>
    </row>
    <row r="17" spans="3:5">
      <c r="C17" s="1">
        <v>41291</v>
      </c>
      <c r="D17">
        <v>1</v>
      </c>
      <c r="E17">
        <v>5</v>
      </c>
    </row>
    <row r="18" spans="3:5">
      <c r="C18" s="1">
        <v>41292</v>
      </c>
      <c r="D18">
        <v>1</v>
      </c>
      <c r="E18">
        <v>3</v>
      </c>
    </row>
    <row r="19" spans="3:5">
      <c r="C19" s="1">
        <v>41293</v>
      </c>
      <c r="D19">
        <v>1</v>
      </c>
      <c r="E19">
        <v>1</v>
      </c>
    </row>
    <row r="20" spans="3:5">
      <c r="C20" s="1">
        <v>41294</v>
      </c>
      <c r="D20">
        <v>1</v>
      </c>
      <c r="E20">
        <v>7</v>
      </c>
    </row>
    <row r="21" spans="3:5">
      <c r="C21" s="1">
        <v>41295</v>
      </c>
      <c r="D21">
        <v>1</v>
      </c>
      <c r="E21">
        <v>13</v>
      </c>
    </row>
    <row r="22" spans="3:5">
      <c r="C22" s="1">
        <v>41296</v>
      </c>
      <c r="D22">
        <v>1</v>
      </c>
      <c r="E22">
        <v>10</v>
      </c>
    </row>
    <row r="23" spans="3:5">
      <c r="C23" s="1">
        <v>41297</v>
      </c>
      <c r="D23">
        <v>1</v>
      </c>
      <c r="E23">
        <v>9</v>
      </c>
    </row>
    <row r="24" spans="3:5">
      <c r="C24" s="1">
        <v>41298</v>
      </c>
      <c r="D24">
        <v>1</v>
      </c>
      <c r="E24">
        <v>7</v>
      </c>
    </row>
    <row r="25" spans="3:5">
      <c r="C25" s="1">
        <v>41299</v>
      </c>
      <c r="D25">
        <v>1</v>
      </c>
      <c r="E25">
        <v>2</v>
      </c>
    </row>
    <row r="26" spans="3:5">
      <c r="C26" s="1">
        <v>41300</v>
      </c>
      <c r="D26">
        <v>1</v>
      </c>
      <c r="E26">
        <v>3</v>
      </c>
    </row>
    <row r="27" spans="3:5">
      <c r="C27" s="1">
        <v>41301</v>
      </c>
      <c r="D27">
        <v>1</v>
      </c>
      <c r="E27">
        <v>3</v>
      </c>
    </row>
    <row r="28" spans="3:5">
      <c r="C28" s="1">
        <v>41302</v>
      </c>
      <c r="D28">
        <v>1</v>
      </c>
      <c r="E28">
        <v>4</v>
      </c>
    </row>
    <row r="29" spans="3:5">
      <c r="C29" s="1">
        <v>41303</v>
      </c>
      <c r="D29">
        <v>2</v>
      </c>
      <c r="E29">
        <v>32</v>
      </c>
    </row>
    <row r="30" spans="3:5">
      <c r="C30" s="1">
        <v>41304</v>
      </c>
      <c r="D30">
        <v>2</v>
      </c>
      <c r="E30">
        <v>11</v>
      </c>
    </row>
    <row r="31" spans="3:5">
      <c r="C31" s="1">
        <v>41305</v>
      </c>
      <c r="D31">
        <v>2</v>
      </c>
      <c r="E31">
        <v>3</v>
      </c>
    </row>
    <row r="32" spans="3:5">
      <c r="C32" s="1">
        <v>41306</v>
      </c>
      <c r="D32">
        <v>2</v>
      </c>
      <c r="E32">
        <v>15</v>
      </c>
    </row>
    <row r="33" spans="3:5">
      <c r="C33" s="1">
        <v>41307</v>
      </c>
      <c r="D33">
        <v>2</v>
      </c>
      <c r="E33">
        <v>14</v>
      </c>
    </row>
    <row r="34" spans="3:5">
      <c r="C34" s="1">
        <v>41308</v>
      </c>
      <c r="D34">
        <v>2</v>
      </c>
      <c r="E34">
        <v>17</v>
      </c>
    </row>
    <row r="35" spans="3:5">
      <c r="C35" s="1">
        <v>41309</v>
      </c>
      <c r="D35">
        <v>2</v>
      </c>
      <c r="E35">
        <v>16</v>
      </c>
    </row>
    <row r="36" spans="3:5">
      <c r="C36" s="1">
        <v>41310</v>
      </c>
      <c r="D36">
        <v>2</v>
      </c>
      <c r="E36">
        <v>8</v>
      </c>
    </row>
    <row r="37" spans="3:5">
      <c r="C37" s="1">
        <v>41311</v>
      </c>
      <c r="D37">
        <v>2</v>
      </c>
      <c r="E37">
        <v>9</v>
      </c>
    </row>
    <row r="38" spans="3:5">
      <c r="C38" s="1">
        <v>41312</v>
      </c>
      <c r="D38">
        <v>2</v>
      </c>
      <c r="E38">
        <v>10</v>
      </c>
    </row>
    <row r="39" spans="3:5">
      <c r="C39" s="1">
        <v>41313</v>
      </c>
      <c r="D39">
        <v>2</v>
      </c>
      <c r="E39">
        <v>8</v>
      </c>
    </row>
    <row r="40" spans="3:5">
      <c r="C40" s="1">
        <v>41314</v>
      </c>
      <c r="D40">
        <v>2</v>
      </c>
      <c r="E40">
        <v>3</v>
      </c>
    </row>
    <row r="41" spans="3:5">
      <c r="C41" s="1">
        <v>41315</v>
      </c>
      <c r="D41">
        <v>2</v>
      </c>
      <c r="E41">
        <v>3</v>
      </c>
    </row>
    <row r="42" spans="3:5">
      <c r="C42" s="1">
        <v>41316</v>
      </c>
      <c r="D42">
        <v>2</v>
      </c>
      <c r="E42">
        <v>5</v>
      </c>
    </row>
    <row r="43" spans="3:5">
      <c r="C43" s="1">
        <v>41317</v>
      </c>
      <c r="D43">
        <v>2</v>
      </c>
      <c r="E43">
        <v>15</v>
      </c>
    </row>
    <row r="44" spans="3:5">
      <c r="C44" s="1">
        <v>41318</v>
      </c>
      <c r="D44">
        <v>2</v>
      </c>
      <c r="E44">
        <v>8</v>
      </c>
    </row>
    <row r="45" spans="3:5">
      <c r="C45" s="1">
        <v>41319</v>
      </c>
      <c r="D45">
        <v>2</v>
      </c>
      <c r="E45">
        <v>3</v>
      </c>
    </row>
    <row r="46" spans="3:5">
      <c r="C46" s="1">
        <v>41320</v>
      </c>
      <c r="D46">
        <v>2</v>
      </c>
      <c r="E46">
        <v>2</v>
      </c>
    </row>
    <row r="47" spans="3:5">
      <c r="C47" s="1">
        <v>41322</v>
      </c>
      <c r="D47">
        <v>2</v>
      </c>
      <c r="E47">
        <v>5</v>
      </c>
    </row>
    <row r="48" spans="3:5">
      <c r="C48" s="1">
        <v>41323</v>
      </c>
      <c r="D48">
        <v>2</v>
      </c>
      <c r="E48">
        <v>9</v>
      </c>
    </row>
    <row r="49" spans="3:5">
      <c r="C49" s="1">
        <v>41324</v>
      </c>
      <c r="D49">
        <v>3</v>
      </c>
      <c r="E49">
        <v>42</v>
      </c>
    </row>
    <row r="50" spans="3:5">
      <c r="C50" s="1">
        <v>41325</v>
      </c>
      <c r="D50">
        <v>3</v>
      </c>
      <c r="E50">
        <v>20</v>
      </c>
    </row>
    <row r="51" spans="3:5">
      <c r="C51" s="1">
        <v>41326</v>
      </c>
      <c r="D51">
        <v>3</v>
      </c>
      <c r="E51">
        <v>25</v>
      </c>
    </row>
    <row r="52" spans="3:5">
      <c r="C52" s="1">
        <v>41327</v>
      </c>
      <c r="D52">
        <v>3</v>
      </c>
      <c r="E52">
        <v>23</v>
      </c>
    </row>
    <row r="53" spans="3:5">
      <c r="C53" s="1">
        <v>41328</v>
      </c>
      <c r="D53">
        <v>3</v>
      </c>
      <c r="E53">
        <v>22</v>
      </c>
    </row>
    <row r="54" spans="3:5">
      <c r="C54" s="1">
        <v>41329</v>
      </c>
      <c r="D54">
        <v>3</v>
      </c>
      <c r="E54">
        <v>18</v>
      </c>
    </row>
    <row r="55" spans="3:5">
      <c r="C55" s="1">
        <v>41330</v>
      </c>
      <c r="D55">
        <v>3</v>
      </c>
      <c r="E55">
        <v>5</v>
      </c>
    </row>
    <row r="56" spans="3:5">
      <c r="C56" s="1">
        <v>41331</v>
      </c>
      <c r="D56">
        <v>3</v>
      </c>
      <c r="E56">
        <v>9</v>
      </c>
    </row>
    <row r="57" spans="3:5">
      <c r="C57" s="1">
        <v>41332</v>
      </c>
      <c r="D57">
        <v>3</v>
      </c>
      <c r="E57">
        <v>3</v>
      </c>
    </row>
    <row r="58" spans="3:5">
      <c r="C58" s="1">
        <v>41333</v>
      </c>
      <c r="D58">
        <v>3</v>
      </c>
      <c r="E58">
        <v>15</v>
      </c>
    </row>
    <row r="59" spans="3:5">
      <c r="C59" s="1">
        <v>41334</v>
      </c>
      <c r="D59">
        <v>3</v>
      </c>
      <c r="E59">
        <v>6</v>
      </c>
    </row>
    <row r="60" spans="3:5">
      <c r="C60" s="1">
        <v>41335</v>
      </c>
      <c r="D60">
        <v>3</v>
      </c>
      <c r="E60">
        <v>3</v>
      </c>
    </row>
    <row r="61" spans="3:5">
      <c r="C61" s="1">
        <v>41336</v>
      </c>
      <c r="D61">
        <v>3</v>
      </c>
      <c r="E61">
        <v>4</v>
      </c>
    </row>
    <row r="62" spans="3:5">
      <c r="C62" s="1">
        <v>41337</v>
      </c>
      <c r="D62">
        <v>4</v>
      </c>
      <c r="E62">
        <v>7</v>
      </c>
    </row>
    <row r="63" spans="3:5">
      <c r="C63" s="1">
        <v>41338</v>
      </c>
      <c r="D63">
        <v>4</v>
      </c>
      <c r="E63">
        <v>35</v>
      </c>
    </row>
    <row r="64" spans="3:5">
      <c r="C64" s="1">
        <v>41339</v>
      </c>
      <c r="D64">
        <v>4</v>
      </c>
      <c r="E64">
        <v>12</v>
      </c>
    </row>
    <row r="65" spans="3:5">
      <c r="C65" s="1">
        <v>41340</v>
      </c>
      <c r="D65">
        <v>4</v>
      </c>
      <c r="E65">
        <v>19</v>
      </c>
    </row>
    <row r="66" spans="3:5">
      <c r="C66" s="1">
        <v>41341</v>
      </c>
      <c r="D66">
        <v>4</v>
      </c>
      <c r="E66">
        <v>18</v>
      </c>
    </row>
    <row r="67" spans="3:5">
      <c r="C67" s="1">
        <v>41342</v>
      </c>
      <c r="D67">
        <v>4</v>
      </c>
      <c r="E67">
        <v>6</v>
      </c>
    </row>
    <row r="68" spans="3:5">
      <c r="C68" s="1">
        <v>41343</v>
      </c>
      <c r="D68">
        <v>4</v>
      </c>
      <c r="E68">
        <v>6</v>
      </c>
    </row>
    <row r="69" spans="3:5">
      <c r="C69" s="1">
        <v>41344</v>
      </c>
      <c r="D69">
        <v>4</v>
      </c>
      <c r="E69">
        <v>3</v>
      </c>
    </row>
    <row r="70" spans="3:5">
      <c r="C70" s="1">
        <v>41345</v>
      </c>
      <c r="D70">
        <v>4</v>
      </c>
      <c r="E70">
        <v>10</v>
      </c>
    </row>
    <row r="71" spans="3:5">
      <c r="C71" s="1">
        <v>41346</v>
      </c>
      <c r="D71">
        <v>4</v>
      </c>
      <c r="E71">
        <v>9</v>
      </c>
    </row>
    <row r="72" spans="3:5">
      <c r="C72" s="1">
        <v>41347</v>
      </c>
      <c r="D72">
        <v>4</v>
      </c>
      <c r="E72">
        <v>36</v>
      </c>
    </row>
    <row r="73" spans="3:5">
      <c r="C73" s="1">
        <v>41348</v>
      </c>
      <c r="D73">
        <v>4</v>
      </c>
      <c r="E73">
        <v>16</v>
      </c>
    </row>
    <row r="74" spans="3:5">
      <c r="C74" s="1">
        <v>41349</v>
      </c>
      <c r="D74">
        <v>4</v>
      </c>
      <c r="E74">
        <v>5</v>
      </c>
    </row>
    <row r="75" spans="3:5">
      <c r="C75" s="1">
        <v>41350</v>
      </c>
      <c r="D75">
        <v>4</v>
      </c>
      <c r="E75">
        <v>14</v>
      </c>
    </row>
    <row r="76" spans="3:5">
      <c r="C76" s="1">
        <v>41351</v>
      </c>
      <c r="D76">
        <v>4</v>
      </c>
      <c r="E76">
        <v>14</v>
      </c>
    </row>
    <row r="77" spans="3:5">
      <c r="C77" s="1">
        <v>41352</v>
      </c>
      <c r="D77">
        <v>5</v>
      </c>
      <c r="E77">
        <v>58</v>
      </c>
    </row>
    <row r="78" spans="3:5">
      <c r="C78" s="1">
        <v>41353</v>
      </c>
      <c r="D78">
        <v>5</v>
      </c>
      <c r="E78">
        <v>30</v>
      </c>
    </row>
    <row r="79" spans="3:5">
      <c r="C79" s="1">
        <v>41354</v>
      </c>
      <c r="D79">
        <v>5</v>
      </c>
      <c r="E79">
        <v>24</v>
      </c>
    </row>
    <row r="80" spans="3:5">
      <c r="C80" s="1">
        <v>41355</v>
      </c>
      <c r="D80">
        <v>5</v>
      </c>
      <c r="E80">
        <v>30</v>
      </c>
    </row>
    <row r="81" spans="3:5">
      <c r="C81" s="1">
        <v>41356</v>
      </c>
      <c r="D81">
        <v>5</v>
      </c>
      <c r="E81">
        <v>18</v>
      </c>
    </row>
    <row r="82" spans="3:5">
      <c r="C82" s="1">
        <v>41357</v>
      </c>
      <c r="D82">
        <v>5</v>
      </c>
      <c r="E82">
        <v>27</v>
      </c>
    </row>
    <row r="83" spans="3:5">
      <c r="C83" s="1">
        <v>41358</v>
      </c>
      <c r="D83">
        <v>5</v>
      </c>
      <c r="E83">
        <v>21</v>
      </c>
    </row>
    <row r="84" spans="3:5">
      <c r="C84" s="1">
        <v>41359</v>
      </c>
      <c r="D84">
        <v>5</v>
      </c>
      <c r="E84">
        <v>20</v>
      </c>
    </row>
    <row r="85" spans="3:5">
      <c r="C85" s="1">
        <v>41360</v>
      </c>
      <c r="D85">
        <v>5</v>
      </c>
      <c r="E85">
        <v>23</v>
      </c>
    </row>
    <row r="86" spans="3:5">
      <c r="C86" s="1">
        <v>41361</v>
      </c>
      <c r="D86">
        <v>5</v>
      </c>
      <c r="E86">
        <v>15</v>
      </c>
    </row>
    <row r="87" spans="3:5">
      <c r="C87" s="1">
        <v>41362</v>
      </c>
      <c r="D87">
        <v>5</v>
      </c>
      <c r="E87">
        <v>14</v>
      </c>
    </row>
    <row r="88" spans="3:5">
      <c r="C88" s="1">
        <v>41363</v>
      </c>
      <c r="D88">
        <v>5</v>
      </c>
      <c r="E88">
        <v>6</v>
      </c>
    </row>
    <row r="89" spans="3:5">
      <c r="C89" s="1">
        <v>41364</v>
      </c>
      <c r="D89">
        <v>5</v>
      </c>
      <c r="E89">
        <v>5</v>
      </c>
    </row>
    <row r="90" spans="3:5">
      <c r="C90" s="1">
        <v>41365</v>
      </c>
      <c r="D90">
        <v>6</v>
      </c>
      <c r="E90">
        <v>14</v>
      </c>
    </row>
    <row r="91" spans="3:5">
      <c r="C91" s="1">
        <v>41366</v>
      </c>
      <c r="D91">
        <v>6</v>
      </c>
      <c r="E91">
        <v>44</v>
      </c>
    </row>
    <row r="92" spans="3:5">
      <c r="C92" s="1">
        <v>41367</v>
      </c>
      <c r="D92">
        <v>6</v>
      </c>
      <c r="E92">
        <v>12</v>
      </c>
    </row>
    <row r="93" spans="3:5">
      <c r="C93" s="1">
        <v>41368</v>
      </c>
      <c r="D93">
        <v>6</v>
      </c>
      <c r="E93">
        <v>17</v>
      </c>
    </row>
    <row r="94" spans="3:5">
      <c r="C94" s="1">
        <v>41369</v>
      </c>
      <c r="D94">
        <v>6</v>
      </c>
      <c r="E94">
        <v>4</v>
      </c>
    </row>
    <row r="95" spans="3:5">
      <c r="C95" s="1">
        <v>41370</v>
      </c>
      <c r="D95">
        <v>6</v>
      </c>
      <c r="E95">
        <v>1</v>
      </c>
    </row>
    <row r="96" spans="3:5">
      <c r="C96" s="1">
        <v>41371</v>
      </c>
      <c r="D96">
        <v>6</v>
      </c>
      <c r="E96">
        <v>11</v>
      </c>
    </row>
    <row r="97" spans="3:5">
      <c r="C97" s="1">
        <v>41372</v>
      </c>
      <c r="D97">
        <v>6</v>
      </c>
      <c r="E97">
        <v>11</v>
      </c>
    </row>
    <row r="98" spans="3:5">
      <c r="C98" s="1">
        <v>41373</v>
      </c>
      <c r="D98">
        <v>6</v>
      </c>
      <c r="E98">
        <v>16</v>
      </c>
    </row>
    <row r="99" spans="3:5">
      <c r="C99" s="1">
        <v>41374</v>
      </c>
      <c r="D99">
        <v>6</v>
      </c>
      <c r="E99">
        <v>10</v>
      </c>
    </row>
    <row r="100" spans="3:5">
      <c r="C100" s="1">
        <v>41375</v>
      </c>
      <c r="D100">
        <v>6</v>
      </c>
      <c r="E100">
        <v>7</v>
      </c>
    </row>
    <row r="101" spans="3:5">
      <c r="C101" s="1">
        <v>41376</v>
      </c>
      <c r="D101">
        <v>6</v>
      </c>
      <c r="E101">
        <v>13</v>
      </c>
    </row>
    <row r="102" spans="3:5">
      <c r="C102" s="1">
        <v>41377</v>
      </c>
      <c r="D102">
        <v>6</v>
      </c>
      <c r="E102">
        <v>4</v>
      </c>
    </row>
    <row r="103" spans="3:5">
      <c r="C103" s="1">
        <v>41378</v>
      </c>
      <c r="D103">
        <v>6</v>
      </c>
      <c r="E103">
        <v>6</v>
      </c>
    </row>
    <row r="104" spans="3:5">
      <c r="C104" s="1">
        <v>41379</v>
      </c>
      <c r="D104">
        <v>7</v>
      </c>
      <c r="E104">
        <v>17</v>
      </c>
    </row>
    <row r="105" spans="3:5">
      <c r="C105" s="1">
        <v>41380</v>
      </c>
      <c r="D105">
        <v>7</v>
      </c>
      <c r="E105">
        <v>62</v>
      </c>
    </row>
    <row r="106" spans="3:5">
      <c r="C106" s="1">
        <v>41381</v>
      </c>
      <c r="D106">
        <v>7</v>
      </c>
      <c r="E106">
        <v>31</v>
      </c>
    </row>
    <row r="107" spans="3:5">
      <c r="C107" s="1">
        <v>41382</v>
      </c>
      <c r="D107">
        <v>7</v>
      </c>
      <c r="E107">
        <v>19</v>
      </c>
    </row>
    <row r="108" spans="3:5">
      <c r="C108" s="1">
        <v>41383</v>
      </c>
      <c r="D108">
        <v>7</v>
      </c>
      <c r="E108">
        <v>11</v>
      </c>
    </row>
    <row r="109" spans="3:5">
      <c r="C109" s="1">
        <v>41384</v>
      </c>
      <c r="D109">
        <v>7</v>
      </c>
      <c r="E109">
        <v>3</v>
      </c>
    </row>
    <row r="110" spans="3:5">
      <c r="C110" s="1">
        <v>41385</v>
      </c>
      <c r="D110">
        <v>7</v>
      </c>
      <c r="E110">
        <v>20</v>
      </c>
    </row>
    <row r="111" spans="3:5">
      <c r="C111" s="1">
        <v>41386</v>
      </c>
      <c r="D111">
        <v>7</v>
      </c>
      <c r="E111">
        <v>18</v>
      </c>
    </row>
    <row r="112" spans="3:5">
      <c r="C112" s="1">
        <v>41387</v>
      </c>
      <c r="D112">
        <v>7</v>
      </c>
      <c r="E112">
        <v>18</v>
      </c>
    </row>
    <row r="113" spans="3:5">
      <c r="C113" s="1">
        <v>41388</v>
      </c>
      <c r="D113">
        <v>7</v>
      </c>
      <c r="E113">
        <v>13</v>
      </c>
    </row>
    <row r="114" spans="3:5">
      <c r="C114" s="1">
        <v>41389</v>
      </c>
      <c r="D114">
        <v>7</v>
      </c>
      <c r="E114">
        <v>19</v>
      </c>
    </row>
    <row r="115" spans="3:5">
      <c r="C115" s="1">
        <v>41390</v>
      </c>
      <c r="D115">
        <v>7</v>
      </c>
      <c r="E115">
        <v>3</v>
      </c>
    </row>
    <row r="116" spans="3:5">
      <c r="C116" s="1">
        <v>41391</v>
      </c>
      <c r="D116">
        <v>7</v>
      </c>
      <c r="E116">
        <v>7</v>
      </c>
    </row>
    <row r="117" spans="3:5">
      <c r="C117" s="1">
        <v>41392</v>
      </c>
      <c r="D117">
        <v>7</v>
      </c>
      <c r="E117">
        <v>4</v>
      </c>
    </row>
    <row r="118" spans="3:5">
      <c r="C118" s="1">
        <v>41393</v>
      </c>
      <c r="D118">
        <v>7</v>
      </c>
      <c r="E118">
        <v>7</v>
      </c>
    </row>
    <row r="119" spans="3:5">
      <c r="C119" s="1">
        <v>41394</v>
      </c>
      <c r="D119">
        <v>8</v>
      </c>
      <c r="E119">
        <v>104</v>
      </c>
    </row>
    <row r="120" spans="3:5">
      <c r="C120" s="1">
        <v>41395</v>
      </c>
      <c r="D120">
        <v>8</v>
      </c>
      <c r="E120">
        <v>57</v>
      </c>
    </row>
    <row r="121" spans="3:5">
      <c r="C121" s="1">
        <v>41396</v>
      </c>
      <c r="D121">
        <v>8</v>
      </c>
      <c r="E121">
        <v>33</v>
      </c>
    </row>
    <row r="122" spans="3:5">
      <c r="C122" s="1">
        <v>41397</v>
      </c>
      <c r="D122">
        <v>8</v>
      </c>
      <c r="E122">
        <v>11</v>
      </c>
    </row>
    <row r="123" spans="3:5">
      <c r="C123" s="1">
        <v>41398</v>
      </c>
      <c r="D123">
        <v>8</v>
      </c>
      <c r="E123">
        <v>8</v>
      </c>
    </row>
    <row r="124" spans="3:5">
      <c r="C124" s="1">
        <v>41399</v>
      </c>
      <c r="D124">
        <v>8</v>
      </c>
      <c r="E124">
        <v>34</v>
      </c>
    </row>
    <row r="125" spans="3:5">
      <c r="C125" s="1">
        <v>41400</v>
      </c>
      <c r="D125">
        <v>8</v>
      </c>
      <c r="E125">
        <v>25</v>
      </c>
    </row>
    <row r="126" spans="3:5">
      <c r="C126" s="1">
        <v>41401</v>
      </c>
      <c r="D126">
        <v>8</v>
      </c>
      <c r="E126">
        <v>83</v>
      </c>
    </row>
    <row r="127" spans="3:5">
      <c r="C127" s="1">
        <v>41402</v>
      </c>
      <c r="D127">
        <v>8</v>
      </c>
      <c r="E127">
        <v>10</v>
      </c>
    </row>
    <row r="128" spans="3:5">
      <c r="C128" s="1">
        <v>41403</v>
      </c>
      <c r="D128">
        <v>8</v>
      </c>
      <c r="E128">
        <v>13</v>
      </c>
    </row>
    <row r="129" spans="3:5">
      <c r="C129" s="1">
        <v>41404</v>
      </c>
      <c r="D129">
        <v>8</v>
      </c>
      <c r="E129">
        <v>6</v>
      </c>
    </row>
    <row r="130" spans="3:5">
      <c r="C130" s="1">
        <v>41405</v>
      </c>
      <c r="D130">
        <v>8</v>
      </c>
      <c r="E130">
        <v>5</v>
      </c>
    </row>
    <row r="131" spans="3:5">
      <c r="C131" s="1">
        <v>41406</v>
      </c>
      <c r="D131">
        <v>8</v>
      </c>
      <c r="E131">
        <v>4</v>
      </c>
    </row>
    <row r="132" spans="3:5">
      <c r="C132" s="1">
        <v>41407</v>
      </c>
      <c r="D132">
        <v>8</v>
      </c>
      <c r="E132">
        <v>9</v>
      </c>
    </row>
    <row r="133" spans="3:5">
      <c r="C133" s="1">
        <v>41408</v>
      </c>
      <c r="D133">
        <v>8</v>
      </c>
      <c r="E133">
        <v>45</v>
      </c>
    </row>
    <row r="134" spans="3:5">
      <c r="C134" s="1">
        <v>41409</v>
      </c>
      <c r="D134">
        <v>8</v>
      </c>
      <c r="E134">
        <v>12</v>
      </c>
    </row>
    <row r="135" spans="3:5">
      <c r="C135" s="1">
        <v>41410</v>
      </c>
      <c r="D135">
        <v>8</v>
      </c>
      <c r="E135">
        <v>35</v>
      </c>
    </row>
    <row r="136" spans="3:5">
      <c r="C136" s="1">
        <v>41411</v>
      </c>
      <c r="D136">
        <v>8</v>
      </c>
      <c r="E136">
        <v>12</v>
      </c>
    </row>
    <row r="137" spans="3:5">
      <c r="C137" s="1">
        <v>41412</v>
      </c>
      <c r="D137">
        <v>8</v>
      </c>
      <c r="E137">
        <v>9</v>
      </c>
    </row>
    <row r="138" spans="3:5">
      <c r="C138" s="1">
        <v>41413</v>
      </c>
      <c r="D138">
        <v>8</v>
      </c>
      <c r="E138">
        <v>2</v>
      </c>
    </row>
    <row r="139" spans="3:5">
      <c r="C139" s="1">
        <v>41414</v>
      </c>
      <c r="D139">
        <v>8</v>
      </c>
      <c r="E139">
        <v>3</v>
      </c>
    </row>
    <row r="140" spans="3:5">
      <c r="C140" s="1">
        <v>41415</v>
      </c>
      <c r="D140">
        <v>9</v>
      </c>
      <c r="E140">
        <v>33</v>
      </c>
    </row>
    <row r="141" spans="3:5">
      <c r="C141" s="1">
        <v>41416</v>
      </c>
      <c r="D141">
        <v>9</v>
      </c>
      <c r="E141">
        <v>14</v>
      </c>
    </row>
    <row r="142" spans="3:5">
      <c r="C142" s="1">
        <v>41417</v>
      </c>
      <c r="D142">
        <v>9</v>
      </c>
      <c r="E142">
        <v>12</v>
      </c>
    </row>
    <row r="143" spans="3:5">
      <c r="C143" s="1">
        <v>41418</v>
      </c>
      <c r="D143">
        <v>9</v>
      </c>
      <c r="E143">
        <v>9</v>
      </c>
    </row>
    <row r="144" spans="3:5">
      <c r="C144" s="1">
        <v>41419</v>
      </c>
      <c r="D144">
        <v>9</v>
      </c>
      <c r="E144">
        <v>5</v>
      </c>
    </row>
    <row r="145" spans="3:5">
      <c r="C145" s="1">
        <v>41420</v>
      </c>
      <c r="D145">
        <v>9</v>
      </c>
      <c r="E145">
        <v>5</v>
      </c>
    </row>
    <row r="146" spans="3:5">
      <c r="C146" s="1">
        <v>41421</v>
      </c>
      <c r="D146">
        <v>9</v>
      </c>
      <c r="E146">
        <v>5</v>
      </c>
    </row>
    <row r="147" spans="3:5">
      <c r="C147" s="1">
        <v>41422</v>
      </c>
      <c r="D147">
        <v>9</v>
      </c>
      <c r="E147">
        <v>12</v>
      </c>
    </row>
    <row r="148" spans="3:5">
      <c r="C148" s="1">
        <v>41423</v>
      </c>
      <c r="D148">
        <v>9</v>
      </c>
      <c r="E148">
        <v>12</v>
      </c>
    </row>
    <row r="149" spans="3:5">
      <c r="C149" s="1">
        <v>41424</v>
      </c>
      <c r="D149">
        <v>9</v>
      </c>
      <c r="E149">
        <v>13</v>
      </c>
    </row>
    <row r="150" spans="3:5">
      <c r="C150" s="1">
        <v>41425</v>
      </c>
      <c r="D150">
        <v>9</v>
      </c>
      <c r="E150">
        <v>9</v>
      </c>
    </row>
    <row r="151" spans="3:5">
      <c r="C151" s="1">
        <v>41426</v>
      </c>
      <c r="D151">
        <v>9</v>
      </c>
      <c r="E151">
        <v>10</v>
      </c>
    </row>
    <row r="152" spans="3:5">
      <c r="C152" s="1">
        <v>41427</v>
      </c>
      <c r="D152">
        <v>9</v>
      </c>
      <c r="E152">
        <v>10</v>
      </c>
    </row>
    <row r="153" spans="3:5">
      <c r="C153" s="1">
        <v>41428</v>
      </c>
      <c r="D153">
        <v>9</v>
      </c>
      <c r="E153">
        <v>15</v>
      </c>
    </row>
    <row r="154" spans="3:5">
      <c r="C154" s="1">
        <v>41429</v>
      </c>
      <c r="D154">
        <v>10</v>
      </c>
      <c r="E154">
        <v>44</v>
      </c>
    </row>
    <row r="155" spans="3:5">
      <c r="C155" s="1">
        <v>41430</v>
      </c>
      <c r="D155">
        <v>10</v>
      </c>
      <c r="E155">
        <v>16</v>
      </c>
    </row>
    <row r="156" spans="3:5">
      <c r="C156" s="1">
        <v>41431</v>
      </c>
      <c r="D156">
        <v>10</v>
      </c>
      <c r="E156">
        <v>10</v>
      </c>
    </row>
    <row r="157" spans="3:5">
      <c r="C157" s="1">
        <v>41432</v>
      </c>
      <c r="D157">
        <v>10</v>
      </c>
      <c r="E157">
        <v>6</v>
      </c>
    </row>
    <row r="158" spans="3:5">
      <c r="C158" s="1">
        <v>41433</v>
      </c>
      <c r="D158">
        <v>10</v>
      </c>
      <c r="E158">
        <v>2</v>
      </c>
    </row>
    <row r="159" spans="3:5">
      <c r="C159" s="1">
        <v>41434</v>
      </c>
      <c r="D159">
        <v>10</v>
      </c>
      <c r="E159">
        <v>11</v>
      </c>
    </row>
    <row r="160" spans="3:5">
      <c r="C160" s="1">
        <v>41435</v>
      </c>
      <c r="D160">
        <v>10</v>
      </c>
      <c r="E160">
        <v>2</v>
      </c>
    </row>
    <row r="161" spans="3:5">
      <c r="C161" s="1">
        <v>41436</v>
      </c>
      <c r="D161">
        <v>10</v>
      </c>
      <c r="E161">
        <v>5</v>
      </c>
    </row>
    <row r="162" spans="3:5">
      <c r="C162" s="1">
        <v>41437</v>
      </c>
      <c r="D162">
        <v>10</v>
      </c>
      <c r="E162">
        <v>5</v>
      </c>
    </row>
    <row r="163" spans="3:5">
      <c r="C163" s="1">
        <v>41438</v>
      </c>
      <c r="D163">
        <v>10</v>
      </c>
      <c r="E163">
        <v>9</v>
      </c>
    </row>
    <row r="164" spans="3:5">
      <c r="C164" s="1">
        <v>41439</v>
      </c>
      <c r="D164">
        <v>10</v>
      </c>
      <c r="E164">
        <v>6</v>
      </c>
    </row>
    <row r="165" spans="3:5">
      <c r="C165" s="1">
        <v>41440</v>
      </c>
      <c r="D165">
        <v>10</v>
      </c>
      <c r="E165">
        <v>4</v>
      </c>
    </row>
    <row r="166" spans="3:5">
      <c r="C166" s="1">
        <v>41441</v>
      </c>
      <c r="D166">
        <v>10</v>
      </c>
      <c r="E166">
        <v>10</v>
      </c>
    </row>
    <row r="167" spans="3:5">
      <c r="C167" s="1">
        <v>41442</v>
      </c>
      <c r="D167">
        <v>10</v>
      </c>
      <c r="E167">
        <v>5</v>
      </c>
    </row>
    <row r="168" spans="3:5">
      <c r="C168" s="1">
        <v>41443</v>
      </c>
      <c r="D168">
        <v>11</v>
      </c>
      <c r="E168">
        <v>34</v>
      </c>
    </row>
    <row r="169" spans="3:5">
      <c r="C169" s="1">
        <v>41444</v>
      </c>
      <c r="D169">
        <v>11</v>
      </c>
      <c r="E169">
        <v>15</v>
      </c>
    </row>
    <row r="170" spans="3:5">
      <c r="C170" s="1">
        <v>41445</v>
      </c>
      <c r="D170">
        <v>11</v>
      </c>
      <c r="E170">
        <v>2</v>
      </c>
    </row>
    <row r="171" spans="3:5">
      <c r="C171" s="1">
        <v>41446</v>
      </c>
      <c r="D171">
        <v>11</v>
      </c>
      <c r="E171">
        <v>5</v>
      </c>
    </row>
    <row r="172" spans="3:5">
      <c r="C172" s="1">
        <v>41447</v>
      </c>
      <c r="D172">
        <v>11</v>
      </c>
      <c r="E172">
        <v>2</v>
      </c>
    </row>
    <row r="173" spans="3:5">
      <c r="C173" s="1">
        <v>41448</v>
      </c>
      <c r="D173">
        <v>11</v>
      </c>
      <c r="E173">
        <v>12</v>
      </c>
    </row>
    <row r="174" spans="3:5">
      <c r="C174" s="1">
        <v>41449</v>
      </c>
      <c r="D174">
        <v>11</v>
      </c>
      <c r="E174">
        <v>9</v>
      </c>
    </row>
    <row r="175" spans="3:5">
      <c r="C175" s="1">
        <v>41450</v>
      </c>
      <c r="D175">
        <v>11</v>
      </c>
      <c r="E175">
        <v>26</v>
      </c>
    </row>
    <row r="176" spans="3:5">
      <c r="C176" s="1">
        <v>41451</v>
      </c>
      <c r="D176">
        <v>11</v>
      </c>
      <c r="E176">
        <v>6</v>
      </c>
    </row>
    <row r="177" spans="3:5">
      <c r="C177" s="1">
        <v>41452</v>
      </c>
      <c r="D177">
        <v>11</v>
      </c>
      <c r="E177">
        <v>17</v>
      </c>
    </row>
    <row r="178" spans="3:5">
      <c r="C178" s="1">
        <v>41453</v>
      </c>
      <c r="D178">
        <v>11</v>
      </c>
      <c r="E178">
        <v>8</v>
      </c>
    </row>
    <row r="179" spans="3:5">
      <c r="C179" s="1">
        <v>41454</v>
      </c>
      <c r="D179">
        <v>11</v>
      </c>
      <c r="E179">
        <v>10</v>
      </c>
    </row>
    <row r="180" spans="3:5">
      <c r="C180" s="1">
        <v>41455</v>
      </c>
      <c r="D180">
        <v>11</v>
      </c>
      <c r="E180">
        <v>3</v>
      </c>
    </row>
    <row r="181" spans="3:5">
      <c r="C181" s="1">
        <v>41456</v>
      </c>
      <c r="D181">
        <v>11</v>
      </c>
      <c r="E181">
        <v>4</v>
      </c>
    </row>
    <row r="182" spans="3:5">
      <c r="C182" s="1">
        <v>41457</v>
      </c>
      <c r="D182">
        <v>12</v>
      </c>
      <c r="E182">
        <v>24</v>
      </c>
    </row>
    <row r="183" spans="3:5">
      <c r="C183" s="1">
        <v>41458</v>
      </c>
      <c r="D183">
        <v>12</v>
      </c>
      <c r="E183">
        <v>22</v>
      </c>
    </row>
    <row r="184" spans="3:5">
      <c r="C184" s="1">
        <v>41459</v>
      </c>
      <c r="D184">
        <v>12</v>
      </c>
      <c r="E184">
        <v>6</v>
      </c>
    </row>
    <row r="185" spans="3:5">
      <c r="C185" s="1">
        <v>41460</v>
      </c>
      <c r="D185">
        <v>12</v>
      </c>
      <c r="E185">
        <v>20</v>
      </c>
    </row>
    <row r="186" spans="3:5">
      <c r="C186" s="1">
        <v>41461</v>
      </c>
      <c r="D186">
        <v>12</v>
      </c>
      <c r="E186">
        <v>7</v>
      </c>
    </row>
    <row r="187" spans="3:5">
      <c r="C187" s="1">
        <v>41462</v>
      </c>
      <c r="D187">
        <v>12</v>
      </c>
      <c r="E187">
        <v>24</v>
      </c>
    </row>
    <row r="188" spans="3:5">
      <c r="C188" s="1">
        <v>41463</v>
      </c>
      <c r="D188">
        <v>12</v>
      </c>
      <c r="E188">
        <v>13</v>
      </c>
    </row>
    <row r="189" spans="3:5">
      <c r="C189" s="1">
        <v>41464</v>
      </c>
      <c r="D189">
        <v>12</v>
      </c>
      <c r="E189">
        <v>8</v>
      </c>
    </row>
    <row r="190" spans="3:5">
      <c r="C190" s="1">
        <v>41465</v>
      </c>
      <c r="D190">
        <v>12</v>
      </c>
      <c r="E190">
        <v>7</v>
      </c>
    </row>
    <row r="191" spans="3:5">
      <c r="C191" s="1">
        <v>41466</v>
      </c>
      <c r="D191">
        <v>12</v>
      </c>
      <c r="E191">
        <v>26</v>
      </c>
    </row>
    <row r="192" spans="3:5">
      <c r="C192" s="1">
        <v>41467</v>
      </c>
      <c r="D192">
        <v>12</v>
      </c>
      <c r="E192">
        <v>9</v>
      </c>
    </row>
    <row r="193" spans="3:5">
      <c r="C193" s="1">
        <v>41468</v>
      </c>
      <c r="D193">
        <v>12</v>
      </c>
      <c r="E193">
        <v>6</v>
      </c>
    </row>
    <row r="194" spans="3:5">
      <c r="C194" s="1">
        <v>41469</v>
      </c>
      <c r="D194">
        <v>12</v>
      </c>
      <c r="E194">
        <v>6</v>
      </c>
    </row>
    <row r="195" spans="3:5">
      <c r="C195" s="1">
        <v>41470</v>
      </c>
      <c r="D195">
        <v>12</v>
      </c>
      <c r="E195">
        <v>10</v>
      </c>
    </row>
    <row r="196" spans="3:5">
      <c r="C196" s="1">
        <v>41471</v>
      </c>
      <c r="D196">
        <v>12</v>
      </c>
      <c r="E196">
        <v>66</v>
      </c>
    </row>
    <row r="197" spans="3:5">
      <c r="C197" s="1">
        <v>41472</v>
      </c>
      <c r="D197">
        <v>12</v>
      </c>
      <c r="E197">
        <v>68</v>
      </c>
    </row>
    <row r="198" spans="3:5">
      <c r="C198" s="1">
        <v>41473</v>
      </c>
      <c r="D198">
        <v>13</v>
      </c>
      <c r="E198">
        <v>52</v>
      </c>
    </row>
    <row r="199" spans="3:5">
      <c r="C199" s="1">
        <v>41474</v>
      </c>
      <c r="D199">
        <v>13</v>
      </c>
      <c r="E199">
        <v>17</v>
      </c>
    </row>
    <row r="200" spans="3:5">
      <c r="C200" s="1">
        <v>41475</v>
      </c>
      <c r="D200">
        <v>13</v>
      </c>
      <c r="E200">
        <v>4</v>
      </c>
    </row>
    <row r="201" spans="3:5">
      <c r="C201" s="1">
        <v>41476</v>
      </c>
      <c r="D201">
        <v>13</v>
      </c>
      <c r="E201">
        <v>18</v>
      </c>
    </row>
    <row r="202" spans="3:5">
      <c r="C202" s="1">
        <v>41477</v>
      </c>
      <c r="D202">
        <v>13</v>
      </c>
      <c r="E202">
        <v>13</v>
      </c>
    </row>
    <row r="203" spans="3:5">
      <c r="C203" s="1">
        <v>41478</v>
      </c>
      <c r="D203">
        <v>13</v>
      </c>
      <c r="E203">
        <v>12</v>
      </c>
    </row>
    <row r="204" spans="3:5">
      <c r="C204" s="1">
        <v>41479</v>
      </c>
      <c r="D204">
        <v>13</v>
      </c>
      <c r="E204">
        <v>4</v>
      </c>
    </row>
    <row r="205" spans="3:5">
      <c r="C205" s="1">
        <v>41480</v>
      </c>
      <c r="D205">
        <v>13</v>
      </c>
      <c r="E205">
        <v>28</v>
      </c>
    </row>
    <row r="206" spans="3:5">
      <c r="C206" s="1">
        <v>41481</v>
      </c>
      <c r="D206">
        <v>13</v>
      </c>
      <c r="E206">
        <v>5</v>
      </c>
    </row>
    <row r="207" spans="3:5">
      <c r="C207" s="1">
        <v>41482</v>
      </c>
      <c r="D207">
        <v>13</v>
      </c>
      <c r="E207">
        <v>1</v>
      </c>
    </row>
    <row r="208" spans="3:5">
      <c r="C208" s="1">
        <v>41483</v>
      </c>
      <c r="D208">
        <v>13</v>
      </c>
      <c r="E208">
        <v>15</v>
      </c>
    </row>
    <row r="209" spans="3:5">
      <c r="C209" s="1">
        <v>41484</v>
      </c>
      <c r="D209">
        <v>13</v>
      </c>
      <c r="E209">
        <v>9</v>
      </c>
    </row>
    <row r="210" spans="3:5">
      <c r="C210" s="1">
        <v>41485</v>
      </c>
      <c r="D210">
        <v>13</v>
      </c>
      <c r="E210">
        <v>15</v>
      </c>
    </row>
    <row r="211" spans="3:5">
      <c r="C211" s="1">
        <v>41486</v>
      </c>
      <c r="D211">
        <v>13</v>
      </c>
      <c r="E211">
        <v>7</v>
      </c>
    </row>
    <row r="212" spans="3:5">
      <c r="C212" s="1">
        <v>41487</v>
      </c>
      <c r="D212">
        <v>13</v>
      </c>
      <c r="E212">
        <v>7</v>
      </c>
    </row>
    <row r="213" spans="3:5">
      <c r="C213" s="1">
        <v>41488</v>
      </c>
      <c r="D213">
        <v>13</v>
      </c>
      <c r="E213">
        <v>4</v>
      </c>
    </row>
    <row r="214" spans="3:5">
      <c r="C214" s="1">
        <v>41489</v>
      </c>
      <c r="D214">
        <v>13</v>
      </c>
      <c r="E214">
        <v>3</v>
      </c>
    </row>
    <row r="215" spans="3:5">
      <c r="C215" s="1">
        <v>41490</v>
      </c>
      <c r="D215">
        <v>13</v>
      </c>
      <c r="E215">
        <v>18</v>
      </c>
    </row>
    <row r="216" spans="3:5">
      <c r="C216" s="1">
        <v>41491</v>
      </c>
      <c r="D216">
        <v>13</v>
      </c>
      <c r="E216">
        <v>3</v>
      </c>
    </row>
    <row r="217" spans="3:5">
      <c r="C217" s="1">
        <v>41492</v>
      </c>
      <c r="D217">
        <v>13</v>
      </c>
      <c r="E217">
        <v>7</v>
      </c>
    </row>
    <row r="218" spans="3:5">
      <c r="C218" s="1">
        <v>41493</v>
      </c>
      <c r="D218">
        <v>13</v>
      </c>
      <c r="E218">
        <v>2</v>
      </c>
    </row>
    <row r="219" spans="3:5">
      <c r="C219" s="1">
        <v>41494</v>
      </c>
      <c r="D219">
        <v>13</v>
      </c>
      <c r="E219">
        <v>12</v>
      </c>
    </row>
    <row r="220" spans="3:5">
      <c r="C220" s="1">
        <v>41495</v>
      </c>
      <c r="D220">
        <v>13</v>
      </c>
      <c r="E220">
        <v>17</v>
      </c>
    </row>
    <row r="221" spans="3:5">
      <c r="C221" s="1">
        <v>41496</v>
      </c>
      <c r="D221">
        <v>13</v>
      </c>
      <c r="E221">
        <v>15</v>
      </c>
    </row>
    <row r="222" spans="3:5">
      <c r="C222" s="1">
        <v>41497</v>
      </c>
      <c r="D222">
        <v>13</v>
      </c>
      <c r="E222">
        <v>3</v>
      </c>
    </row>
    <row r="223" spans="3:5">
      <c r="C223" s="1">
        <v>41498</v>
      </c>
      <c r="D223">
        <v>13</v>
      </c>
      <c r="E223">
        <v>7</v>
      </c>
    </row>
    <row r="224" spans="3:5">
      <c r="C224" s="1">
        <v>41499</v>
      </c>
      <c r="D224">
        <v>14</v>
      </c>
      <c r="E224">
        <v>14</v>
      </c>
    </row>
    <row r="225" spans="3:5">
      <c r="C225" s="1">
        <v>41500</v>
      </c>
      <c r="D225">
        <v>14</v>
      </c>
      <c r="E225">
        <v>9</v>
      </c>
    </row>
    <row r="226" spans="3:5">
      <c r="C226" s="1">
        <v>41501</v>
      </c>
      <c r="D226">
        <v>14</v>
      </c>
      <c r="E226">
        <v>7</v>
      </c>
    </row>
    <row r="227" spans="3:5">
      <c r="C227" s="1">
        <v>41502</v>
      </c>
      <c r="D227">
        <v>14</v>
      </c>
      <c r="E227">
        <v>6</v>
      </c>
    </row>
    <row r="228" spans="3:5">
      <c r="C228" s="1">
        <v>41503</v>
      </c>
      <c r="D228">
        <v>14</v>
      </c>
      <c r="E228">
        <v>2</v>
      </c>
    </row>
    <row r="229" spans="3:5">
      <c r="C229" s="1">
        <v>41504</v>
      </c>
      <c r="D229">
        <v>14</v>
      </c>
      <c r="E229">
        <v>6</v>
      </c>
    </row>
    <row r="230" spans="3:5">
      <c r="C230" s="1">
        <v>41505</v>
      </c>
      <c r="D230">
        <v>14</v>
      </c>
      <c r="E230">
        <v>5</v>
      </c>
    </row>
    <row r="231" spans="3:5">
      <c r="C231" s="1">
        <v>41506</v>
      </c>
      <c r="D231">
        <v>14</v>
      </c>
      <c r="E231">
        <v>23</v>
      </c>
    </row>
    <row r="232" spans="3:5">
      <c r="C232" s="1">
        <v>41507</v>
      </c>
      <c r="D232">
        <v>14</v>
      </c>
      <c r="E232">
        <v>11</v>
      </c>
    </row>
    <row r="233" spans="3:5">
      <c r="C233" s="1">
        <v>41508</v>
      </c>
      <c r="D233">
        <v>14</v>
      </c>
      <c r="E233">
        <v>11</v>
      </c>
    </row>
    <row r="234" spans="3:5">
      <c r="C234" s="1">
        <v>41509</v>
      </c>
      <c r="D234">
        <v>14</v>
      </c>
      <c r="E234">
        <v>5</v>
      </c>
    </row>
    <row r="235" spans="3:5">
      <c r="C235" s="1">
        <v>41510</v>
      </c>
      <c r="D235">
        <v>14</v>
      </c>
      <c r="E235">
        <v>5</v>
      </c>
    </row>
    <row r="236" spans="3:5">
      <c r="C236" s="1">
        <v>41511</v>
      </c>
      <c r="D236">
        <v>14</v>
      </c>
      <c r="E236">
        <v>16</v>
      </c>
    </row>
    <row r="237" spans="3:5">
      <c r="C237" s="1">
        <v>41512</v>
      </c>
      <c r="D237">
        <v>14</v>
      </c>
      <c r="E237">
        <v>5</v>
      </c>
    </row>
    <row r="238" spans="3:5">
      <c r="C238" s="1">
        <v>41513</v>
      </c>
      <c r="D238">
        <v>14</v>
      </c>
      <c r="E238">
        <v>5</v>
      </c>
    </row>
    <row r="239" spans="3:5">
      <c r="C239" s="1">
        <v>41514</v>
      </c>
      <c r="D239">
        <v>14</v>
      </c>
      <c r="E239">
        <v>3</v>
      </c>
    </row>
    <row r="240" spans="3:5">
      <c r="C240" s="1">
        <v>41515</v>
      </c>
      <c r="D240">
        <v>15</v>
      </c>
      <c r="E240">
        <v>4</v>
      </c>
    </row>
    <row r="241" spans="3:5">
      <c r="C241" s="1">
        <v>41516</v>
      </c>
      <c r="D241">
        <v>15</v>
      </c>
      <c r="E241">
        <v>3</v>
      </c>
    </row>
    <row r="242" spans="3:5">
      <c r="C242" s="1">
        <v>41517</v>
      </c>
      <c r="D242">
        <v>15</v>
      </c>
      <c r="E242">
        <v>38</v>
      </c>
    </row>
    <row r="243" spans="3:5">
      <c r="C243" s="1">
        <v>41518</v>
      </c>
      <c r="D243">
        <v>15</v>
      </c>
      <c r="E243">
        <v>9</v>
      </c>
    </row>
    <row r="244" spans="3:5">
      <c r="C244" s="1">
        <v>41519</v>
      </c>
      <c r="D244">
        <v>15</v>
      </c>
      <c r="E244">
        <v>18</v>
      </c>
    </row>
    <row r="245" spans="3:5">
      <c r="C245" s="1">
        <v>41520</v>
      </c>
      <c r="D245">
        <v>15</v>
      </c>
      <c r="E245">
        <v>23</v>
      </c>
    </row>
    <row r="246" spans="3:5">
      <c r="C246" s="1">
        <v>41521</v>
      </c>
      <c r="D246">
        <v>15</v>
      </c>
      <c r="E246">
        <v>19</v>
      </c>
    </row>
    <row r="247" spans="3:5">
      <c r="C247" s="1">
        <v>41522</v>
      </c>
      <c r="D247">
        <v>15</v>
      </c>
      <c r="E247">
        <v>8</v>
      </c>
    </row>
    <row r="248" spans="3:5">
      <c r="C248" s="1">
        <v>41523</v>
      </c>
      <c r="D248">
        <v>15</v>
      </c>
      <c r="E248">
        <v>6</v>
      </c>
    </row>
    <row r="249" spans="3:5">
      <c r="C249" s="1">
        <v>41524</v>
      </c>
      <c r="D249">
        <v>15</v>
      </c>
      <c r="E249">
        <v>4</v>
      </c>
    </row>
    <row r="250" spans="3:5">
      <c r="C250" s="1">
        <v>41525</v>
      </c>
      <c r="D250">
        <v>15</v>
      </c>
      <c r="E250">
        <v>14</v>
      </c>
    </row>
    <row r="251" spans="3:5">
      <c r="C251" s="1">
        <v>41526</v>
      </c>
      <c r="D251">
        <v>15</v>
      </c>
      <c r="E251">
        <v>6</v>
      </c>
    </row>
    <row r="252" spans="3:5">
      <c r="C252" s="1">
        <v>41527</v>
      </c>
      <c r="D252">
        <v>15</v>
      </c>
      <c r="E252">
        <v>5</v>
      </c>
    </row>
    <row r="253" spans="3:5">
      <c r="C253" s="1">
        <v>41528</v>
      </c>
      <c r="D253">
        <v>15</v>
      </c>
      <c r="E253">
        <v>8</v>
      </c>
    </row>
    <row r="254" spans="3:5">
      <c r="C254" s="1">
        <v>41529</v>
      </c>
      <c r="D254">
        <v>15</v>
      </c>
      <c r="E254">
        <v>9</v>
      </c>
    </row>
    <row r="255" spans="3:5">
      <c r="C255" s="1">
        <v>41530</v>
      </c>
      <c r="D255">
        <v>15</v>
      </c>
      <c r="E255">
        <v>8</v>
      </c>
    </row>
    <row r="256" spans="3:5">
      <c r="C256" s="1">
        <v>41531</v>
      </c>
      <c r="D256">
        <v>15</v>
      </c>
      <c r="E256">
        <v>8</v>
      </c>
    </row>
    <row r="257" spans="3:5">
      <c r="C257" s="1">
        <v>41532</v>
      </c>
      <c r="D257">
        <v>15</v>
      </c>
      <c r="E257">
        <v>2</v>
      </c>
    </row>
    <row r="258" spans="3:5">
      <c r="C258" s="1">
        <v>41533</v>
      </c>
      <c r="D258">
        <v>16</v>
      </c>
      <c r="E258">
        <v>4</v>
      </c>
    </row>
    <row r="259" spans="3:5">
      <c r="C259" s="1">
        <v>41534</v>
      </c>
      <c r="D259">
        <v>16</v>
      </c>
      <c r="E259">
        <v>25</v>
      </c>
    </row>
    <row r="260" spans="3:5">
      <c r="C260" s="1">
        <v>41535</v>
      </c>
      <c r="D260">
        <v>16</v>
      </c>
      <c r="E260">
        <v>13</v>
      </c>
    </row>
    <row r="261" spans="3:5">
      <c r="C261" s="1">
        <v>41536</v>
      </c>
      <c r="D261">
        <v>16</v>
      </c>
      <c r="E261">
        <v>20</v>
      </c>
    </row>
    <row r="262" spans="3:5">
      <c r="C262" s="1">
        <v>41537</v>
      </c>
      <c r="D262">
        <v>16</v>
      </c>
      <c r="E262">
        <v>9</v>
      </c>
    </row>
    <row r="263" spans="3:5">
      <c r="C263" s="1">
        <v>41538</v>
      </c>
      <c r="D263">
        <v>16</v>
      </c>
      <c r="E263">
        <v>4</v>
      </c>
    </row>
    <row r="264" spans="3:5">
      <c r="C264" s="1">
        <v>41539</v>
      </c>
      <c r="D264">
        <v>16</v>
      </c>
      <c r="E264">
        <v>5</v>
      </c>
    </row>
    <row r="265" spans="3:5">
      <c r="C265" s="1">
        <v>41540</v>
      </c>
      <c r="D265">
        <v>16</v>
      </c>
      <c r="E265">
        <v>14</v>
      </c>
    </row>
    <row r="266" spans="3:5">
      <c r="C266" s="1">
        <v>41541</v>
      </c>
      <c r="D266">
        <v>16</v>
      </c>
      <c r="E266">
        <v>16</v>
      </c>
    </row>
    <row r="267" spans="3:5">
      <c r="C267" s="1">
        <v>41542</v>
      </c>
      <c r="D267">
        <v>16</v>
      </c>
      <c r="E267">
        <v>14</v>
      </c>
    </row>
    <row r="268" spans="3:5">
      <c r="C268" s="1">
        <v>41543</v>
      </c>
      <c r="D268">
        <v>16</v>
      </c>
      <c r="E268">
        <v>16</v>
      </c>
    </row>
    <row r="269" spans="3:5">
      <c r="C269" s="1">
        <v>41544</v>
      </c>
      <c r="D269">
        <v>16</v>
      </c>
      <c r="E269">
        <v>15</v>
      </c>
    </row>
    <row r="270" spans="3:5">
      <c r="C270" s="1">
        <v>41545</v>
      </c>
      <c r="D270">
        <v>16</v>
      </c>
      <c r="E270">
        <v>21</v>
      </c>
    </row>
    <row r="271" spans="3:5">
      <c r="C271" s="1">
        <v>41546</v>
      </c>
      <c r="D271">
        <v>16</v>
      </c>
      <c r="E271">
        <v>22</v>
      </c>
    </row>
    <row r="272" spans="3:5">
      <c r="C272" s="1">
        <v>41547</v>
      </c>
      <c r="D272">
        <v>17</v>
      </c>
      <c r="E272">
        <v>34</v>
      </c>
    </row>
    <row r="273" spans="3:5">
      <c r="C273" s="1">
        <v>41548</v>
      </c>
      <c r="D273">
        <v>17</v>
      </c>
      <c r="E273">
        <v>12</v>
      </c>
    </row>
    <row r="274" spans="3:5">
      <c r="C274" s="1">
        <v>41549</v>
      </c>
      <c r="D274">
        <v>17</v>
      </c>
      <c r="E274">
        <v>13</v>
      </c>
    </row>
    <row r="275" spans="3:5">
      <c r="C275" s="1">
        <v>41550</v>
      </c>
      <c r="D275">
        <v>17</v>
      </c>
      <c r="E275">
        <v>22</v>
      </c>
    </row>
    <row r="276" spans="3:5">
      <c r="C276" s="1">
        <v>41551</v>
      </c>
      <c r="D276">
        <v>17</v>
      </c>
      <c r="E276">
        <v>24</v>
      </c>
    </row>
    <row r="277" spans="3:5">
      <c r="C277" s="1">
        <v>41552</v>
      </c>
      <c r="D277">
        <v>17</v>
      </c>
      <c r="E277">
        <v>15</v>
      </c>
    </row>
    <row r="278" spans="3:5">
      <c r="C278" s="1">
        <v>41553</v>
      </c>
      <c r="D278">
        <v>17</v>
      </c>
      <c r="E278">
        <v>16</v>
      </c>
    </row>
    <row r="279" spans="3:5">
      <c r="C279" s="1">
        <v>41554</v>
      </c>
      <c r="D279">
        <v>17</v>
      </c>
      <c r="E279">
        <v>17</v>
      </c>
    </row>
    <row r="280" spans="3:5">
      <c r="C280" s="1">
        <v>41555</v>
      </c>
      <c r="D280">
        <v>17</v>
      </c>
      <c r="E280">
        <v>17</v>
      </c>
    </row>
    <row r="281" spans="3:5">
      <c r="C281" s="1">
        <v>41556</v>
      </c>
      <c r="D281">
        <v>17</v>
      </c>
      <c r="E281">
        <v>27</v>
      </c>
    </row>
    <row r="282" spans="3:5">
      <c r="C282" s="1">
        <v>41557</v>
      </c>
      <c r="D282">
        <v>17</v>
      </c>
      <c r="E282">
        <v>26</v>
      </c>
    </row>
    <row r="283" spans="3:5">
      <c r="C283" s="1">
        <v>41558</v>
      </c>
      <c r="D283">
        <v>17</v>
      </c>
      <c r="E283">
        <v>27</v>
      </c>
    </row>
    <row r="284" spans="3:5">
      <c r="C284" s="1">
        <v>41559</v>
      </c>
      <c r="D284">
        <v>17</v>
      </c>
      <c r="E284">
        <v>25</v>
      </c>
    </row>
    <row r="285" spans="3:5">
      <c r="C285" s="1">
        <v>41560</v>
      </c>
      <c r="D285">
        <v>17</v>
      </c>
      <c r="E285">
        <v>22</v>
      </c>
    </row>
    <row r="286" spans="3:5">
      <c r="C286" s="1">
        <v>41561</v>
      </c>
      <c r="D286">
        <v>17</v>
      </c>
      <c r="E286">
        <v>23</v>
      </c>
    </row>
    <row r="287" spans="3:5">
      <c r="C287" s="1">
        <v>41562</v>
      </c>
      <c r="D287">
        <v>17</v>
      </c>
      <c r="E287">
        <v>29</v>
      </c>
    </row>
    <row r="288" spans="3:5">
      <c r="C288" s="1">
        <v>41563</v>
      </c>
      <c r="D288">
        <v>17</v>
      </c>
      <c r="E288">
        <v>26</v>
      </c>
    </row>
    <row r="289" spans="3:5">
      <c r="C289" s="1">
        <v>41564</v>
      </c>
      <c r="D289">
        <v>17</v>
      </c>
      <c r="E289">
        <v>23</v>
      </c>
    </row>
    <row r="290" spans="3:5">
      <c r="C290" s="1">
        <v>41565</v>
      </c>
      <c r="D290">
        <v>17</v>
      </c>
      <c r="E290">
        <v>38</v>
      </c>
    </row>
    <row r="291" spans="3:5">
      <c r="C291" s="1">
        <v>41566</v>
      </c>
      <c r="D291">
        <v>17</v>
      </c>
      <c r="E291">
        <v>14</v>
      </c>
    </row>
    <row r="292" spans="3:5">
      <c r="C292" s="1">
        <v>41567</v>
      </c>
      <c r="D292">
        <v>17</v>
      </c>
      <c r="E292">
        <v>14</v>
      </c>
    </row>
    <row r="293" spans="3:5">
      <c r="C293" s="1">
        <v>41568</v>
      </c>
      <c r="D293">
        <v>17</v>
      </c>
      <c r="E293">
        <v>49</v>
      </c>
    </row>
    <row r="294" spans="3:5">
      <c r="C294" s="1">
        <v>41569</v>
      </c>
      <c r="D294">
        <v>17</v>
      </c>
      <c r="E294">
        <v>59</v>
      </c>
    </row>
    <row r="295" spans="3:5">
      <c r="C295" s="1">
        <v>41570</v>
      </c>
      <c r="D295">
        <v>17</v>
      </c>
      <c r="E295">
        <v>32</v>
      </c>
    </row>
    <row r="296" spans="3:5">
      <c r="C296" s="1">
        <v>41571</v>
      </c>
      <c r="D296">
        <v>17</v>
      </c>
      <c r="E296">
        <v>27</v>
      </c>
    </row>
    <row r="297" spans="3:5">
      <c r="C297" s="1">
        <v>41572</v>
      </c>
      <c r="D297">
        <v>17</v>
      </c>
      <c r="E297">
        <v>29</v>
      </c>
    </row>
    <row r="298" spans="3:5">
      <c r="C298" s="1">
        <v>41573</v>
      </c>
      <c r="D298">
        <v>17</v>
      </c>
      <c r="E298">
        <v>37</v>
      </c>
    </row>
    <row r="299" spans="3:5">
      <c r="C299" s="1">
        <v>41574</v>
      </c>
      <c r="D299">
        <v>17</v>
      </c>
      <c r="E299">
        <v>22</v>
      </c>
    </row>
    <row r="300" spans="3:5">
      <c r="C300" s="1">
        <v>41575</v>
      </c>
      <c r="D300">
        <v>17</v>
      </c>
      <c r="E300">
        <v>26</v>
      </c>
    </row>
    <row r="301" spans="3:5">
      <c r="C301" s="1">
        <v>41576</v>
      </c>
      <c r="D301">
        <v>17</v>
      </c>
      <c r="E301">
        <v>19</v>
      </c>
    </row>
    <row r="302" spans="3:5">
      <c r="C302" s="1">
        <v>41577</v>
      </c>
      <c r="D302">
        <v>17</v>
      </c>
      <c r="E302">
        <v>79</v>
      </c>
    </row>
    <row r="303" spans="3:5">
      <c r="C303" s="1">
        <v>41578</v>
      </c>
      <c r="D303">
        <v>17</v>
      </c>
      <c r="E303">
        <v>57</v>
      </c>
    </row>
    <row r="304" spans="3:5">
      <c r="C304" s="1">
        <v>41579</v>
      </c>
      <c r="D304">
        <v>17</v>
      </c>
      <c r="E304">
        <v>26</v>
      </c>
    </row>
    <row r="305" spans="3:5">
      <c r="C305" s="1">
        <v>41580</v>
      </c>
      <c r="D305">
        <v>17</v>
      </c>
      <c r="E305">
        <v>16</v>
      </c>
    </row>
    <row r="306" spans="3:5">
      <c r="C306" s="1">
        <v>41581</v>
      </c>
      <c r="D306">
        <v>17</v>
      </c>
      <c r="E306">
        <v>29</v>
      </c>
    </row>
    <row r="307" spans="3:5">
      <c r="C307" s="1">
        <v>41582</v>
      </c>
      <c r="D307">
        <v>17</v>
      </c>
      <c r="E307">
        <v>20</v>
      </c>
    </row>
    <row r="308" spans="3:5">
      <c r="C308" s="1">
        <v>41583</v>
      </c>
      <c r="D308">
        <v>18</v>
      </c>
      <c r="E308">
        <v>55</v>
      </c>
    </row>
    <row r="309" spans="3:5">
      <c r="C309" s="1">
        <v>41584</v>
      </c>
      <c r="D309">
        <v>18</v>
      </c>
      <c r="E309">
        <v>29</v>
      </c>
    </row>
    <row r="310" spans="3:5">
      <c r="C310" s="1">
        <v>41585</v>
      </c>
      <c r="D310">
        <v>18</v>
      </c>
      <c r="E310">
        <v>17</v>
      </c>
    </row>
    <row r="311" spans="3:5">
      <c r="C311" s="1">
        <v>41586</v>
      </c>
      <c r="D311">
        <v>18</v>
      </c>
      <c r="E311">
        <v>22</v>
      </c>
    </row>
    <row r="312" spans="3:5">
      <c r="C312" s="1">
        <v>41587</v>
      </c>
      <c r="D312">
        <v>18</v>
      </c>
      <c r="E312">
        <v>12</v>
      </c>
    </row>
    <row r="313" spans="3:5">
      <c r="C313" s="1">
        <v>41588</v>
      </c>
      <c r="D313">
        <v>18</v>
      </c>
      <c r="E313">
        <v>20</v>
      </c>
    </row>
    <row r="314" spans="3:5">
      <c r="C314" s="1">
        <v>41589</v>
      </c>
      <c r="D314">
        <v>18</v>
      </c>
      <c r="E314">
        <v>13</v>
      </c>
    </row>
    <row r="315" spans="3:5">
      <c r="C315" s="1">
        <v>41590</v>
      </c>
      <c r="D315">
        <v>18</v>
      </c>
      <c r="E315">
        <v>20</v>
      </c>
    </row>
    <row r="316" spans="3:5">
      <c r="C316" s="1">
        <v>41591</v>
      </c>
      <c r="D316">
        <v>18</v>
      </c>
      <c r="E316">
        <v>15</v>
      </c>
    </row>
    <row r="317" spans="3:5">
      <c r="C317" s="1">
        <v>41592</v>
      </c>
      <c r="D317">
        <v>18</v>
      </c>
      <c r="E317">
        <v>30</v>
      </c>
    </row>
    <row r="318" spans="3:5">
      <c r="C318" s="1">
        <v>41593</v>
      </c>
      <c r="D318">
        <v>18</v>
      </c>
      <c r="E318">
        <v>23</v>
      </c>
    </row>
    <row r="319" spans="3:5">
      <c r="C319" s="1">
        <v>41594</v>
      </c>
      <c r="D319">
        <v>18</v>
      </c>
      <c r="E319">
        <v>12</v>
      </c>
    </row>
    <row r="320" spans="3:5">
      <c r="C320" s="1">
        <v>41595</v>
      </c>
      <c r="D320">
        <v>18</v>
      </c>
      <c r="E320">
        <v>13</v>
      </c>
    </row>
    <row r="321" spans="3:5">
      <c r="C321" s="1">
        <v>41596</v>
      </c>
      <c r="D321">
        <v>18</v>
      </c>
      <c r="E321">
        <v>22</v>
      </c>
    </row>
    <row r="322" spans="3:5">
      <c r="C322" s="1">
        <v>41597</v>
      </c>
      <c r="D322">
        <v>18</v>
      </c>
      <c r="E322">
        <v>33</v>
      </c>
    </row>
    <row r="323" spans="3:5">
      <c r="C323" s="1">
        <v>41598</v>
      </c>
      <c r="D323">
        <v>18</v>
      </c>
      <c r="E323">
        <v>29</v>
      </c>
    </row>
    <row r="324" spans="3:5">
      <c r="C324" s="1">
        <v>41599</v>
      </c>
      <c r="D324">
        <v>18</v>
      </c>
      <c r="E324">
        <v>49</v>
      </c>
    </row>
    <row r="325" spans="3:5">
      <c r="C325" s="1">
        <v>41600</v>
      </c>
      <c r="D325">
        <v>18</v>
      </c>
      <c r="E325">
        <v>25</v>
      </c>
    </row>
    <row r="326" spans="3:5">
      <c r="C326" s="1">
        <v>41601</v>
      </c>
      <c r="D326">
        <v>18</v>
      </c>
      <c r="E326">
        <v>21</v>
      </c>
    </row>
    <row r="327" spans="3:5">
      <c r="C327" s="1">
        <v>41602</v>
      </c>
      <c r="D327">
        <v>18</v>
      </c>
      <c r="E327">
        <v>23</v>
      </c>
    </row>
    <row r="328" spans="3:5">
      <c r="C328" s="1">
        <v>41603</v>
      </c>
      <c r="D328">
        <v>18</v>
      </c>
      <c r="E328">
        <v>13</v>
      </c>
    </row>
    <row r="329" spans="3:5">
      <c r="C329" s="1">
        <v>41604</v>
      </c>
      <c r="D329">
        <v>18</v>
      </c>
      <c r="E329">
        <v>64</v>
      </c>
    </row>
    <row r="330" spans="3:5">
      <c r="C330" s="1">
        <v>41605</v>
      </c>
      <c r="D330">
        <v>18</v>
      </c>
      <c r="E330">
        <v>22</v>
      </c>
    </row>
    <row r="331" spans="3:5">
      <c r="C331" s="1">
        <v>41606</v>
      </c>
      <c r="D331">
        <v>18</v>
      </c>
      <c r="E331">
        <v>107</v>
      </c>
    </row>
    <row r="332" spans="3:5">
      <c r="C332" s="1">
        <v>41607</v>
      </c>
      <c r="D332">
        <v>18</v>
      </c>
      <c r="E332">
        <v>316</v>
      </c>
    </row>
    <row r="333" spans="3:5">
      <c r="C333" s="1">
        <v>41608</v>
      </c>
      <c r="D333">
        <v>18</v>
      </c>
      <c r="E333">
        <v>77</v>
      </c>
    </row>
    <row r="334" spans="3:5">
      <c r="C334" s="1">
        <v>41609</v>
      </c>
      <c r="D334">
        <v>18</v>
      </c>
      <c r="E334">
        <v>36</v>
      </c>
    </row>
    <row r="335" spans="3:5">
      <c r="C335" s="1">
        <v>41610</v>
      </c>
      <c r="D335">
        <v>18</v>
      </c>
      <c r="E335">
        <v>58</v>
      </c>
    </row>
    <row r="336" spans="3:5">
      <c r="C336" s="1">
        <v>41611</v>
      </c>
      <c r="D336">
        <v>18</v>
      </c>
      <c r="E336">
        <v>13</v>
      </c>
    </row>
    <row r="337" spans="3:5">
      <c r="C337" s="1">
        <v>41612</v>
      </c>
      <c r="D337">
        <v>18</v>
      </c>
      <c r="E337">
        <v>5</v>
      </c>
    </row>
    <row r="338" spans="3:5">
      <c r="C338" s="1">
        <v>41613</v>
      </c>
      <c r="D338">
        <v>18</v>
      </c>
      <c r="E338">
        <v>6</v>
      </c>
    </row>
    <row r="339" spans="3:5">
      <c r="C339" s="1">
        <v>41614</v>
      </c>
      <c r="D339">
        <v>18</v>
      </c>
      <c r="E339">
        <v>15</v>
      </c>
    </row>
    <row r="340" spans="3:5">
      <c r="C340" s="1">
        <v>41615</v>
      </c>
      <c r="D340">
        <v>18</v>
      </c>
      <c r="E340">
        <v>12</v>
      </c>
    </row>
    <row r="341" spans="3:5">
      <c r="C341" s="1">
        <v>41616</v>
      </c>
      <c r="D341">
        <v>18</v>
      </c>
      <c r="E341">
        <v>7</v>
      </c>
    </row>
    <row r="342" spans="3:5">
      <c r="C342" s="1">
        <v>41617</v>
      </c>
      <c r="D342">
        <v>18</v>
      </c>
      <c r="E342">
        <v>10</v>
      </c>
    </row>
    <row r="343" spans="3:5">
      <c r="C343" s="1">
        <v>41618</v>
      </c>
      <c r="D343">
        <v>19</v>
      </c>
      <c r="E343">
        <v>31</v>
      </c>
    </row>
    <row r="344" spans="3:5">
      <c r="C344" s="1">
        <v>41619</v>
      </c>
      <c r="D344">
        <v>19</v>
      </c>
      <c r="E344">
        <v>23</v>
      </c>
    </row>
    <row r="345" spans="3:5">
      <c r="C345" s="1">
        <v>41620</v>
      </c>
      <c r="D345">
        <v>19</v>
      </c>
      <c r="E345">
        <v>30</v>
      </c>
    </row>
    <row r="346" spans="3:5">
      <c r="C346" s="1">
        <v>41621</v>
      </c>
      <c r="D346">
        <v>19</v>
      </c>
      <c r="E346">
        <v>40</v>
      </c>
    </row>
    <row r="347" spans="3:5">
      <c r="C347" s="1">
        <v>41622</v>
      </c>
      <c r="D347">
        <v>19</v>
      </c>
      <c r="E347">
        <v>41</v>
      </c>
    </row>
    <row r="348" spans="3:5">
      <c r="C348" s="1">
        <v>41623</v>
      </c>
      <c r="D348">
        <v>19</v>
      </c>
      <c r="E348">
        <v>16</v>
      </c>
    </row>
    <row r="349" spans="3:5">
      <c r="C349" s="1">
        <v>41624</v>
      </c>
      <c r="D349">
        <v>19</v>
      </c>
      <c r="E349">
        <v>51</v>
      </c>
    </row>
    <row r="350" spans="3:5">
      <c r="C350" s="1">
        <v>41625</v>
      </c>
      <c r="D350">
        <v>19</v>
      </c>
      <c r="E350">
        <v>15</v>
      </c>
    </row>
    <row r="351" spans="3:5">
      <c r="C351" s="1">
        <v>41626</v>
      </c>
      <c r="D351">
        <v>19</v>
      </c>
      <c r="E351">
        <v>71</v>
      </c>
    </row>
    <row r="352" spans="3:5">
      <c r="C352" s="1">
        <v>41627</v>
      </c>
      <c r="D352">
        <v>19</v>
      </c>
      <c r="E352">
        <v>44</v>
      </c>
    </row>
    <row r="353" spans="3:5">
      <c r="C353" s="1">
        <v>41628</v>
      </c>
      <c r="D353">
        <v>19</v>
      </c>
      <c r="E353">
        <v>19</v>
      </c>
    </row>
    <row r="354" spans="3:5">
      <c r="C354" s="1">
        <v>41629</v>
      </c>
      <c r="D354">
        <v>19</v>
      </c>
      <c r="E354">
        <v>18</v>
      </c>
    </row>
    <row r="355" spans="3:5">
      <c r="C355" s="1">
        <v>41630</v>
      </c>
      <c r="D355">
        <v>19</v>
      </c>
      <c r="E355">
        <v>11</v>
      </c>
    </row>
    <row r="356" spans="3:5">
      <c r="C356" s="1">
        <v>41631</v>
      </c>
      <c r="D356">
        <v>19</v>
      </c>
      <c r="E356">
        <v>30</v>
      </c>
    </row>
    <row r="357" spans="3:5">
      <c r="C357" s="1">
        <v>41632</v>
      </c>
      <c r="D357">
        <v>19</v>
      </c>
      <c r="E357">
        <v>18</v>
      </c>
    </row>
    <row r="358" spans="3:5">
      <c r="C358" s="1">
        <v>41633</v>
      </c>
      <c r="D358">
        <v>19</v>
      </c>
      <c r="E358">
        <v>24</v>
      </c>
    </row>
    <row r="359" spans="3:5">
      <c r="C359" s="1">
        <v>41634</v>
      </c>
      <c r="D359">
        <v>19</v>
      </c>
      <c r="E359">
        <v>130</v>
      </c>
    </row>
    <row r="360" spans="3:5">
      <c r="C360" s="1">
        <v>41635</v>
      </c>
      <c r="D360">
        <v>19</v>
      </c>
      <c r="E360">
        <v>47</v>
      </c>
    </row>
    <row r="361" spans="3:5">
      <c r="C361" s="1">
        <v>41636</v>
      </c>
      <c r="D361">
        <v>19</v>
      </c>
      <c r="E361">
        <v>30</v>
      </c>
    </row>
    <row r="362" spans="3:5">
      <c r="C362" s="1">
        <v>41637</v>
      </c>
      <c r="D362">
        <v>19</v>
      </c>
      <c r="E362">
        <v>13</v>
      </c>
    </row>
    <row r="363" spans="3:5">
      <c r="C363" s="1">
        <v>41638</v>
      </c>
      <c r="D363">
        <v>19</v>
      </c>
      <c r="E363">
        <v>7</v>
      </c>
    </row>
    <row r="364" spans="3:5">
      <c r="C364" s="1">
        <v>41639</v>
      </c>
      <c r="D364">
        <v>19</v>
      </c>
      <c r="E364">
        <v>18</v>
      </c>
    </row>
    <row r="365" spans="3:5">
      <c r="C365" s="1">
        <v>41640</v>
      </c>
      <c r="D365">
        <v>19</v>
      </c>
      <c r="E365">
        <v>21</v>
      </c>
    </row>
    <row r="366" spans="3:5">
      <c r="C366" s="1">
        <v>41641</v>
      </c>
      <c r="D366">
        <v>19</v>
      </c>
      <c r="E366">
        <v>12</v>
      </c>
    </row>
    <row r="367" spans="3:5">
      <c r="C367" s="1">
        <v>41642</v>
      </c>
      <c r="D367">
        <v>19</v>
      </c>
      <c r="E367">
        <v>26</v>
      </c>
    </row>
    <row r="368" spans="3:5">
      <c r="C368" s="1">
        <v>41643</v>
      </c>
      <c r="D368">
        <v>19</v>
      </c>
      <c r="E368">
        <v>13</v>
      </c>
    </row>
    <row r="369" spans="3:5">
      <c r="C369" s="1">
        <v>41644</v>
      </c>
      <c r="D369">
        <v>19</v>
      </c>
      <c r="E369">
        <v>45</v>
      </c>
    </row>
    <row r="370" spans="3:5">
      <c r="C370" s="1">
        <v>41645</v>
      </c>
      <c r="D370">
        <v>19</v>
      </c>
      <c r="E370">
        <v>11</v>
      </c>
    </row>
    <row r="371" spans="3:5">
      <c r="C371" s="1">
        <v>41646</v>
      </c>
      <c r="D371">
        <v>20</v>
      </c>
      <c r="E371">
        <v>50</v>
      </c>
    </row>
    <row r="372" spans="3:5">
      <c r="C372" s="1">
        <v>41647</v>
      </c>
      <c r="D372">
        <v>20</v>
      </c>
      <c r="E372">
        <v>10</v>
      </c>
    </row>
    <row r="373" spans="3:5">
      <c r="C373" s="1">
        <v>41648</v>
      </c>
      <c r="D373">
        <v>20</v>
      </c>
      <c r="E373">
        <v>14</v>
      </c>
    </row>
    <row r="374" spans="3:5">
      <c r="C374" s="1">
        <v>41649</v>
      </c>
      <c r="D374">
        <v>20</v>
      </c>
      <c r="E374">
        <v>108</v>
      </c>
    </row>
    <row r="375" spans="3:5">
      <c r="C375" s="1">
        <v>41650</v>
      </c>
      <c r="D375">
        <v>20</v>
      </c>
      <c r="E375">
        <v>13</v>
      </c>
    </row>
    <row r="376" spans="3:5">
      <c r="C376" s="1">
        <v>41651</v>
      </c>
      <c r="D376">
        <v>20</v>
      </c>
      <c r="E376">
        <v>6</v>
      </c>
    </row>
    <row r="377" spans="3:5">
      <c r="C377" s="1">
        <v>41652</v>
      </c>
      <c r="D377">
        <v>20</v>
      </c>
      <c r="E377">
        <v>5</v>
      </c>
    </row>
    <row r="378" spans="3:5">
      <c r="C378" s="1">
        <v>41653</v>
      </c>
      <c r="D378">
        <v>20</v>
      </c>
      <c r="E378">
        <v>4</v>
      </c>
    </row>
    <row r="379" spans="3:5">
      <c r="C379" s="1">
        <v>41654</v>
      </c>
      <c r="D379">
        <v>20</v>
      </c>
      <c r="E379">
        <v>5</v>
      </c>
    </row>
    <row r="380" spans="3:5">
      <c r="C380" s="1">
        <v>41655</v>
      </c>
      <c r="D380">
        <v>20</v>
      </c>
      <c r="E380">
        <v>9</v>
      </c>
    </row>
    <row r="381" spans="3:5">
      <c r="C381" s="1">
        <v>41656</v>
      </c>
      <c r="D381">
        <v>20</v>
      </c>
      <c r="E381">
        <v>20</v>
      </c>
    </row>
    <row r="382" spans="3:5">
      <c r="C382" s="1">
        <v>41657</v>
      </c>
      <c r="D382">
        <v>20</v>
      </c>
      <c r="E382">
        <v>5</v>
      </c>
    </row>
    <row r="383" spans="3:5">
      <c r="C383" s="1">
        <v>41658</v>
      </c>
      <c r="D383">
        <v>20</v>
      </c>
      <c r="E383">
        <v>3</v>
      </c>
    </row>
    <row r="384" spans="3:5">
      <c r="C384" s="1">
        <v>41659</v>
      </c>
      <c r="D384">
        <v>20</v>
      </c>
      <c r="E384">
        <v>12</v>
      </c>
    </row>
    <row r="385" spans="3:5">
      <c r="C385" s="1">
        <v>41660</v>
      </c>
      <c r="D385">
        <v>20</v>
      </c>
      <c r="E385">
        <v>10</v>
      </c>
    </row>
    <row r="386" spans="3:5">
      <c r="C386" s="1">
        <v>41661</v>
      </c>
      <c r="D386">
        <v>20</v>
      </c>
      <c r="E386">
        <v>11</v>
      </c>
    </row>
    <row r="387" spans="3:5">
      <c r="C387" s="1">
        <v>41662</v>
      </c>
      <c r="D387">
        <v>20</v>
      </c>
      <c r="E387">
        <v>6</v>
      </c>
    </row>
    <row r="388" spans="3:5">
      <c r="C388" s="1">
        <v>41663</v>
      </c>
      <c r="D388">
        <v>21</v>
      </c>
      <c r="E388">
        <v>39</v>
      </c>
    </row>
    <row r="389" spans="3:5">
      <c r="C389" s="1">
        <v>41664</v>
      </c>
      <c r="D389">
        <v>21</v>
      </c>
      <c r="E389">
        <v>13</v>
      </c>
    </row>
    <row r="390" spans="3:5">
      <c r="C390" s="1">
        <v>41665</v>
      </c>
      <c r="D390">
        <v>21</v>
      </c>
      <c r="E390">
        <v>11</v>
      </c>
    </row>
    <row r="391" spans="3:5">
      <c r="C391" s="1">
        <v>41666</v>
      </c>
      <c r="D391">
        <v>21</v>
      </c>
      <c r="E391">
        <v>11</v>
      </c>
    </row>
    <row r="392" spans="3:5">
      <c r="C392" s="1">
        <v>41667</v>
      </c>
      <c r="D392">
        <v>21</v>
      </c>
      <c r="E392">
        <v>20</v>
      </c>
    </row>
    <row r="393" spans="3:5">
      <c r="C393" s="1">
        <v>41668</v>
      </c>
      <c r="D393">
        <v>21</v>
      </c>
      <c r="E393">
        <v>2</v>
      </c>
    </row>
    <row r="394" spans="3:5">
      <c r="C394" s="1">
        <v>41669</v>
      </c>
      <c r="D394">
        <v>21</v>
      </c>
      <c r="E394">
        <v>8</v>
      </c>
    </row>
    <row r="395" spans="3:5">
      <c r="C395" s="1">
        <v>41670</v>
      </c>
      <c r="D395">
        <v>21</v>
      </c>
      <c r="E395">
        <v>6</v>
      </c>
    </row>
    <row r="396" spans="3:5">
      <c r="C396" s="1">
        <v>41671</v>
      </c>
      <c r="D396">
        <v>21</v>
      </c>
      <c r="E396">
        <v>15</v>
      </c>
    </row>
    <row r="397" spans="3:5">
      <c r="C397" s="1">
        <v>41672</v>
      </c>
      <c r="D397">
        <v>21</v>
      </c>
      <c r="E397">
        <v>6</v>
      </c>
    </row>
    <row r="398" spans="3:5">
      <c r="C398" s="1">
        <v>41673</v>
      </c>
      <c r="D398">
        <v>21</v>
      </c>
      <c r="E398">
        <v>12</v>
      </c>
    </row>
    <row r="399" spans="3:5">
      <c r="C399" s="1">
        <v>41674</v>
      </c>
      <c r="D399">
        <v>22</v>
      </c>
      <c r="E399">
        <v>37</v>
      </c>
    </row>
    <row r="400" spans="3:5">
      <c r="C400" s="1">
        <v>41675</v>
      </c>
      <c r="D400">
        <v>22</v>
      </c>
      <c r="E400">
        <v>13</v>
      </c>
    </row>
    <row r="401" spans="3:5">
      <c r="C401" s="1">
        <v>41676</v>
      </c>
      <c r="D401">
        <v>22</v>
      </c>
      <c r="E401">
        <v>2</v>
      </c>
    </row>
    <row r="402" spans="3:5">
      <c r="C402" s="1">
        <v>41677</v>
      </c>
      <c r="D402">
        <v>22</v>
      </c>
      <c r="E402">
        <v>24</v>
      </c>
    </row>
    <row r="403" spans="3:5">
      <c r="C403" s="1">
        <v>41678</v>
      </c>
      <c r="D403">
        <v>22</v>
      </c>
      <c r="E403">
        <v>10</v>
      </c>
    </row>
    <row r="404" spans="3:5">
      <c r="C404" s="1">
        <v>41679</v>
      </c>
      <c r="D404">
        <v>22</v>
      </c>
      <c r="E404">
        <v>11</v>
      </c>
    </row>
    <row r="405" spans="3:5">
      <c r="C405" s="1">
        <v>41680</v>
      </c>
      <c r="D405">
        <v>22</v>
      </c>
      <c r="E405">
        <v>20</v>
      </c>
    </row>
    <row r="406" spans="3:5">
      <c r="C406" s="1">
        <v>41681</v>
      </c>
      <c r="D406">
        <v>22</v>
      </c>
      <c r="E406">
        <v>38</v>
      </c>
    </row>
    <row r="407" spans="3:5">
      <c r="C407" s="1">
        <v>41682</v>
      </c>
      <c r="D407">
        <v>22</v>
      </c>
      <c r="E407">
        <v>25</v>
      </c>
    </row>
    <row r="408" spans="3:5">
      <c r="C408" s="1">
        <v>41683</v>
      </c>
      <c r="D408">
        <v>22</v>
      </c>
      <c r="E408">
        <v>13</v>
      </c>
    </row>
    <row r="409" spans="3:5">
      <c r="C409" s="1">
        <v>41684</v>
      </c>
      <c r="D409">
        <v>22</v>
      </c>
      <c r="E409">
        <v>21</v>
      </c>
    </row>
    <row r="410" spans="3:5">
      <c r="C410" s="1">
        <v>41685</v>
      </c>
      <c r="D410">
        <v>22</v>
      </c>
      <c r="E410">
        <v>11</v>
      </c>
    </row>
    <row r="411" spans="3:5">
      <c r="C411" s="1">
        <v>41686</v>
      </c>
      <c r="D411">
        <v>22</v>
      </c>
      <c r="E411">
        <v>15</v>
      </c>
    </row>
    <row r="412" spans="3:5">
      <c r="C412" s="1">
        <v>41687</v>
      </c>
      <c r="D412">
        <v>22</v>
      </c>
      <c r="E412">
        <v>13</v>
      </c>
    </row>
    <row r="413" spans="3:5">
      <c r="C413" s="1">
        <v>41688</v>
      </c>
      <c r="D413">
        <v>23</v>
      </c>
      <c r="E413">
        <v>27</v>
      </c>
    </row>
    <row r="414" spans="3:5">
      <c r="C414" s="1">
        <v>41689</v>
      </c>
      <c r="D414">
        <v>23</v>
      </c>
      <c r="E414">
        <v>16</v>
      </c>
    </row>
    <row r="415" spans="3:5">
      <c r="C415" s="1">
        <v>41690</v>
      </c>
      <c r="D415">
        <v>23</v>
      </c>
      <c r="E415">
        <v>21</v>
      </c>
    </row>
    <row r="416" spans="3:5">
      <c r="C416" s="1">
        <v>41691</v>
      </c>
      <c r="D416">
        <v>23</v>
      </c>
      <c r="E416">
        <v>47</v>
      </c>
    </row>
    <row r="417" spans="3:5">
      <c r="C417" s="1">
        <v>41692</v>
      </c>
      <c r="D417">
        <v>23</v>
      </c>
      <c r="E417">
        <v>20</v>
      </c>
    </row>
    <row r="418" spans="3:5">
      <c r="C418" s="1">
        <v>41693</v>
      </c>
      <c r="D418">
        <v>23</v>
      </c>
      <c r="E418">
        <v>28</v>
      </c>
    </row>
    <row r="419" spans="3:5">
      <c r="C419" s="1">
        <v>41694</v>
      </c>
      <c r="D419">
        <v>23</v>
      </c>
      <c r="E419">
        <v>12</v>
      </c>
    </row>
    <row r="420" spans="3:5">
      <c r="C420" s="1">
        <v>41695</v>
      </c>
      <c r="D420">
        <v>23</v>
      </c>
      <c r="E420">
        <v>36</v>
      </c>
    </row>
    <row r="421" spans="3:5">
      <c r="C421" s="1">
        <v>41696</v>
      </c>
      <c r="D421">
        <v>23</v>
      </c>
      <c r="E421">
        <v>13</v>
      </c>
    </row>
    <row r="422" spans="3:5">
      <c r="C422" s="1">
        <v>41697</v>
      </c>
      <c r="D422">
        <v>23</v>
      </c>
      <c r="E422">
        <v>23</v>
      </c>
    </row>
    <row r="423" spans="3:5">
      <c r="C423" s="1">
        <v>41698</v>
      </c>
      <c r="D423">
        <v>23</v>
      </c>
      <c r="E423">
        <v>56</v>
      </c>
    </row>
    <row r="424" spans="3:5">
      <c r="C424" s="1">
        <v>41699</v>
      </c>
      <c r="D424">
        <v>23</v>
      </c>
      <c r="E424">
        <v>37</v>
      </c>
    </row>
    <row r="425" spans="3:5">
      <c r="C425" s="1">
        <v>41700</v>
      </c>
      <c r="D425">
        <v>23</v>
      </c>
      <c r="E425">
        <v>49</v>
      </c>
    </row>
    <row r="427" spans="3:5">
      <c r="C427" t="s">
        <v>3</v>
      </c>
    </row>
  </sheetData>
  <mergeCells count="3">
    <mergeCell ref="C2:E2"/>
    <mergeCell ref="A3:G3"/>
    <mergeCell ref="A4:G4"/>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4FBF-CFC1-0946-B40B-A172D3BAE905}">
  <dimension ref="A3:Y423"/>
  <sheetViews>
    <sheetView zoomScale="87" zoomScaleNormal="208" workbookViewId="0">
      <selection activeCell="AK10" sqref="AK10"/>
    </sheetView>
  </sheetViews>
  <sheetFormatPr baseColWidth="10" defaultRowHeight="15"/>
  <cols>
    <col min="1" max="1" width="14.6640625" bestFit="1" customWidth="1"/>
    <col min="2" max="2" width="15.1640625" bestFit="1" customWidth="1"/>
    <col min="3" max="18" width="4.1640625" bestFit="1" customWidth="1"/>
    <col min="19" max="19" width="5.1640625" bestFit="1" customWidth="1"/>
    <col min="20" max="24" width="4.1640625" bestFit="1" customWidth="1"/>
    <col min="25" max="25" width="10.33203125" bestFit="1" customWidth="1"/>
    <col min="26" max="26" width="3.1640625" bestFit="1" customWidth="1"/>
    <col min="27" max="27" width="4.1640625" bestFit="1" customWidth="1"/>
    <col min="28" max="63" width="3.1640625" bestFit="1" customWidth="1"/>
    <col min="64" max="68" width="4.1640625" bestFit="1" customWidth="1"/>
    <col min="69" max="69" width="10" bestFit="1" customWidth="1"/>
  </cols>
  <sheetData>
    <row r="3" spans="1:25">
      <c r="A3" s="7" t="s">
        <v>10</v>
      </c>
      <c r="B3" s="7" t="s">
        <v>13</v>
      </c>
    </row>
    <row r="4" spans="1:25">
      <c r="A4" s="7" t="s">
        <v>11</v>
      </c>
      <c r="B4">
        <v>1</v>
      </c>
      <c r="C4">
        <v>2</v>
      </c>
      <c r="D4">
        <v>3</v>
      </c>
      <c r="E4">
        <v>4</v>
      </c>
      <c r="F4">
        <v>5</v>
      </c>
      <c r="G4">
        <v>6</v>
      </c>
      <c r="H4">
        <v>7</v>
      </c>
      <c r="I4">
        <v>8</v>
      </c>
      <c r="J4">
        <v>9</v>
      </c>
      <c r="K4">
        <v>10</v>
      </c>
      <c r="L4">
        <v>11</v>
      </c>
      <c r="M4">
        <v>12</v>
      </c>
      <c r="N4">
        <v>13</v>
      </c>
      <c r="O4">
        <v>14</v>
      </c>
      <c r="P4">
        <v>15</v>
      </c>
      <c r="Q4">
        <v>16</v>
      </c>
      <c r="R4">
        <v>17</v>
      </c>
      <c r="S4">
        <v>18</v>
      </c>
      <c r="T4">
        <v>19</v>
      </c>
      <c r="U4">
        <v>20</v>
      </c>
      <c r="V4">
        <v>21</v>
      </c>
      <c r="W4">
        <v>22</v>
      </c>
      <c r="X4">
        <v>23</v>
      </c>
      <c r="Y4" t="s">
        <v>12</v>
      </c>
    </row>
    <row r="5" spans="1:25">
      <c r="A5" s="8">
        <v>41282</v>
      </c>
      <c r="B5" s="68">
        <v>40</v>
      </c>
      <c r="C5" s="68"/>
      <c r="D5" s="68"/>
      <c r="E5" s="68"/>
      <c r="F5" s="68"/>
      <c r="G5" s="68"/>
      <c r="H5" s="68"/>
      <c r="I5" s="68"/>
      <c r="J5" s="68"/>
      <c r="K5" s="68"/>
      <c r="L5" s="68"/>
      <c r="M5" s="68"/>
      <c r="N5" s="68"/>
      <c r="O5" s="68"/>
      <c r="P5" s="68"/>
      <c r="Q5" s="68"/>
      <c r="R5" s="68"/>
      <c r="S5" s="68"/>
      <c r="T5" s="68"/>
      <c r="U5" s="68"/>
      <c r="V5" s="68"/>
      <c r="W5" s="68"/>
      <c r="X5" s="68"/>
      <c r="Y5" s="68">
        <v>40</v>
      </c>
    </row>
    <row r="6" spans="1:25">
      <c r="A6" s="8">
        <v>41283</v>
      </c>
      <c r="B6" s="68">
        <v>5</v>
      </c>
      <c r="C6" s="68"/>
      <c r="D6" s="68"/>
      <c r="E6" s="68"/>
      <c r="F6" s="68"/>
      <c r="G6" s="68"/>
      <c r="H6" s="68"/>
      <c r="I6" s="68"/>
      <c r="J6" s="68"/>
      <c r="K6" s="68"/>
      <c r="L6" s="68"/>
      <c r="M6" s="68"/>
      <c r="N6" s="68"/>
      <c r="O6" s="68"/>
      <c r="P6" s="68"/>
      <c r="Q6" s="68"/>
      <c r="R6" s="68"/>
      <c r="S6" s="68"/>
      <c r="T6" s="68"/>
      <c r="U6" s="68"/>
      <c r="V6" s="68"/>
      <c r="W6" s="68"/>
      <c r="X6" s="68"/>
      <c r="Y6" s="68">
        <v>5</v>
      </c>
    </row>
    <row r="7" spans="1:25">
      <c r="A7" s="8">
        <v>41284</v>
      </c>
      <c r="B7" s="68">
        <v>14</v>
      </c>
      <c r="C7" s="68"/>
      <c r="D7" s="68"/>
      <c r="E7" s="68"/>
      <c r="F7" s="68"/>
      <c r="G7" s="68"/>
      <c r="H7" s="68"/>
      <c r="I7" s="68"/>
      <c r="J7" s="68"/>
      <c r="K7" s="68"/>
      <c r="L7" s="68"/>
      <c r="M7" s="68"/>
      <c r="N7" s="68"/>
      <c r="O7" s="68"/>
      <c r="P7" s="68"/>
      <c r="Q7" s="68"/>
      <c r="R7" s="68"/>
      <c r="S7" s="68"/>
      <c r="T7" s="68"/>
      <c r="U7" s="68"/>
      <c r="V7" s="68"/>
      <c r="W7" s="68"/>
      <c r="X7" s="68"/>
      <c r="Y7" s="68">
        <v>14</v>
      </c>
    </row>
    <row r="8" spans="1:25">
      <c r="A8" s="8">
        <v>41285</v>
      </c>
      <c r="B8" s="68">
        <v>8</v>
      </c>
      <c r="C8" s="68"/>
      <c r="D8" s="68"/>
      <c r="E8" s="68"/>
      <c r="F8" s="68"/>
      <c r="G8" s="68"/>
      <c r="H8" s="68"/>
      <c r="I8" s="68"/>
      <c r="J8" s="68"/>
      <c r="K8" s="68"/>
      <c r="L8" s="68"/>
      <c r="M8" s="68"/>
      <c r="N8" s="68"/>
      <c r="O8" s="68"/>
      <c r="P8" s="68"/>
      <c r="Q8" s="68"/>
      <c r="R8" s="68"/>
      <c r="S8" s="68"/>
      <c r="T8" s="68"/>
      <c r="U8" s="68"/>
      <c r="V8" s="68"/>
      <c r="W8" s="68"/>
      <c r="X8" s="68"/>
      <c r="Y8" s="68">
        <v>8</v>
      </c>
    </row>
    <row r="9" spans="1:25">
      <c r="A9" s="8">
        <v>41286</v>
      </c>
      <c r="B9" s="68">
        <v>4</v>
      </c>
      <c r="C9" s="68"/>
      <c r="D9" s="68"/>
      <c r="E9" s="68"/>
      <c r="F9" s="68"/>
      <c r="G9" s="68"/>
      <c r="H9" s="68"/>
      <c r="I9" s="68"/>
      <c r="J9" s="68"/>
      <c r="K9" s="68"/>
      <c r="L9" s="68"/>
      <c r="M9" s="68"/>
      <c r="N9" s="68"/>
      <c r="O9" s="68"/>
      <c r="P9" s="68"/>
      <c r="Q9" s="68"/>
      <c r="R9" s="68"/>
      <c r="S9" s="68"/>
      <c r="T9" s="68"/>
      <c r="U9" s="68"/>
      <c r="V9" s="68"/>
      <c r="W9" s="68"/>
      <c r="X9" s="68"/>
      <c r="Y9" s="68">
        <v>4</v>
      </c>
    </row>
    <row r="10" spans="1:25">
      <c r="A10" s="8">
        <v>41287</v>
      </c>
      <c r="B10" s="68">
        <v>13</v>
      </c>
      <c r="C10" s="68"/>
      <c r="D10" s="68"/>
      <c r="E10" s="68"/>
      <c r="F10" s="68"/>
      <c r="G10" s="68"/>
      <c r="H10" s="68"/>
      <c r="I10" s="68"/>
      <c r="J10" s="68"/>
      <c r="K10" s="68"/>
      <c r="L10" s="68"/>
      <c r="M10" s="68"/>
      <c r="N10" s="68"/>
      <c r="O10" s="68"/>
      <c r="P10" s="68"/>
      <c r="Q10" s="68"/>
      <c r="R10" s="68"/>
      <c r="S10" s="68"/>
      <c r="T10" s="68"/>
      <c r="U10" s="68"/>
      <c r="V10" s="68"/>
      <c r="W10" s="68"/>
      <c r="X10" s="68"/>
      <c r="Y10" s="68">
        <v>13</v>
      </c>
    </row>
    <row r="11" spans="1:25">
      <c r="A11" s="8">
        <v>41288</v>
      </c>
      <c r="B11" s="68">
        <v>9</v>
      </c>
      <c r="C11" s="68"/>
      <c r="D11" s="68"/>
      <c r="E11" s="68"/>
      <c r="F11" s="68"/>
      <c r="G11" s="68"/>
      <c r="H11" s="68"/>
      <c r="I11" s="68"/>
      <c r="J11" s="68"/>
      <c r="K11" s="68"/>
      <c r="L11" s="68"/>
      <c r="M11" s="68"/>
      <c r="N11" s="68"/>
      <c r="O11" s="68"/>
      <c r="P11" s="68"/>
      <c r="Q11" s="68"/>
      <c r="R11" s="68"/>
      <c r="S11" s="68"/>
      <c r="T11" s="68"/>
      <c r="U11" s="68"/>
      <c r="V11" s="68"/>
      <c r="W11" s="68"/>
      <c r="X11" s="68"/>
      <c r="Y11" s="68">
        <v>9</v>
      </c>
    </row>
    <row r="12" spans="1:25">
      <c r="A12" s="8">
        <v>41289</v>
      </c>
      <c r="B12" s="68">
        <v>8</v>
      </c>
      <c r="C12" s="68"/>
      <c r="D12" s="68"/>
      <c r="E12" s="68"/>
      <c r="F12" s="68"/>
      <c r="G12" s="68"/>
      <c r="H12" s="68"/>
      <c r="I12" s="68"/>
      <c r="J12" s="68"/>
      <c r="K12" s="68"/>
      <c r="L12" s="68"/>
      <c r="M12" s="68"/>
      <c r="N12" s="68"/>
      <c r="O12" s="68"/>
      <c r="P12" s="68"/>
      <c r="Q12" s="68"/>
      <c r="R12" s="68"/>
      <c r="S12" s="68"/>
      <c r="T12" s="68"/>
      <c r="U12" s="68"/>
      <c r="V12" s="68"/>
      <c r="W12" s="68"/>
      <c r="X12" s="68"/>
      <c r="Y12" s="68">
        <v>8</v>
      </c>
    </row>
    <row r="13" spans="1:25">
      <c r="A13" s="8">
        <v>41290</v>
      </c>
      <c r="B13" s="68">
        <v>5</v>
      </c>
      <c r="C13" s="68"/>
      <c r="D13" s="68"/>
      <c r="E13" s="68"/>
      <c r="F13" s="68"/>
      <c r="G13" s="68"/>
      <c r="H13" s="68"/>
      <c r="I13" s="68"/>
      <c r="J13" s="68"/>
      <c r="K13" s="68"/>
      <c r="L13" s="68"/>
      <c r="M13" s="68"/>
      <c r="N13" s="68"/>
      <c r="O13" s="68"/>
      <c r="P13" s="68"/>
      <c r="Q13" s="68"/>
      <c r="R13" s="68"/>
      <c r="S13" s="68"/>
      <c r="T13" s="68"/>
      <c r="U13" s="68"/>
      <c r="V13" s="68"/>
      <c r="W13" s="68"/>
      <c r="X13" s="68"/>
      <c r="Y13" s="68">
        <v>5</v>
      </c>
    </row>
    <row r="14" spans="1:25">
      <c r="A14" s="8">
        <v>41291</v>
      </c>
      <c r="B14" s="68">
        <v>5</v>
      </c>
      <c r="C14" s="68"/>
      <c r="D14" s="68"/>
      <c r="E14" s="68"/>
      <c r="F14" s="68"/>
      <c r="G14" s="68"/>
      <c r="H14" s="68"/>
      <c r="I14" s="68"/>
      <c r="J14" s="68"/>
      <c r="K14" s="68"/>
      <c r="L14" s="68"/>
      <c r="M14" s="68"/>
      <c r="N14" s="68"/>
      <c r="O14" s="68"/>
      <c r="P14" s="68"/>
      <c r="Q14" s="68"/>
      <c r="R14" s="68"/>
      <c r="S14" s="68"/>
      <c r="T14" s="68"/>
      <c r="U14" s="68"/>
      <c r="V14" s="68"/>
      <c r="W14" s="68"/>
      <c r="X14" s="68"/>
      <c r="Y14" s="68">
        <v>5</v>
      </c>
    </row>
    <row r="15" spans="1:25">
      <c r="A15" s="8">
        <v>41292</v>
      </c>
      <c r="B15" s="68">
        <v>3</v>
      </c>
      <c r="C15" s="68"/>
      <c r="D15" s="68"/>
      <c r="E15" s="68"/>
      <c r="F15" s="68"/>
      <c r="G15" s="68"/>
      <c r="H15" s="68"/>
      <c r="I15" s="68"/>
      <c r="J15" s="68"/>
      <c r="K15" s="68"/>
      <c r="L15" s="68"/>
      <c r="M15" s="68"/>
      <c r="N15" s="68"/>
      <c r="O15" s="68"/>
      <c r="P15" s="68"/>
      <c r="Q15" s="68"/>
      <c r="R15" s="68"/>
      <c r="S15" s="68"/>
      <c r="T15" s="68"/>
      <c r="U15" s="68"/>
      <c r="V15" s="68"/>
      <c r="W15" s="68"/>
      <c r="X15" s="68"/>
      <c r="Y15" s="68">
        <v>3</v>
      </c>
    </row>
    <row r="16" spans="1:25">
      <c r="A16" s="8">
        <v>41293</v>
      </c>
      <c r="B16" s="68">
        <v>1</v>
      </c>
      <c r="C16" s="68"/>
      <c r="D16" s="68"/>
      <c r="E16" s="68"/>
      <c r="F16" s="68"/>
      <c r="G16" s="68"/>
      <c r="H16" s="68"/>
      <c r="I16" s="68"/>
      <c r="J16" s="68"/>
      <c r="K16" s="68"/>
      <c r="L16" s="68"/>
      <c r="M16" s="68"/>
      <c r="N16" s="68"/>
      <c r="O16" s="68"/>
      <c r="P16" s="68"/>
      <c r="Q16" s="68"/>
      <c r="R16" s="68"/>
      <c r="S16" s="68"/>
      <c r="T16" s="68"/>
      <c r="U16" s="68"/>
      <c r="V16" s="68"/>
      <c r="W16" s="68"/>
      <c r="X16" s="68"/>
      <c r="Y16" s="68">
        <v>1</v>
      </c>
    </row>
    <row r="17" spans="1:25">
      <c r="A17" s="8">
        <v>41294</v>
      </c>
      <c r="B17" s="68">
        <v>7</v>
      </c>
      <c r="C17" s="68"/>
      <c r="D17" s="68"/>
      <c r="E17" s="68"/>
      <c r="F17" s="68"/>
      <c r="G17" s="68"/>
      <c r="H17" s="68"/>
      <c r="I17" s="68"/>
      <c r="J17" s="68"/>
      <c r="K17" s="68"/>
      <c r="L17" s="68"/>
      <c r="M17" s="68"/>
      <c r="N17" s="68"/>
      <c r="O17" s="68"/>
      <c r="P17" s="68"/>
      <c r="Q17" s="68"/>
      <c r="R17" s="68"/>
      <c r="S17" s="68"/>
      <c r="T17" s="68"/>
      <c r="U17" s="68"/>
      <c r="V17" s="68"/>
      <c r="W17" s="68"/>
      <c r="X17" s="68"/>
      <c r="Y17" s="68">
        <v>7</v>
      </c>
    </row>
    <row r="18" spans="1:25">
      <c r="A18" s="8">
        <v>41295</v>
      </c>
      <c r="B18" s="68">
        <v>13</v>
      </c>
      <c r="C18" s="68"/>
      <c r="D18" s="68"/>
      <c r="E18" s="68"/>
      <c r="F18" s="68"/>
      <c r="G18" s="68"/>
      <c r="H18" s="68"/>
      <c r="I18" s="68"/>
      <c r="J18" s="68"/>
      <c r="K18" s="68"/>
      <c r="L18" s="68"/>
      <c r="M18" s="68"/>
      <c r="N18" s="68"/>
      <c r="O18" s="68"/>
      <c r="P18" s="68"/>
      <c r="Q18" s="68"/>
      <c r="R18" s="68"/>
      <c r="S18" s="68"/>
      <c r="T18" s="68"/>
      <c r="U18" s="68"/>
      <c r="V18" s="68"/>
      <c r="W18" s="68"/>
      <c r="X18" s="68"/>
      <c r="Y18" s="68">
        <v>13</v>
      </c>
    </row>
    <row r="19" spans="1:25">
      <c r="A19" s="8">
        <v>41296</v>
      </c>
      <c r="B19" s="68">
        <v>10</v>
      </c>
      <c r="C19" s="68"/>
      <c r="D19" s="68"/>
      <c r="E19" s="68"/>
      <c r="F19" s="68"/>
      <c r="G19" s="68"/>
      <c r="H19" s="68"/>
      <c r="I19" s="68"/>
      <c r="J19" s="68"/>
      <c r="K19" s="68"/>
      <c r="L19" s="68"/>
      <c r="M19" s="68"/>
      <c r="N19" s="68"/>
      <c r="O19" s="68"/>
      <c r="P19" s="68"/>
      <c r="Q19" s="68"/>
      <c r="R19" s="68"/>
      <c r="S19" s="68"/>
      <c r="T19" s="68"/>
      <c r="U19" s="68"/>
      <c r="V19" s="68"/>
      <c r="W19" s="68"/>
      <c r="X19" s="68"/>
      <c r="Y19" s="68">
        <v>10</v>
      </c>
    </row>
    <row r="20" spans="1:25">
      <c r="A20" s="8">
        <v>41297</v>
      </c>
      <c r="B20" s="68">
        <v>9</v>
      </c>
      <c r="C20" s="68"/>
      <c r="D20" s="68"/>
      <c r="E20" s="68"/>
      <c r="F20" s="68"/>
      <c r="G20" s="68"/>
      <c r="H20" s="68"/>
      <c r="I20" s="68"/>
      <c r="J20" s="68"/>
      <c r="K20" s="68"/>
      <c r="L20" s="68"/>
      <c r="M20" s="68"/>
      <c r="N20" s="68"/>
      <c r="O20" s="68"/>
      <c r="P20" s="68"/>
      <c r="Q20" s="68"/>
      <c r="R20" s="68"/>
      <c r="S20" s="68"/>
      <c r="T20" s="68"/>
      <c r="U20" s="68"/>
      <c r="V20" s="68"/>
      <c r="W20" s="68"/>
      <c r="X20" s="68"/>
      <c r="Y20" s="68">
        <v>9</v>
      </c>
    </row>
    <row r="21" spans="1:25">
      <c r="A21" s="8">
        <v>41298</v>
      </c>
      <c r="B21" s="68">
        <v>7</v>
      </c>
      <c r="C21" s="68"/>
      <c r="D21" s="68"/>
      <c r="E21" s="68"/>
      <c r="F21" s="68"/>
      <c r="G21" s="68"/>
      <c r="H21" s="68"/>
      <c r="I21" s="68"/>
      <c r="J21" s="68"/>
      <c r="K21" s="68"/>
      <c r="L21" s="68"/>
      <c r="M21" s="68"/>
      <c r="N21" s="68"/>
      <c r="O21" s="68"/>
      <c r="P21" s="68"/>
      <c r="Q21" s="68"/>
      <c r="R21" s="68"/>
      <c r="S21" s="68"/>
      <c r="T21" s="68"/>
      <c r="U21" s="68"/>
      <c r="V21" s="68"/>
      <c r="W21" s="68"/>
      <c r="X21" s="68"/>
      <c r="Y21" s="68">
        <v>7</v>
      </c>
    </row>
    <row r="22" spans="1:25">
      <c r="A22" s="8">
        <v>41299</v>
      </c>
      <c r="B22" s="68">
        <v>2</v>
      </c>
      <c r="C22" s="68"/>
      <c r="D22" s="68"/>
      <c r="E22" s="68"/>
      <c r="F22" s="68"/>
      <c r="G22" s="68"/>
      <c r="H22" s="68"/>
      <c r="I22" s="68"/>
      <c r="J22" s="68"/>
      <c r="K22" s="68"/>
      <c r="L22" s="68"/>
      <c r="M22" s="68"/>
      <c r="N22" s="68"/>
      <c r="O22" s="68"/>
      <c r="P22" s="68"/>
      <c r="Q22" s="68"/>
      <c r="R22" s="68"/>
      <c r="S22" s="68"/>
      <c r="T22" s="68"/>
      <c r="U22" s="68"/>
      <c r="V22" s="68"/>
      <c r="W22" s="68"/>
      <c r="X22" s="68"/>
      <c r="Y22" s="68">
        <v>2</v>
      </c>
    </row>
    <row r="23" spans="1:25">
      <c r="A23" s="8">
        <v>41300</v>
      </c>
      <c r="B23" s="68">
        <v>3</v>
      </c>
      <c r="C23" s="68"/>
      <c r="D23" s="68"/>
      <c r="E23" s="68"/>
      <c r="F23" s="68"/>
      <c r="G23" s="68"/>
      <c r="H23" s="68"/>
      <c r="I23" s="68"/>
      <c r="J23" s="68"/>
      <c r="K23" s="68"/>
      <c r="L23" s="68"/>
      <c r="M23" s="68"/>
      <c r="N23" s="68"/>
      <c r="O23" s="68"/>
      <c r="P23" s="68"/>
      <c r="Q23" s="68"/>
      <c r="R23" s="68"/>
      <c r="S23" s="68"/>
      <c r="T23" s="68"/>
      <c r="U23" s="68"/>
      <c r="V23" s="68"/>
      <c r="W23" s="68"/>
      <c r="X23" s="68"/>
      <c r="Y23" s="68">
        <v>3</v>
      </c>
    </row>
    <row r="24" spans="1:25">
      <c r="A24" s="8">
        <v>41301</v>
      </c>
      <c r="B24" s="68">
        <v>3</v>
      </c>
      <c r="C24" s="68"/>
      <c r="D24" s="68"/>
      <c r="E24" s="68"/>
      <c r="F24" s="68"/>
      <c r="G24" s="68"/>
      <c r="H24" s="68"/>
      <c r="I24" s="68"/>
      <c r="J24" s="68"/>
      <c r="K24" s="68"/>
      <c r="L24" s="68"/>
      <c r="M24" s="68"/>
      <c r="N24" s="68"/>
      <c r="O24" s="68"/>
      <c r="P24" s="68"/>
      <c r="Q24" s="68"/>
      <c r="R24" s="68"/>
      <c r="S24" s="68"/>
      <c r="T24" s="68"/>
      <c r="U24" s="68"/>
      <c r="V24" s="68"/>
      <c r="W24" s="68"/>
      <c r="X24" s="68"/>
      <c r="Y24" s="68">
        <v>3</v>
      </c>
    </row>
    <row r="25" spans="1:25">
      <c r="A25" s="8">
        <v>41302</v>
      </c>
      <c r="B25" s="68">
        <v>4</v>
      </c>
      <c r="C25" s="68"/>
      <c r="D25" s="68"/>
      <c r="E25" s="68"/>
      <c r="F25" s="68"/>
      <c r="G25" s="68"/>
      <c r="H25" s="68"/>
      <c r="I25" s="68"/>
      <c r="J25" s="68"/>
      <c r="K25" s="68"/>
      <c r="L25" s="68"/>
      <c r="M25" s="68"/>
      <c r="N25" s="68"/>
      <c r="O25" s="68"/>
      <c r="P25" s="68"/>
      <c r="Q25" s="68"/>
      <c r="R25" s="68"/>
      <c r="S25" s="68"/>
      <c r="T25" s="68"/>
      <c r="U25" s="68"/>
      <c r="V25" s="68"/>
      <c r="W25" s="68"/>
      <c r="X25" s="68"/>
      <c r="Y25" s="68">
        <v>4</v>
      </c>
    </row>
    <row r="26" spans="1:25">
      <c r="A26" s="8">
        <v>41303</v>
      </c>
      <c r="B26" s="68"/>
      <c r="C26" s="68">
        <v>32</v>
      </c>
      <c r="D26" s="68"/>
      <c r="E26" s="68"/>
      <c r="F26" s="68"/>
      <c r="G26" s="68"/>
      <c r="H26" s="68"/>
      <c r="I26" s="68"/>
      <c r="J26" s="68"/>
      <c r="K26" s="68"/>
      <c r="L26" s="68"/>
      <c r="M26" s="68"/>
      <c r="N26" s="68"/>
      <c r="O26" s="68"/>
      <c r="P26" s="68"/>
      <c r="Q26" s="68"/>
      <c r="R26" s="68"/>
      <c r="S26" s="68"/>
      <c r="T26" s="68"/>
      <c r="U26" s="68"/>
      <c r="V26" s="68"/>
      <c r="W26" s="68"/>
      <c r="X26" s="68"/>
      <c r="Y26" s="68">
        <v>32</v>
      </c>
    </row>
    <row r="27" spans="1:25">
      <c r="A27" s="8">
        <v>41304</v>
      </c>
      <c r="B27" s="68"/>
      <c r="C27" s="68">
        <v>11</v>
      </c>
      <c r="D27" s="68"/>
      <c r="E27" s="68"/>
      <c r="F27" s="68"/>
      <c r="G27" s="68"/>
      <c r="H27" s="68"/>
      <c r="I27" s="68"/>
      <c r="J27" s="68"/>
      <c r="K27" s="68"/>
      <c r="L27" s="68"/>
      <c r="M27" s="68"/>
      <c r="N27" s="68"/>
      <c r="O27" s="68"/>
      <c r="P27" s="68"/>
      <c r="Q27" s="68"/>
      <c r="R27" s="68"/>
      <c r="S27" s="68"/>
      <c r="T27" s="68"/>
      <c r="U27" s="68"/>
      <c r="V27" s="68"/>
      <c r="W27" s="68"/>
      <c r="X27" s="68"/>
      <c r="Y27" s="68">
        <v>11</v>
      </c>
    </row>
    <row r="28" spans="1:25">
      <c r="A28" s="8">
        <v>41305</v>
      </c>
      <c r="B28" s="68"/>
      <c r="C28" s="68">
        <v>3</v>
      </c>
      <c r="D28" s="68"/>
      <c r="E28" s="68"/>
      <c r="F28" s="68"/>
      <c r="G28" s="68"/>
      <c r="H28" s="68"/>
      <c r="I28" s="68"/>
      <c r="J28" s="68"/>
      <c r="K28" s="68"/>
      <c r="L28" s="68"/>
      <c r="M28" s="68"/>
      <c r="N28" s="68"/>
      <c r="O28" s="68"/>
      <c r="P28" s="68"/>
      <c r="Q28" s="68"/>
      <c r="R28" s="68"/>
      <c r="S28" s="68"/>
      <c r="T28" s="68"/>
      <c r="U28" s="68"/>
      <c r="V28" s="68"/>
      <c r="W28" s="68"/>
      <c r="X28" s="68"/>
      <c r="Y28" s="68">
        <v>3</v>
      </c>
    </row>
    <row r="29" spans="1:25">
      <c r="A29" s="8">
        <v>41306</v>
      </c>
      <c r="B29" s="68"/>
      <c r="C29" s="68">
        <v>15</v>
      </c>
      <c r="D29" s="68"/>
      <c r="E29" s="68"/>
      <c r="F29" s="68"/>
      <c r="G29" s="68"/>
      <c r="H29" s="68"/>
      <c r="I29" s="68"/>
      <c r="J29" s="68"/>
      <c r="K29" s="68"/>
      <c r="L29" s="68"/>
      <c r="M29" s="68"/>
      <c r="N29" s="68"/>
      <c r="O29" s="68"/>
      <c r="P29" s="68"/>
      <c r="Q29" s="68"/>
      <c r="R29" s="68"/>
      <c r="S29" s="68"/>
      <c r="T29" s="68"/>
      <c r="U29" s="68"/>
      <c r="V29" s="68"/>
      <c r="W29" s="68"/>
      <c r="X29" s="68"/>
      <c r="Y29" s="68">
        <v>15</v>
      </c>
    </row>
    <row r="30" spans="1:25">
      <c r="A30" s="8">
        <v>41307</v>
      </c>
      <c r="B30" s="68"/>
      <c r="C30" s="68">
        <v>14</v>
      </c>
      <c r="D30" s="68"/>
      <c r="E30" s="68"/>
      <c r="F30" s="68"/>
      <c r="G30" s="68"/>
      <c r="H30" s="68"/>
      <c r="I30" s="68"/>
      <c r="J30" s="68"/>
      <c r="K30" s="68"/>
      <c r="L30" s="68"/>
      <c r="M30" s="68"/>
      <c r="N30" s="68"/>
      <c r="O30" s="68"/>
      <c r="P30" s="68"/>
      <c r="Q30" s="68"/>
      <c r="R30" s="68"/>
      <c r="S30" s="68"/>
      <c r="T30" s="68"/>
      <c r="U30" s="68"/>
      <c r="V30" s="68"/>
      <c r="W30" s="68"/>
      <c r="X30" s="68"/>
      <c r="Y30" s="68">
        <v>14</v>
      </c>
    </row>
    <row r="31" spans="1:25">
      <c r="A31" s="8">
        <v>41308</v>
      </c>
      <c r="B31" s="68"/>
      <c r="C31" s="68">
        <v>17</v>
      </c>
      <c r="D31" s="68"/>
      <c r="E31" s="68"/>
      <c r="F31" s="68"/>
      <c r="G31" s="68"/>
      <c r="H31" s="68"/>
      <c r="I31" s="68"/>
      <c r="J31" s="68"/>
      <c r="K31" s="68"/>
      <c r="L31" s="68"/>
      <c r="M31" s="68"/>
      <c r="N31" s="68"/>
      <c r="O31" s="68"/>
      <c r="P31" s="68"/>
      <c r="Q31" s="68"/>
      <c r="R31" s="68"/>
      <c r="S31" s="68"/>
      <c r="T31" s="68"/>
      <c r="U31" s="68"/>
      <c r="V31" s="68"/>
      <c r="W31" s="68"/>
      <c r="X31" s="68"/>
      <c r="Y31" s="68">
        <v>17</v>
      </c>
    </row>
    <row r="32" spans="1:25">
      <c r="A32" s="8">
        <v>41309</v>
      </c>
      <c r="B32" s="68"/>
      <c r="C32" s="68">
        <v>16</v>
      </c>
      <c r="D32" s="68"/>
      <c r="E32" s="68"/>
      <c r="F32" s="68"/>
      <c r="G32" s="68"/>
      <c r="H32" s="68"/>
      <c r="I32" s="68"/>
      <c r="J32" s="68"/>
      <c r="K32" s="68"/>
      <c r="L32" s="68"/>
      <c r="M32" s="68"/>
      <c r="N32" s="68"/>
      <c r="O32" s="68"/>
      <c r="P32" s="68"/>
      <c r="Q32" s="68"/>
      <c r="R32" s="68"/>
      <c r="S32" s="68"/>
      <c r="T32" s="68"/>
      <c r="U32" s="68"/>
      <c r="V32" s="68"/>
      <c r="W32" s="68"/>
      <c r="X32" s="68"/>
      <c r="Y32" s="68">
        <v>16</v>
      </c>
    </row>
    <row r="33" spans="1:25">
      <c r="A33" s="8">
        <v>41310</v>
      </c>
      <c r="B33" s="68"/>
      <c r="C33" s="68">
        <v>8</v>
      </c>
      <c r="D33" s="68"/>
      <c r="E33" s="68"/>
      <c r="F33" s="68"/>
      <c r="G33" s="68"/>
      <c r="H33" s="68"/>
      <c r="I33" s="68"/>
      <c r="J33" s="68"/>
      <c r="K33" s="68"/>
      <c r="L33" s="68"/>
      <c r="M33" s="68"/>
      <c r="N33" s="68"/>
      <c r="O33" s="68"/>
      <c r="P33" s="68"/>
      <c r="Q33" s="68"/>
      <c r="R33" s="68"/>
      <c r="S33" s="68"/>
      <c r="T33" s="68"/>
      <c r="U33" s="68"/>
      <c r="V33" s="68"/>
      <c r="W33" s="68"/>
      <c r="X33" s="68"/>
      <c r="Y33" s="68">
        <v>8</v>
      </c>
    </row>
    <row r="34" spans="1:25">
      <c r="A34" s="8">
        <v>41311</v>
      </c>
      <c r="B34" s="68"/>
      <c r="C34" s="68">
        <v>9</v>
      </c>
      <c r="D34" s="68"/>
      <c r="E34" s="68"/>
      <c r="F34" s="68"/>
      <c r="G34" s="68"/>
      <c r="H34" s="68"/>
      <c r="I34" s="68"/>
      <c r="J34" s="68"/>
      <c r="K34" s="68"/>
      <c r="L34" s="68"/>
      <c r="M34" s="68"/>
      <c r="N34" s="68"/>
      <c r="O34" s="68"/>
      <c r="P34" s="68"/>
      <c r="Q34" s="68"/>
      <c r="R34" s="68"/>
      <c r="S34" s="68"/>
      <c r="T34" s="68"/>
      <c r="U34" s="68"/>
      <c r="V34" s="68"/>
      <c r="W34" s="68"/>
      <c r="X34" s="68"/>
      <c r="Y34" s="68">
        <v>9</v>
      </c>
    </row>
    <row r="35" spans="1:25">
      <c r="A35" s="8">
        <v>41312</v>
      </c>
      <c r="B35" s="68"/>
      <c r="C35" s="68">
        <v>10</v>
      </c>
      <c r="D35" s="68"/>
      <c r="E35" s="68"/>
      <c r="F35" s="68"/>
      <c r="G35" s="68"/>
      <c r="H35" s="68"/>
      <c r="I35" s="68"/>
      <c r="J35" s="68"/>
      <c r="K35" s="68"/>
      <c r="L35" s="68"/>
      <c r="M35" s="68"/>
      <c r="N35" s="68"/>
      <c r="O35" s="68"/>
      <c r="P35" s="68"/>
      <c r="Q35" s="68"/>
      <c r="R35" s="68"/>
      <c r="S35" s="68"/>
      <c r="T35" s="68"/>
      <c r="U35" s="68"/>
      <c r="V35" s="68"/>
      <c r="W35" s="68"/>
      <c r="X35" s="68"/>
      <c r="Y35" s="68">
        <v>10</v>
      </c>
    </row>
    <row r="36" spans="1:25">
      <c r="A36" s="8">
        <v>41313</v>
      </c>
      <c r="B36" s="68"/>
      <c r="C36" s="68">
        <v>8</v>
      </c>
      <c r="D36" s="68"/>
      <c r="E36" s="68"/>
      <c r="F36" s="68"/>
      <c r="G36" s="68"/>
      <c r="H36" s="68"/>
      <c r="I36" s="68"/>
      <c r="J36" s="68"/>
      <c r="K36" s="68"/>
      <c r="L36" s="68"/>
      <c r="M36" s="68"/>
      <c r="N36" s="68"/>
      <c r="O36" s="68"/>
      <c r="P36" s="68"/>
      <c r="Q36" s="68"/>
      <c r="R36" s="68"/>
      <c r="S36" s="68"/>
      <c r="T36" s="68"/>
      <c r="U36" s="68"/>
      <c r="V36" s="68"/>
      <c r="W36" s="68"/>
      <c r="X36" s="68"/>
      <c r="Y36" s="68">
        <v>8</v>
      </c>
    </row>
    <row r="37" spans="1:25">
      <c r="A37" s="8">
        <v>41314</v>
      </c>
      <c r="B37" s="68"/>
      <c r="C37" s="68">
        <v>3</v>
      </c>
      <c r="D37" s="68"/>
      <c r="E37" s="68"/>
      <c r="F37" s="68"/>
      <c r="G37" s="68"/>
      <c r="H37" s="68"/>
      <c r="I37" s="68"/>
      <c r="J37" s="68"/>
      <c r="K37" s="68"/>
      <c r="L37" s="68"/>
      <c r="M37" s="68"/>
      <c r="N37" s="68"/>
      <c r="O37" s="68"/>
      <c r="P37" s="68"/>
      <c r="Q37" s="68"/>
      <c r="R37" s="68"/>
      <c r="S37" s="68"/>
      <c r="T37" s="68"/>
      <c r="U37" s="68"/>
      <c r="V37" s="68"/>
      <c r="W37" s="68"/>
      <c r="X37" s="68"/>
      <c r="Y37" s="68">
        <v>3</v>
      </c>
    </row>
    <row r="38" spans="1:25">
      <c r="A38" s="8">
        <v>41315</v>
      </c>
      <c r="B38" s="68"/>
      <c r="C38" s="68">
        <v>3</v>
      </c>
      <c r="D38" s="68"/>
      <c r="E38" s="68"/>
      <c r="F38" s="68"/>
      <c r="G38" s="68"/>
      <c r="H38" s="68"/>
      <c r="I38" s="68"/>
      <c r="J38" s="68"/>
      <c r="K38" s="68"/>
      <c r="L38" s="68"/>
      <c r="M38" s="68"/>
      <c r="N38" s="68"/>
      <c r="O38" s="68"/>
      <c r="P38" s="68"/>
      <c r="Q38" s="68"/>
      <c r="R38" s="68"/>
      <c r="S38" s="68"/>
      <c r="T38" s="68"/>
      <c r="U38" s="68"/>
      <c r="V38" s="68"/>
      <c r="W38" s="68"/>
      <c r="X38" s="68"/>
      <c r="Y38" s="68">
        <v>3</v>
      </c>
    </row>
    <row r="39" spans="1:25">
      <c r="A39" s="8">
        <v>41316</v>
      </c>
      <c r="B39" s="68"/>
      <c r="C39" s="68">
        <v>5</v>
      </c>
      <c r="D39" s="68"/>
      <c r="E39" s="68"/>
      <c r="F39" s="68"/>
      <c r="G39" s="68"/>
      <c r="H39" s="68"/>
      <c r="I39" s="68"/>
      <c r="J39" s="68"/>
      <c r="K39" s="68"/>
      <c r="L39" s="68"/>
      <c r="M39" s="68"/>
      <c r="N39" s="68"/>
      <c r="O39" s="68"/>
      <c r="P39" s="68"/>
      <c r="Q39" s="68"/>
      <c r="R39" s="68"/>
      <c r="S39" s="68"/>
      <c r="T39" s="68"/>
      <c r="U39" s="68"/>
      <c r="V39" s="68"/>
      <c r="W39" s="68"/>
      <c r="X39" s="68"/>
      <c r="Y39" s="68">
        <v>5</v>
      </c>
    </row>
    <row r="40" spans="1:25">
      <c r="A40" s="8">
        <v>41317</v>
      </c>
      <c r="B40" s="68"/>
      <c r="C40" s="68">
        <v>15</v>
      </c>
      <c r="D40" s="68"/>
      <c r="E40" s="68"/>
      <c r="F40" s="68"/>
      <c r="G40" s="68"/>
      <c r="H40" s="68"/>
      <c r="I40" s="68"/>
      <c r="J40" s="68"/>
      <c r="K40" s="68"/>
      <c r="L40" s="68"/>
      <c r="M40" s="68"/>
      <c r="N40" s="68"/>
      <c r="O40" s="68"/>
      <c r="P40" s="68"/>
      <c r="Q40" s="68"/>
      <c r="R40" s="68"/>
      <c r="S40" s="68"/>
      <c r="T40" s="68"/>
      <c r="U40" s="68"/>
      <c r="V40" s="68"/>
      <c r="W40" s="68"/>
      <c r="X40" s="68"/>
      <c r="Y40" s="68">
        <v>15</v>
      </c>
    </row>
    <row r="41" spans="1:25">
      <c r="A41" s="8">
        <v>41318</v>
      </c>
      <c r="B41" s="68"/>
      <c r="C41" s="68">
        <v>8</v>
      </c>
      <c r="D41" s="68"/>
      <c r="E41" s="68"/>
      <c r="F41" s="68"/>
      <c r="G41" s="68"/>
      <c r="H41" s="68"/>
      <c r="I41" s="68"/>
      <c r="J41" s="68"/>
      <c r="K41" s="68"/>
      <c r="L41" s="68"/>
      <c r="M41" s="68"/>
      <c r="N41" s="68"/>
      <c r="O41" s="68"/>
      <c r="P41" s="68"/>
      <c r="Q41" s="68"/>
      <c r="R41" s="68"/>
      <c r="S41" s="68"/>
      <c r="T41" s="68"/>
      <c r="U41" s="68"/>
      <c r="V41" s="68"/>
      <c r="W41" s="68"/>
      <c r="X41" s="68"/>
      <c r="Y41" s="68">
        <v>8</v>
      </c>
    </row>
    <row r="42" spans="1:25">
      <c r="A42" s="8">
        <v>41319</v>
      </c>
      <c r="B42" s="68"/>
      <c r="C42" s="68">
        <v>3</v>
      </c>
      <c r="D42" s="68"/>
      <c r="E42" s="68"/>
      <c r="F42" s="68"/>
      <c r="G42" s="68"/>
      <c r="H42" s="68"/>
      <c r="I42" s="68"/>
      <c r="J42" s="68"/>
      <c r="K42" s="68"/>
      <c r="L42" s="68"/>
      <c r="M42" s="68"/>
      <c r="N42" s="68"/>
      <c r="O42" s="68"/>
      <c r="P42" s="68"/>
      <c r="Q42" s="68"/>
      <c r="R42" s="68"/>
      <c r="S42" s="68"/>
      <c r="T42" s="68"/>
      <c r="U42" s="68"/>
      <c r="V42" s="68"/>
      <c r="W42" s="68"/>
      <c r="X42" s="68"/>
      <c r="Y42" s="68">
        <v>3</v>
      </c>
    </row>
    <row r="43" spans="1:25">
      <c r="A43" s="8">
        <v>41320</v>
      </c>
      <c r="B43" s="68"/>
      <c r="C43" s="68">
        <v>2</v>
      </c>
      <c r="D43" s="68"/>
      <c r="E43" s="68"/>
      <c r="F43" s="68"/>
      <c r="G43" s="68"/>
      <c r="H43" s="68"/>
      <c r="I43" s="68"/>
      <c r="J43" s="68"/>
      <c r="K43" s="68"/>
      <c r="L43" s="68"/>
      <c r="M43" s="68"/>
      <c r="N43" s="68"/>
      <c r="O43" s="68"/>
      <c r="P43" s="68"/>
      <c r="Q43" s="68"/>
      <c r="R43" s="68"/>
      <c r="S43" s="68"/>
      <c r="T43" s="68"/>
      <c r="U43" s="68"/>
      <c r="V43" s="68"/>
      <c r="W43" s="68"/>
      <c r="X43" s="68"/>
      <c r="Y43" s="68">
        <v>2</v>
      </c>
    </row>
    <row r="44" spans="1:25">
      <c r="A44" s="8">
        <v>41322</v>
      </c>
      <c r="B44" s="68"/>
      <c r="C44" s="68">
        <v>5</v>
      </c>
      <c r="D44" s="68"/>
      <c r="E44" s="68"/>
      <c r="F44" s="68"/>
      <c r="G44" s="68"/>
      <c r="H44" s="68"/>
      <c r="I44" s="68"/>
      <c r="J44" s="68"/>
      <c r="K44" s="68"/>
      <c r="L44" s="68"/>
      <c r="M44" s="68"/>
      <c r="N44" s="68"/>
      <c r="O44" s="68"/>
      <c r="P44" s="68"/>
      <c r="Q44" s="68"/>
      <c r="R44" s="68"/>
      <c r="S44" s="68"/>
      <c r="T44" s="68"/>
      <c r="U44" s="68"/>
      <c r="V44" s="68"/>
      <c r="W44" s="68"/>
      <c r="X44" s="68"/>
      <c r="Y44" s="68">
        <v>5</v>
      </c>
    </row>
    <row r="45" spans="1:25">
      <c r="A45" s="8">
        <v>41323</v>
      </c>
      <c r="B45" s="68"/>
      <c r="C45" s="68">
        <v>9</v>
      </c>
      <c r="D45" s="68"/>
      <c r="E45" s="68"/>
      <c r="F45" s="68"/>
      <c r="G45" s="68"/>
      <c r="H45" s="68"/>
      <c r="I45" s="68"/>
      <c r="J45" s="68"/>
      <c r="K45" s="68"/>
      <c r="L45" s="68"/>
      <c r="M45" s="68"/>
      <c r="N45" s="68"/>
      <c r="O45" s="68"/>
      <c r="P45" s="68"/>
      <c r="Q45" s="68"/>
      <c r="R45" s="68"/>
      <c r="S45" s="68"/>
      <c r="T45" s="68"/>
      <c r="U45" s="68"/>
      <c r="V45" s="68"/>
      <c r="W45" s="68"/>
      <c r="X45" s="68"/>
      <c r="Y45" s="68">
        <v>9</v>
      </c>
    </row>
    <row r="46" spans="1:25">
      <c r="A46" s="8">
        <v>41324</v>
      </c>
      <c r="B46" s="68"/>
      <c r="C46" s="68"/>
      <c r="D46" s="68">
        <v>42</v>
      </c>
      <c r="E46" s="68"/>
      <c r="F46" s="68"/>
      <c r="G46" s="68"/>
      <c r="H46" s="68"/>
      <c r="I46" s="68"/>
      <c r="J46" s="68"/>
      <c r="K46" s="68"/>
      <c r="L46" s="68"/>
      <c r="M46" s="68"/>
      <c r="N46" s="68"/>
      <c r="O46" s="68"/>
      <c r="P46" s="68"/>
      <c r="Q46" s="68"/>
      <c r="R46" s="68"/>
      <c r="S46" s="68"/>
      <c r="T46" s="68"/>
      <c r="U46" s="68"/>
      <c r="V46" s="68"/>
      <c r="W46" s="68"/>
      <c r="X46" s="68"/>
      <c r="Y46" s="68">
        <v>42</v>
      </c>
    </row>
    <row r="47" spans="1:25">
      <c r="A47" s="8">
        <v>41325</v>
      </c>
      <c r="B47" s="68"/>
      <c r="C47" s="68"/>
      <c r="D47" s="68">
        <v>20</v>
      </c>
      <c r="E47" s="68"/>
      <c r="F47" s="68"/>
      <c r="G47" s="68"/>
      <c r="H47" s="68"/>
      <c r="I47" s="68"/>
      <c r="J47" s="68"/>
      <c r="K47" s="68"/>
      <c r="L47" s="68"/>
      <c r="M47" s="68"/>
      <c r="N47" s="68"/>
      <c r="O47" s="68"/>
      <c r="P47" s="68"/>
      <c r="Q47" s="68"/>
      <c r="R47" s="68"/>
      <c r="S47" s="68"/>
      <c r="T47" s="68"/>
      <c r="U47" s="68"/>
      <c r="V47" s="68"/>
      <c r="W47" s="68"/>
      <c r="X47" s="68"/>
      <c r="Y47" s="68">
        <v>20</v>
      </c>
    </row>
    <row r="48" spans="1:25">
      <c r="A48" s="8">
        <v>41326</v>
      </c>
      <c r="B48" s="68"/>
      <c r="C48" s="68"/>
      <c r="D48" s="68">
        <v>25</v>
      </c>
      <c r="E48" s="68"/>
      <c r="F48" s="68"/>
      <c r="G48" s="68"/>
      <c r="H48" s="68"/>
      <c r="I48" s="68"/>
      <c r="J48" s="68"/>
      <c r="K48" s="68"/>
      <c r="L48" s="68"/>
      <c r="M48" s="68"/>
      <c r="N48" s="68"/>
      <c r="O48" s="68"/>
      <c r="P48" s="68"/>
      <c r="Q48" s="68"/>
      <c r="R48" s="68"/>
      <c r="S48" s="68"/>
      <c r="T48" s="68"/>
      <c r="U48" s="68"/>
      <c r="V48" s="68"/>
      <c r="W48" s="68"/>
      <c r="X48" s="68"/>
      <c r="Y48" s="68">
        <v>25</v>
      </c>
    </row>
    <row r="49" spans="1:25">
      <c r="A49" s="8">
        <v>41327</v>
      </c>
      <c r="B49" s="68"/>
      <c r="C49" s="68"/>
      <c r="D49" s="68">
        <v>23</v>
      </c>
      <c r="E49" s="68"/>
      <c r="F49" s="68"/>
      <c r="G49" s="68"/>
      <c r="H49" s="68"/>
      <c r="I49" s="68"/>
      <c r="J49" s="68"/>
      <c r="K49" s="68"/>
      <c r="L49" s="68"/>
      <c r="M49" s="68"/>
      <c r="N49" s="68"/>
      <c r="O49" s="68"/>
      <c r="P49" s="68"/>
      <c r="Q49" s="68"/>
      <c r="R49" s="68"/>
      <c r="S49" s="68"/>
      <c r="T49" s="68"/>
      <c r="U49" s="68"/>
      <c r="V49" s="68"/>
      <c r="W49" s="68"/>
      <c r="X49" s="68"/>
      <c r="Y49" s="68">
        <v>23</v>
      </c>
    </row>
    <row r="50" spans="1:25">
      <c r="A50" s="8">
        <v>41328</v>
      </c>
      <c r="B50" s="68"/>
      <c r="C50" s="68"/>
      <c r="D50" s="68">
        <v>22</v>
      </c>
      <c r="E50" s="68"/>
      <c r="F50" s="68"/>
      <c r="G50" s="68"/>
      <c r="H50" s="68"/>
      <c r="I50" s="68"/>
      <c r="J50" s="68"/>
      <c r="K50" s="68"/>
      <c r="L50" s="68"/>
      <c r="M50" s="68"/>
      <c r="N50" s="68"/>
      <c r="O50" s="68"/>
      <c r="P50" s="68"/>
      <c r="Q50" s="68"/>
      <c r="R50" s="68"/>
      <c r="S50" s="68"/>
      <c r="T50" s="68"/>
      <c r="U50" s="68"/>
      <c r="V50" s="68"/>
      <c r="W50" s="68"/>
      <c r="X50" s="68"/>
      <c r="Y50" s="68">
        <v>22</v>
      </c>
    </row>
    <row r="51" spans="1:25">
      <c r="A51" s="8">
        <v>41329</v>
      </c>
      <c r="B51" s="68"/>
      <c r="C51" s="68"/>
      <c r="D51" s="68">
        <v>18</v>
      </c>
      <c r="E51" s="68"/>
      <c r="F51" s="68"/>
      <c r="G51" s="68"/>
      <c r="H51" s="68"/>
      <c r="I51" s="68"/>
      <c r="J51" s="68"/>
      <c r="K51" s="68"/>
      <c r="L51" s="68"/>
      <c r="M51" s="68"/>
      <c r="N51" s="68"/>
      <c r="O51" s="68"/>
      <c r="P51" s="68"/>
      <c r="Q51" s="68"/>
      <c r="R51" s="68"/>
      <c r="S51" s="68"/>
      <c r="T51" s="68"/>
      <c r="U51" s="68"/>
      <c r="V51" s="68"/>
      <c r="W51" s="68"/>
      <c r="X51" s="68"/>
      <c r="Y51" s="68">
        <v>18</v>
      </c>
    </row>
    <row r="52" spans="1:25">
      <c r="A52" s="8">
        <v>41330</v>
      </c>
      <c r="B52" s="68"/>
      <c r="C52" s="68"/>
      <c r="D52" s="68">
        <v>5</v>
      </c>
      <c r="E52" s="68"/>
      <c r="F52" s="68"/>
      <c r="G52" s="68"/>
      <c r="H52" s="68"/>
      <c r="I52" s="68"/>
      <c r="J52" s="68"/>
      <c r="K52" s="68"/>
      <c r="L52" s="68"/>
      <c r="M52" s="68"/>
      <c r="N52" s="68"/>
      <c r="O52" s="68"/>
      <c r="P52" s="68"/>
      <c r="Q52" s="68"/>
      <c r="R52" s="68"/>
      <c r="S52" s="68"/>
      <c r="T52" s="68"/>
      <c r="U52" s="68"/>
      <c r="V52" s="68"/>
      <c r="W52" s="68"/>
      <c r="X52" s="68"/>
      <c r="Y52" s="68">
        <v>5</v>
      </c>
    </row>
    <row r="53" spans="1:25">
      <c r="A53" s="8">
        <v>41331</v>
      </c>
      <c r="B53" s="68"/>
      <c r="C53" s="68"/>
      <c r="D53" s="68">
        <v>9</v>
      </c>
      <c r="E53" s="68"/>
      <c r="F53" s="68"/>
      <c r="G53" s="68"/>
      <c r="H53" s="68"/>
      <c r="I53" s="68"/>
      <c r="J53" s="68"/>
      <c r="K53" s="68"/>
      <c r="L53" s="68"/>
      <c r="M53" s="68"/>
      <c r="N53" s="68"/>
      <c r="O53" s="68"/>
      <c r="P53" s="68"/>
      <c r="Q53" s="68"/>
      <c r="R53" s="68"/>
      <c r="S53" s="68"/>
      <c r="T53" s="68"/>
      <c r="U53" s="68"/>
      <c r="V53" s="68"/>
      <c r="W53" s="68"/>
      <c r="X53" s="68"/>
      <c r="Y53" s="68">
        <v>9</v>
      </c>
    </row>
    <row r="54" spans="1:25">
      <c r="A54" s="8">
        <v>41332</v>
      </c>
      <c r="B54" s="68"/>
      <c r="C54" s="68"/>
      <c r="D54" s="68">
        <v>3</v>
      </c>
      <c r="E54" s="68"/>
      <c r="F54" s="68"/>
      <c r="G54" s="68"/>
      <c r="H54" s="68"/>
      <c r="I54" s="68"/>
      <c r="J54" s="68"/>
      <c r="K54" s="68"/>
      <c r="L54" s="68"/>
      <c r="M54" s="68"/>
      <c r="N54" s="68"/>
      <c r="O54" s="68"/>
      <c r="P54" s="68"/>
      <c r="Q54" s="68"/>
      <c r="R54" s="68"/>
      <c r="S54" s="68"/>
      <c r="T54" s="68"/>
      <c r="U54" s="68"/>
      <c r="V54" s="68"/>
      <c r="W54" s="68"/>
      <c r="X54" s="68"/>
      <c r="Y54" s="68">
        <v>3</v>
      </c>
    </row>
    <row r="55" spans="1:25">
      <c r="A55" s="8">
        <v>41333</v>
      </c>
      <c r="B55" s="68"/>
      <c r="C55" s="68"/>
      <c r="D55" s="68">
        <v>15</v>
      </c>
      <c r="E55" s="68"/>
      <c r="F55" s="68"/>
      <c r="G55" s="68"/>
      <c r="H55" s="68"/>
      <c r="I55" s="68"/>
      <c r="J55" s="68"/>
      <c r="K55" s="68"/>
      <c r="L55" s="68"/>
      <c r="M55" s="68"/>
      <c r="N55" s="68"/>
      <c r="O55" s="68"/>
      <c r="P55" s="68"/>
      <c r="Q55" s="68"/>
      <c r="R55" s="68"/>
      <c r="S55" s="68"/>
      <c r="T55" s="68"/>
      <c r="U55" s="68"/>
      <c r="V55" s="68"/>
      <c r="W55" s="68"/>
      <c r="X55" s="68"/>
      <c r="Y55" s="68">
        <v>15</v>
      </c>
    </row>
    <row r="56" spans="1:25">
      <c r="A56" s="8">
        <v>41334</v>
      </c>
      <c r="B56" s="68"/>
      <c r="C56" s="68"/>
      <c r="D56" s="68">
        <v>6</v>
      </c>
      <c r="E56" s="68"/>
      <c r="F56" s="68"/>
      <c r="G56" s="68"/>
      <c r="H56" s="68"/>
      <c r="I56" s="68"/>
      <c r="J56" s="68"/>
      <c r="K56" s="68"/>
      <c r="L56" s="68"/>
      <c r="M56" s="68"/>
      <c r="N56" s="68"/>
      <c r="O56" s="68"/>
      <c r="P56" s="68"/>
      <c r="Q56" s="68"/>
      <c r="R56" s="68"/>
      <c r="S56" s="68"/>
      <c r="T56" s="68"/>
      <c r="U56" s="68"/>
      <c r="V56" s="68"/>
      <c r="W56" s="68"/>
      <c r="X56" s="68"/>
      <c r="Y56" s="68">
        <v>6</v>
      </c>
    </row>
    <row r="57" spans="1:25">
      <c r="A57" s="8">
        <v>41335</v>
      </c>
      <c r="B57" s="68"/>
      <c r="C57" s="68"/>
      <c r="D57" s="68">
        <v>3</v>
      </c>
      <c r="E57" s="68"/>
      <c r="F57" s="68"/>
      <c r="G57" s="68"/>
      <c r="H57" s="68"/>
      <c r="I57" s="68"/>
      <c r="J57" s="68"/>
      <c r="K57" s="68"/>
      <c r="L57" s="68"/>
      <c r="M57" s="68"/>
      <c r="N57" s="68"/>
      <c r="O57" s="68"/>
      <c r="P57" s="68"/>
      <c r="Q57" s="68"/>
      <c r="R57" s="68"/>
      <c r="S57" s="68"/>
      <c r="T57" s="68"/>
      <c r="U57" s="68"/>
      <c r="V57" s="68"/>
      <c r="W57" s="68"/>
      <c r="X57" s="68"/>
      <c r="Y57" s="68">
        <v>3</v>
      </c>
    </row>
    <row r="58" spans="1:25">
      <c r="A58" s="8">
        <v>41336</v>
      </c>
      <c r="B58" s="68"/>
      <c r="C58" s="68"/>
      <c r="D58" s="68">
        <v>4</v>
      </c>
      <c r="E58" s="68"/>
      <c r="F58" s="68"/>
      <c r="G58" s="68"/>
      <c r="H58" s="68"/>
      <c r="I58" s="68"/>
      <c r="J58" s="68"/>
      <c r="K58" s="68"/>
      <c r="L58" s="68"/>
      <c r="M58" s="68"/>
      <c r="N58" s="68"/>
      <c r="O58" s="68"/>
      <c r="P58" s="68"/>
      <c r="Q58" s="68"/>
      <c r="R58" s="68"/>
      <c r="S58" s="68"/>
      <c r="T58" s="68"/>
      <c r="U58" s="68"/>
      <c r="V58" s="68"/>
      <c r="W58" s="68"/>
      <c r="X58" s="68"/>
      <c r="Y58" s="68">
        <v>4</v>
      </c>
    </row>
    <row r="59" spans="1:25">
      <c r="A59" s="8">
        <v>41337</v>
      </c>
      <c r="B59" s="68"/>
      <c r="C59" s="68"/>
      <c r="D59" s="68"/>
      <c r="E59" s="68">
        <v>7</v>
      </c>
      <c r="F59" s="68"/>
      <c r="G59" s="68"/>
      <c r="H59" s="68"/>
      <c r="I59" s="68"/>
      <c r="J59" s="68"/>
      <c r="K59" s="68"/>
      <c r="L59" s="68"/>
      <c r="M59" s="68"/>
      <c r="N59" s="68"/>
      <c r="O59" s="68"/>
      <c r="P59" s="68"/>
      <c r="Q59" s="68"/>
      <c r="R59" s="68"/>
      <c r="S59" s="68"/>
      <c r="T59" s="68"/>
      <c r="U59" s="68"/>
      <c r="V59" s="68"/>
      <c r="W59" s="68"/>
      <c r="X59" s="68"/>
      <c r="Y59" s="68">
        <v>7</v>
      </c>
    </row>
    <row r="60" spans="1:25">
      <c r="A60" s="8">
        <v>41338</v>
      </c>
      <c r="B60" s="68"/>
      <c r="C60" s="68"/>
      <c r="D60" s="68"/>
      <c r="E60" s="68">
        <v>35</v>
      </c>
      <c r="F60" s="68"/>
      <c r="G60" s="68"/>
      <c r="H60" s="68"/>
      <c r="I60" s="68"/>
      <c r="J60" s="68"/>
      <c r="K60" s="68"/>
      <c r="L60" s="68"/>
      <c r="M60" s="68"/>
      <c r="N60" s="68"/>
      <c r="O60" s="68"/>
      <c r="P60" s="68"/>
      <c r="Q60" s="68"/>
      <c r="R60" s="68"/>
      <c r="S60" s="68"/>
      <c r="T60" s="68"/>
      <c r="U60" s="68"/>
      <c r="V60" s="68"/>
      <c r="W60" s="68"/>
      <c r="X60" s="68"/>
      <c r="Y60" s="68">
        <v>35</v>
      </c>
    </row>
    <row r="61" spans="1:25">
      <c r="A61" s="8">
        <v>41339</v>
      </c>
      <c r="B61" s="68"/>
      <c r="C61" s="68"/>
      <c r="D61" s="68"/>
      <c r="E61" s="68">
        <v>12</v>
      </c>
      <c r="F61" s="68"/>
      <c r="G61" s="68"/>
      <c r="H61" s="68"/>
      <c r="I61" s="68"/>
      <c r="J61" s="68"/>
      <c r="K61" s="68"/>
      <c r="L61" s="68"/>
      <c r="M61" s="68"/>
      <c r="N61" s="68"/>
      <c r="O61" s="68"/>
      <c r="P61" s="68"/>
      <c r="Q61" s="68"/>
      <c r="R61" s="68"/>
      <c r="S61" s="68"/>
      <c r="T61" s="68"/>
      <c r="U61" s="68"/>
      <c r="V61" s="68"/>
      <c r="W61" s="68"/>
      <c r="X61" s="68"/>
      <c r="Y61" s="68">
        <v>12</v>
      </c>
    </row>
    <row r="62" spans="1:25">
      <c r="A62" s="8">
        <v>41340</v>
      </c>
      <c r="B62" s="68"/>
      <c r="C62" s="68"/>
      <c r="D62" s="68"/>
      <c r="E62" s="68">
        <v>19</v>
      </c>
      <c r="F62" s="68"/>
      <c r="G62" s="68"/>
      <c r="H62" s="68"/>
      <c r="I62" s="68"/>
      <c r="J62" s="68"/>
      <c r="K62" s="68"/>
      <c r="L62" s="68"/>
      <c r="M62" s="68"/>
      <c r="N62" s="68"/>
      <c r="O62" s="68"/>
      <c r="P62" s="68"/>
      <c r="Q62" s="68"/>
      <c r="R62" s="68"/>
      <c r="S62" s="68"/>
      <c r="T62" s="68"/>
      <c r="U62" s="68"/>
      <c r="V62" s="68"/>
      <c r="W62" s="68"/>
      <c r="X62" s="68"/>
      <c r="Y62" s="68">
        <v>19</v>
      </c>
    </row>
    <row r="63" spans="1:25">
      <c r="A63" s="8">
        <v>41341</v>
      </c>
      <c r="B63" s="68"/>
      <c r="C63" s="68"/>
      <c r="D63" s="68"/>
      <c r="E63" s="68">
        <v>18</v>
      </c>
      <c r="F63" s="68"/>
      <c r="G63" s="68"/>
      <c r="H63" s="68"/>
      <c r="I63" s="68"/>
      <c r="J63" s="68"/>
      <c r="K63" s="68"/>
      <c r="L63" s="68"/>
      <c r="M63" s="68"/>
      <c r="N63" s="68"/>
      <c r="O63" s="68"/>
      <c r="P63" s="68"/>
      <c r="Q63" s="68"/>
      <c r="R63" s="68"/>
      <c r="S63" s="68"/>
      <c r="T63" s="68"/>
      <c r="U63" s="68"/>
      <c r="V63" s="68"/>
      <c r="W63" s="68"/>
      <c r="X63" s="68"/>
      <c r="Y63" s="68">
        <v>18</v>
      </c>
    </row>
    <row r="64" spans="1:25">
      <c r="A64" s="8">
        <v>41342</v>
      </c>
      <c r="B64" s="68"/>
      <c r="C64" s="68"/>
      <c r="D64" s="68"/>
      <c r="E64" s="68">
        <v>6</v>
      </c>
      <c r="F64" s="68"/>
      <c r="G64" s="68"/>
      <c r="H64" s="68"/>
      <c r="I64" s="68"/>
      <c r="J64" s="68"/>
      <c r="K64" s="68"/>
      <c r="L64" s="68"/>
      <c r="M64" s="68"/>
      <c r="N64" s="68"/>
      <c r="O64" s="68"/>
      <c r="P64" s="68"/>
      <c r="Q64" s="68"/>
      <c r="R64" s="68"/>
      <c r="S64" s="68"/>
      <c r="T64" s="68"/>
      <c r="U64" s="68"/>
      <c r="V64" s="68"/>
      <c r="W64" s="68"/>
      <c r="X64" s="68"/>
      <c r="Y64" s="68">
        <v>6</v>
      </c>
    </row>
    <row r="65" spans="1:25">
      <c r="A65" s="8">
        <v>41343</v>
      </c>
      <c r="B65" s="68"/>
      <c r="C65" s="68"/>
      <c r="D65" s="68"/>
      <c r="E65" s="68">
        <v>6</v>
      </c>
      <c r="F65" s="68"/>
      <c r="G65" s="68"/>
      <c r="H65" s="68"/>
      <c r="I65" s="68"/>
      <c r="J65" s="68"/>
      <c r="K65" s="68"/>
      <c r="L65" s="68"/>
      <c r="M65" s="68"/>
      <c r="N65" s="68"/>
      <c r="O65" s="68"/>
      <c r="P65" s="68"/>
      <c r="Q65" s="68"/>
      <c r="R65" s="68"/>
      <c r="S65" s="68"/>
      <c r="T65" s="68"/>
      <c r="U65" s="68"/>
      <c r="V65" s="68"/>
      <c r="W65" s="68"/>
      <c r="X65" s="68"/>
      <c r="Y65" s="68">
        <v>6</v>
      </c>
    </row>
    <row r="66" spans="1:25">
      <c r="A66" s="8">
        <v>41344</v>
      </c>
      <c r="B66" s="68"/>
      <c r="C66" s="68"/>
      <c r="D66" s="68"/>
      <c r="E66" s="68">
        <v>3</v>
      </c>
      <c r="F66" s="68"/>
      <c r="G66" s="68"/>
      <c r="H66" s="68"/>
      <c r="I66" s="68"/>
      <c r="J66" s="68"/>
      <c r="K66" s="68"/>
      <c r="L66" s="68"/>
      <c r="M66" s="68"/>
      <c r="N66" s="68"/>
      <c r="O66" s="68"/>
      <c r="P66" s="68"/>
      <c r="Q66" s="68"/>
      <c r="R66" s="68"/>
      <c r="S66" s="68"/>
      <c r="T66" s="68"/>
      <c r="U66" s="68"/>
      <c r="V66" s="68"/>
      <c r="W66" s="68"/>
      <c r="X66" s="68"/>
      <c r="Y66" s="68">
        <v>3</v>
      </c>
    </row>
    <row r="67" spans="1:25">
      <c r="A67" s="8">
        <v>41345</v>
      </c>
      <c r="B67" s="68"/>
      <c r="C67" s="68"/>
      <c r="D67" s="68"/>
      <c r="E67" s="68">
        <v>10</v>
      </c>
      <c r="F67" s="68"/>
      <c r="G67" s="68"/>
      <c r="H67" s="68"/>
      <c r="I67" s="68"/>
      <c r="J67" s="68"/>
      <c r="K67" s="68"/>
      <c r="L67" s="68"/>
      <c r="M67" s="68"/>
      <c r="N67" s="68"/>
      <c r="O67" s="68"/>
      <c r="P67" s="68"/>
      <c r="Q67" s="68"/>
      <c r="R67" s="68"/>
      <c r="S67" s="68"/>
      <c r="T67" s="68"/>
      <c r="U67" s="68"/>
      <c r="V67" s="68"/>
      <c r="W67" s="68"/>
      <c r="X67" s="68"/>
      <c r="Y67" s="68">
        <v>10</v>
      </c>
    </row>
    <row r="68" spans="1:25">
      <c r="A68" s="8">
        <v>41346</v>
      </c>
      <c r="B68" s="68"/>
      <c r="C68" s="68"/>
      <c r="D68" s="68"/>
      <c r="E68" s="68">
        <v>9</v>
      </c>
      <c r="F68" s="68"/>
      <c r="G68" s="68"/>
      <c r="H68" s="68"/>
      <c r="I68" s="68"/>
      <c r="J68" s="68"/>
      <c r="K68" s="68"/>
      <c r="L68" s="68"/>
      <c r="M68" s="68"/>
      <c r="N68" s="68"/>
      <c r="O68" s="68"/>
      <c r="P68" s="68"/>
      <c r="Q68" s="68"/>
      <c r="R68" s="68"/>
      <c r="S68" s="68"/>
      <c r="T68" s="68"/>
      <c r="U68" s="68"/>
      <c r="V68" s="68"/>
      <c r="W68" s="68"/>
      <c r="X68" s="68"/>
      <c r="Y68" s="68">
        <v>9</v>
      </c>
    </row>
    <row r="69" spans="1:25">
      <c r="A69" s="8">
        <v>41347</v>
      </c>
      <c r="B69" s="68"/>
      <c r="C69" s="68"/>
      <c r="D69" s="68"/>
      <c r="E69" s="68">
        <v>36</v>
      </c>
      <c r="F69" s="68"/>
      <c r="G69" s="68"/>
      <c r="H69" s="68"/>
      <c r="I69" s="68"/>
      <c r="J69" s="68"/>
      <c r="K69" s="68"/>
      <c r="L69" s="68"/>
      <c r="M69" s="68"/>
      <c r="N69" s="68"/>
      <c r="O69" s="68"/>
      <c r="P69" s="68"/>
      <c r="Q69" s="68"/>
      <c r="R69" s="68"/>
      <c r="S69" s="68"/>
      <c r="T69" s="68"/>
      <c r="U69" s="68"/>
      <c r="V69" s="68"/>
      <c r="W69" s="68"/>
      <c r="X69" s="68"/>
      <c r="Y69" s="68">
        <v>36</v>
      </c>
    </row>
    <row r="70" spans="1:25">
      <c r="A70" s="8">
        <v>41348</v>
      </c>
      <c r="B70" s="68"/>
      <c r="C70" s="68"/>
      <c r="D70" s="68"/>
      <c r="E70" s="68">
        <v>16</v>
      </c>
      <c r="F70" s="68"/>
      <c r="G70" s="68"/>
      <c r="H70" s="68"/>
      <c r="I70" s="68"/>
      <c r="J70" s="68"/>
      <c r="K70" s="68"/>
      <c r="L70" s="68"/>
      <c r="M70" s="68"/>
      <c r="N70" s="68"/>
      <c r="O70" s="68"/>
      <c r="P70" s="68"/>
      <c r="Q70" s="68"/>
      <c r="R70" s="68"/>
      <c r="S70" s="68"/>
      <c r="T70" s="68"/>
      <c r="U70" s="68"/>
      <c r="V70" s="68"/>
      <c r="W70" s="68"/>
      <c r="X70" s="68"/>
      <c r="Y70" s="68">
        <v>16</v>
      </c>
    </row>
    <row r="71" spans="1:25">
      <c r="A71" s="8">
        <v>41349</v>
      </c>
      <c r="B71" s="68"/>
      <c r="C71" s="68"/>
      <c r="D71" s="68"/>
      <c r="E71" s="68">
        <v>5</v>
      </c>
      <c r="F71" s="68"/>
      <c r="G71" s="68"/>
      <c r="H71" s="68"/>
      <c r="I71" s="68"/>
      <c r="J71" s="68"/>
      <c r="K71" s="68"/>
      <c r="L71" s="68"/>
      <c r="M71" s="68"/>
      <c r="N71" s="68"/>
      <c r="O71" s="68"/>
      <c r="P71" s="68"/>
      <c r="Q71" s="68"/>
      <c r="R71" s="68"/>
      <c r="S71" s="68"/>
      <c r="T71" s="68"/>
      <c r="U71" s="68"/>
      <c r="V71" s="68"/>
      <c r="W71" s="68"/>
      <c r="X71" s="68"/>
      <c r="Y71" s="68">
        <v>5</v>
      </c>
    </row>
    <row r="72" spans="1:25">
      <c r="A72" s="8">
        <v>41350</v>
      </c>
      <c r="B72" s="68"/>
      <c r="C72" s="68"/>
      <c r="D72" s="68"/>
      <c r="E72" s="68">
        <v>14</v>
      </c>
      <c r="F72" s="68"/>
      <c r="G72" s="68"/>
      <c r="H72" s="68"/>
      <c r="I72" s="68"/>
      <c r="J72" s="68"/>
      <c r="K72" s="68"/>
      <c r="L72" s="68"/>
      <c r="M72" s="68"/>
      <c r="N72" s="68"/>
      <c r="O72" s="68"/>
      <c r="P72" s="68"/>
      <c r="Q72" s="68"/>
      <c r="R72" s="68"/>
      <c r="S72" s="68"/>
      <c r="T72" s="68"/>
      <c r="U72" s="68"/>
      <c r="V72" s="68"/>
      <c r="W72" s="68"/>
      <c r="X72" s="68"/>
      <c r="Y72" s="68">
        <v>14</v>
      </c>
    </row>
    <row r="73" spans="1:25">
      <c r="A73" s="8">
        <v>41351</v>
      </c>
      <c r="B73" s="68"/>
      <c r="C73" s="68"/>
      <c r="D73" s="68"/>
      <c r="E73" s="68">
        <v>14</v>
      </c>
      <c r="F73" s="68"/>
      <c r="G73" s="68"/>
      <c r="H73" s="68"/>
      <c r="I73" s="68"/>
      <c r="J73" s="68"/>
      <c r="K73" s="68"/>
      <c r="L73" s="68"/>
      <c r="M73" s="68"/>
      <c r="N73" s="68"/>
      <c r="O73" s="68"/>
      <c r="P73" s="68"/>
      <c r="Q73" s="68"/>
      <c r="R73" s="68"/>
      <c r="S73" s="68"/>
      <c r="T73" s="68"/>
      <c r="U73" s="68"/>
      <c r="V73" s="68"/>
      <c r="W73" s="68"/>
      <c r="X73" s="68"/>
      <c r="Y73" s="68">
        <v>14</v>
      </c>
    </row>
    <row r="74" spans="1:25">
      <c r="A74" s="8">
        <v>41352</v>
      </c>
      <c r="B74" s="68"/>
      <c r="C74" s="68"/>
      <c r="D74" s="68"/>
      <c r="E74" s="68"/>
      <c r="F74" s="68">
        <v>58</v>
      </c>
      <c r="G74" s="68"/>
      <c r="H74" s="68"/>
      <c r="I74" s="68"/>
      <c r="J74" s="68"/>
      <c r="K74" s="68"/>
      <c r="L74" s="68"/>
      <c r="M74" s="68"/>
      <c r="N74" s="68"/>
      <c r="O74" s="68"/>
      <c r="P74" s="68"/>
      <c r="Q74" s="68"/>
      <c r="R74" s="68"/>
      <c r="S74" s="68"/>
      <c r="T74" s="68"/>
      <c r="U74" s="68"/>
      <c r="V74" s="68"/>
      <c r="W74" s="68"/>
      <c r="X74" s="68"/>
      <c r="Y74" s="68">
        <v>58</v>
      </c>
    </row>
    <row r="75" spans="1:25">
      <c r="A75" s="8">
        <v>41353</v>
      </c>
      <c r="B75" s="68"/>
      <c r="C75" s="68"/>
      <c r="D75" s="68"/>
      <c r="E75" s="68"/>
      <c r="F75" s="68">
        <v>30</v>
      </c>
      <c r="G75" s="68"/>
      <c r="H75" s="68"/>
      <c r="I75" s="68"/>
      <c r="J75" s="68"/>
      <c r="K75" s="68"/>
      <c r="L75" s="68"/>
      <c r="M75" s="68"/>
      <c r="N75" s="68"/>
      <c r="O75" s="68"/>
      <c r="P75" s="68"/>
      <c r="Q75" s="68"/>
      <c r="R75" s="68"/>
      <c r="S75" s="68"/>
      <c r="T75" s="68"/>
      <c r="U75" s="68"/>
      <c r="V75" s="68"/>
      <c r="W75" s="68"/>
      <c r="X75" s="68"/>
      <c r="Y75" s="68">
        <v>30</v>
      </c>
    </row>
    <row r="76" spans="1:25">
      <c r="A76" s="8">
        <v>41354</v>
      </c>
      <c r="B76" s="68"/>
      <c r="C76" s="68"/>
      <c r="D76" s="68"/>
      <c r="E76" s="68"/>
      <c r="F76" s="68">
        <v>24</v>
      </c>
      <c r="G76" s="68"/>
      <c r="H76" s="68"/>
      <c r="I76" s="68"/>
      <c r="J76" s="68"/>
      <c r="K76" s="68"/>
      <c r="L76" s="68"/>
      <c r="M76" s="68"/>
      <c r="N76" s="68"/>
      <c r="O76" s="68"/>
      <c r="P76" s="68"/>
      <c r="Q76" s="68"/>
      <c r="R76" s="68"/>
      <c r="S76" s="68"/>
      <c r="T76" s="68"/>
      <c r="U76" s="68"/>
      <c r="V76" s="68"/>
      <c r="W76" s="68"/>
      <c r="X76" s="68"/>
      <c r="Y76" s="68">
        <v>24</v>
      </c>
    </row>
    <row r="77" spans="1:25">
      <c r="A77" s="8">
        <v>41355</v>
      </c>
      <c r="B77" s="68"/>
      <c r="C77" s="68"/>
      <c r="D77" s="68"/>
      <c r="E77" s="68"/>
      <c r="F77" s="68">
        <v>30</v>
      </c>
      <c r="G77" s="68"/>
      <c r="H77" s="68"/>
      <c r="I77" s="68"/>
      <c r="J77" s="68"/>
      <c r="K77" s="68"/>
      <c r="L77" s="68"/>
      <c r="M77" s="68"/>
      <c r="N77" s="68"/>
      <c r="O77" s="68"/>
      <c r="P77" s="68"/>
      <c r="Q77" s="68"/>
      <c r="R77" s="68"/>
      <c r="S77" s="68"/>
      <c r="T77" s="68"/>
      <c r="U77" s="68"/>
      <c r="V77" s="68"/>
      <c r="W77" s="68"/>
      <c r="X77" s="68"/>
      <c r="Y77" s="68">
        <v>30</v>
      </c>
    </row>
    <row r="78" spans="1:25">
      <c r="A78" s="8">
        <v>41356</v>
      </c>
      <c r="B78" s="68"/>
      <c r="C78" s="68"/>
      <c r="D78" s="68"/>
      <c r="E78" s="68"/>
      <c r="F78" s="68">
        <v>18</v>
      </c>
      <c r="G78" s="68"/>
      <c r="H78" s="68"/>
      <c r="I78" s="68"/>
      <c r="J78" s="68"/>
      <c r="K78" s="68"/>
      <c r="L78" s="68"/>
      <c r="M78" s="68"/>
      <c r="N78" s="68"/>
      <c r="O78" s="68"/>
      <c r="P78" s="68"/>
      <c r="Q78" s="68"/>
      <c r="R78" s="68"/>
      <c r="S78" s="68"/>
      <c r="T78" s="68"/>
      <c r="U78" s="68"/>
      <c r="V78" s="68"/>
      <c r="W78" s="68"/>
      <c r="X78" s="68"/>
      <c r="Y78" s="68">
        <v>18</v>
      </c>
    </row>
    <row r="79" spans="1:25">
      <c r="A79" s="8">
        <v>41357</v>
      </c>
      <c r="B79" s="68"/>
      <c r="C79" s="68"/>
      <c r="D79" s="68"/>
      <c r="E79" s="68"/>
      <c r="F79" s="68">
        <v>27</v>
      </c>
      <c r="G79" s="68"/>
      <c r="H79" s="68"/>
      <c r="I79" s="68"/>
      <c r="J79" s="68"/>
      <c r="K79" s="68"/>
      <c r="L79" s="68"/>
      <c r="M79" s="68"/>
      <c r="N79" s="68"/>
      <c r="O79" s="68"/>
      <c r="P79" s="68"/>
      <c r="Q79" s="68"/>
      <c r="R79" s="68"/>
      <c r="S79" s="68"/>
      <c r="T79" s="68"/>
      <c r="U79" s="68"/>
      <c r="V79" s="68"/>
      <c r="W79" s="68"/>
      <c r="X79" s="68"/>
      <c r="Y79" s="68">
        <v>27</v>
      </c>
    </row>
    <row r="80" spans="1:25">
      <c r="A80" s="8">
        <v>41358</v>
      </c>
      <c r="B80" s="68"/>
      <c r="C80" s="68"/>
      <c r="D80" s="68"/>
      <c r="E80" s="68"/>
      <c r="F80" s="68">
        <v>21</v>
      </c>
      <c r="G80" s="68"/>
      <c r="H80" s="68"/>
      <c r="I80" s="68"/>
      <c r="J80" s="68"/>
      <c r="K80" s="68"/>
      <c r="L80" s="68"/>
      <c r="M80" s="68"/>
      <c r="N80" s="68"/>
      <c r="O80" s="68"/>
      <c r="P80" s="68"/>
      <c r="Q80" s="68"/>
      <c r="R80" s="68"/>
      <c r="S80" s="68"/>
      <c r="T80" s="68"/>
      <c r="U80" s="68"/>
      <c r="V80" s="68"/>
      <c r="W80" s="68"/>
      <c r="X80" s="68"/>
      <c r="Y80" s="68">
        <v>21</v>
      </c>
    </row>
    <row r="81" spans="1:25">
      <c r="A81" s="8">
        <v>41359</v>
      </c>
      <c r="B81" s="68"/>
      <c r="C81" s="68"/>
      <c r="D81" s="68"/>
      <c r="E81" s="68"/>
      <c r="F81" s="68">
        <v>20</v>
      </c>
      <c r="G81" s="68"/>
      <c r="H81" s="68"/>
      <c r="I81" s="68"/>
      <c r="J81" s="68"/>
      <c r="K81" s="68"/>
      <c r="L81" s="68"/>
      <c r="M81" s="68"/>
      <c r="N81" s="68"/>
      <c r="O81" s="68"/>
      <c r="P81" s="68"/>
      <c r="Q81" s="68"/>
      <c r="R81" s="68"/>
      <c r="S81" s="68"/>
      <c r="T81" s="68"/>
      <c r="U81" s="68"/>
      <c r="V81" s="68"/>
      <c r="W81" s="68"/>
      <c r="X81" s="68"/>
      <c r="Y81" s="68">
        <v>20</v>
      </c>
    </row>
    <row r="82" spans="1:25">
      <c r="A82" s="8">
        <v>41360</v>
      </c>
      <c r="B82" s="68"/>
      <c r="C82" s="68"/>
      <c r="D82" s="68"/>
      <c r="E82" s="68"/>
      <c r="F82" s="68">
        <v>23</v>
      </c>
      <c r="G82" s="68"/>
      <c r="H82" s="68"/>
      <c r="I82" s="68"/>
      <c r="J82" s="68"/>
      <c r="K82" s="68"/>
      <c r="L82" s="68"/>
      <c r="M82" s="68"/>
      <c r="N82" s="68"/>
      <c r="O82" s="68"/>
      <c r="P82" s="68"/>
      <c r="Q82" s="68"/>
      <c r="R82" s="68"/>
      <c r="S82" s="68"/>
      <c r="T82" s="68"/>
      <c r="U82" s="68"/>
      <c r="V82" s="68"/>
      <c r="W82" s="68"/>
      <c r="X82" s="68"/>
      <c r="Y82" s="68">
        <v>23</v>
      </c>
    </row>
    <row r="83" spans="1:25">
      <c r="A83" s="8">
        <v>41361</v>
      </c>
      <c r="B83" s="68"/>
      <c r="C83" s="68"/>
      <c r="D83" s="68"/>
      <c r="E83" s="68"/>
      <c r="F83" s="68">
        <v>15</v>
      </c>
      <c r="G83" s="68"/>
      <c r="H83" s="68"/>
      <c r="I83" s="68"/>
      <c r="J83" s="68"/>
      <c r="K83" s="68"/>
      <c r="L83" s="68"/>
      <c r="M83" s="68"/>
      <c r="N83" s="68"/>
      <c r="O83" s="68"/>
      <c r="P83" s="68"/>
      <c r="Q83" s="68"/>
      <c r="R83" s="68"/>
      <c r="S83" s="68"/>
      <c r="T83" s="68"/>
      <c r="U83" s="68"/>
      <c r="V83" s="68"/>
      <c r="W83" s="68"/>
      <c r="X83" s="68"/>
      <c r="Y83" s="68">
        <v>15</v>
      </c>
    </row>
    <row r="84" spans="1:25">
      <c r="A84" s="8">
        <v>41362</v>
      </c>
      <c r="B84" s="68"/>
      <c r="C84" s="68"/>
      <c r="D84" s="68"/>
      <c r="E84" s="68"/>
      <c r="F84" s="68">
        <v>14</v>
      </c>
      <c r="G84" s="68"/>
      <c r="H84" s="68"/>
      <c r="I84" s="68"/>
      <c r="J84" s="68"/>
      <c r="K84" s="68"/>
      <c r="L84" s="68"/>
      <c r="M84" s="68"/>
      <c r="N84" s="68"/>
      <c r="O84" s="68"/>
      <c r="P84" s="68"/>
      <c r="Q84" s="68"/>
      <c r="R84" s="68"/>
      <c r="S84" s="68"/>
      <c r="T84" s="68"/>
      <c r="U84" s="68"/>
      <c r="V84" s="68"/>
      <c r="W84" s="68"/>
      <c r="X84" s="68"/>
      <c r="Y84" s="68">
        <v>14</v>
      </c>
    </row>
    <row r="85" spans="1:25">
      <c r="A85" s="8">
        <v>41363</v>
      </c>
      <c r="B85" s="68"/>
      <c r="C85" s="68"/>
      <c r="D85" s="68"/>
      <c r="E85" s="68"/>
      <c r="F85" s="68">
        <v>6</v>
      </c>
      <c r="G85" s="68"/>
      <c r="H85" s="68"/>
      <c r="I85" s="68"/>
      <c r="J85" s="68"/>
      <c r="K85" s="68"/>
      <c r="L85" s="68"/>
      <c r="M85" s="68"/>
      <c r="N85" s="68"/>
      <c r="O85" s="68"/>
      <c r="P85" s="68"/>
      <c r="Q85" s="68"/>
      <c r="R85" s="68"/>
      <c r="S85" s="68"/>
      <c r="T85" s="68"/>
      <c r="U85" s="68"/>
      <c r="V85" s="68"/>
      <c r="W85" s="68"/>
      <c r="X85" s="68"/>
      <c r="Y85" s="68">
        <v>6</v>
      </c>
    </row>
    <row r="86" spans="1:25">
      <c r="A86" s="8">
        <v>41364</v>
      </c>
      <c r="B86" s="68"/>
      <c r="C86" s="68"/>
      <c r="D86" s="68"/>
      <c r="E86" s="68"/>
      <c r="F86" s="68">
        <v>5</v>
      </c>
      <c r="G86" s="68"/>
      <c r="H86" s="68"/>
      <c r="I86" s="68"/>
      <c r="J86" s="68"/>
      <c r="K86" s="68"/>
      <c r="L86" s="68"/>
      <c r="M86" s="68"/>
      <c r="N86" s="68"/>
      <c r="O86" s="68"/>
      <c r="P86" s="68"/>
      <c r="Q86" s="68"/>
      <c r="R86" s="68"/>
      <c r="S86" s="68"/>
      <c r="T86" s="68"/>
      <c r="U86" s="68"/>
      <c r="V86" s="68"/>
      <c r="W86" s="68"/>
      <c r="X86" s="68"/>
      <c r="Y86" s="68">
        <v>5</v>
      </c>
    </row>
    <row r="87" spans="1:25">
      <c r="A87" s="8">
        <v>41365</v>
      </c>
      <c r="B87" s="68"/>
      <c r="C87" s="68"/>
      <c r="D87" s="68"/>
      <c r="E87" s="68"/>
      <c r="F87" s="68"/>
      <c r="G87" s="68">
        <v>14</v>
      </c>
      <c r="H87" s="68"/>
      <c r="I87" s="68"/>
      <c r="J87" s="68"/>
      <c r="K87" s="68"/>
      <c r="L87" s="68"/>
      <c r="M87" s="68"/>
      <c r="N87" s="68"/>
      <c r="O87" s="68"/>
      <c r="P87" s="68"/>
      <c r="Q87" s="68"/>
      <c r="R87" s="68"/>
      <c r="S87" s="68"/>
      <c r="T87" s="68"/>
      <c r="U87" s="68"/>
      <c r="V87" s="68"/>
      <c r="W87" s="68"/>
      <c r="X87" s="68"/>
      <c r="Y87" s="68">
        <v>14</v>
      </c>
    </row>
    <row r="88" spans="1:25">
      <c r="A88" s="8">
        <v>41366</v>
      </c>
      <c r="B88" s="68"/>
      <c r="C88" s="68"/>
      <c r="D88" s="68"/>
      <c r="E88" s="68"/>
      <c r="F88" s="68"/>
      <c r="G88" s="68">
        <v>44</v>
      </c>
      <c r="H88" s="68"/>
      <c r="I88" s="68"/>
      <c r="J88" s="68"/>
      <c r="K88" s="68"/>
      <c r="L88" s="68"/>
      <c r="M88" s="68"/>
      <c r="N88" s="68"/>
      <c r="O88" s="68"/>
      <c r="P88" s="68"/>
      <c r="Q88" s="68"/>
      <c r="R88" s="68"/>
      <c r="S88" s="68"/>
      <c r="T88" s="68"/>
      <c r="U88" s="68"/>
      <c r="V88" s="68"/>
      <c r="W88" s="68"/>
      <c r="X88" s="68"/>
      <c r="Y88" s="68">
        <v>44</v>
      </c>
    </row>
    <row r="89" spans="1:25">
      <c r="A89" s="8">
        <v>41367</v>
      </c>
      <c r="B89" s="68"/>
      <c r="C89" s="68"/>
      <c r="D89" s="68"/>
      <c r="E89" s="68"/>
      <c r="F89" s="68"/>
      <c r="G89" s="68">
        <v>12</v>
      </c>
      <c r="H89" s="68"/>
      <c r="I89" s="68"/>
      <c r="J89" s="68"/>
      <c r="K89" s="68"/>
      <c r="L89" s="68"/>
      <c r="M89" s="68"/>
      <c r="N89" s="68"/>
      <c r="O89" s="68"/>
      <c r="P89" s="68"/>
      <c r="Q89" s="68"/>
      <c r="R89" s="68"/>
      <c r="S89" s="68"/>
      <c r="T89" s="68"/>
      <c r="U89" s="68"/>
      <c r="V89" s="68"/>
      <c r="W89" s="68"/>
      <c r="X89" s="68"/>
      <c r="Y89" s="68">
        <v>12</v>
      </c>
    </row>
    <row r="90" spans="1:25">
      <c r="A90" s="8">
        <v>41368</v>
      </c>
      <c r="B90" s="68"/>
      <c r="C90" s="68"/>
      <c r="D90" s="68"/>
      <c r="E90" s="68"/>
      <c r="F90" s="68"/>
      <c r="G90" s="68">
        <v>17</v>
      </c>
      <c r="H90" s="68"/>
      <c r="I90" s="68"/>
      <c r="J90" s="68"/>
      <c r="K90" s="68"/>
      <c r="L90" s="68"/>
      <c r="M90" s="68"/>
      <c r="N90" s="68"/>
      <c r="O90" s="68"/>
      <c r="P90" s="68"/>
      <c r="Q90" s="68"/>
      <c r="R90" s="68"/>
      <c r="S90" s="68"/>
      <c r="T90" s="68"/>
      <c r="U90" s="68"/>
      <c r="V90" s="68"/>
      <c r="W90" s="68"/>
      <c r="X90" s="68"/>
      <c r="Y90" s="68">
        <v>17</v>
      </c>
    </row>
    <row r="91" spans="1:25">
      <c r="A91" s="8">
        <v>41369</v>
      </c>
      <c r="B91" s="68"/>
      <c r="C91" s="68"/>
      <c r="D91" s="68"/>
      <c r="E91" s="68"/>
      <c r="F91" s="68"/>
      <c r="G91" s="68">
        <v>4</v>
      </c>
      <c r="H91" s="68"/>
      <c r="I91" s="68"/>
      <c r="J91" s="68"/>
      <c r="K91" s="68"/>
      <c r="L91" s="68"/>
      <c r="M91" s="68"/>
      <c r="N91" s="68"/>
      <c r="O91" s="68"/>
      <c r="P91" s="68"/>
      <c r="Q91" s="68"/>
      <c r="R91" s="68"/>
      <c r="S91" s="68"/>
      <c r="T91" s="68"/>
      <c r="U91" s="68"/>
      <c r="V91" s="68"/>
      <c r="W91" s="68"/>
      <c r="X91" s="68"/>
      <c r="Y91" s="68">
        <v>4</v>
      </c>
    </row>
    <row r="92" spans="1:25">
      <c r="A92" s="8">
        <v>41370</v>
      </c>
      <c r="B92" s="68"/>
      <c r="C92" s="68"/>
      <c r="D92" s="68"/>
      <c r="E92" s="68"/>
      <c r="F92" s="68"/>
      <c r="G92" s="68">
        <v>1</v>
      </c>
      <c r="H92" s="68"/>
      <c r="I92" s="68"/>
      <c r="J92" s="68"/>
      <c r="K92" s="68"/>
      <c r="L92" s="68"/>
      <c r="M92" s="68"/>
      <c r="N92" s="68"/>
      <c r="O92" s="68"/>
      <c r="P92" s="68"/>
      <c r="Q92" s="68"/>
      <c r="R92" s="68"/>
      <c r="S92" s="68"/>
      <c r="T92" s="68"/>
      <c r="U92" s="68"/>
      <c r="V92" s="68"/>
      <c r="W92" s="68"/>
      <c r="X92" s="68"/>
      <c r="Y92" s="68">
        <v>1</v>
      </c>
    </row>
    <row r="93" spans="1:25">
      <c r="A93" s="8">
        <v>41371</v>
      </c>
      <c r="B93" s="68"/>
      <c r="C93" s="68"/>
      <c r="D93" s="68"/>
      <c r="E93" s="68"/>
      <c r="F93" s="68"/>
      <c r="G93" s="68">
        <v>11</v>
      </c>
      <c r="H93" s="68"/>
      <c r="I93" s="68"/>
      <c r="J93" s="68"/>
      <c r="K93" s="68"/>
      <c r="L93" s="68"/>
      <c r="M93" s="68"/>
      <c r="N93" s="68"/>
      <c r="O93" s="68"/>
      <c r="P93" s="68"/>
      <c r="Q93" s="68"/>
      <c r="R93" s="68"/>
      <c r="S93" s="68"/>
      <c r="T93" s="68"/>
      <c r="U93" s="68"/>
      <c r="V93" s="68"/>
      <c r="W93" s="68"/>
      <c r="X93" s="68"/>
      <c r="Y93" s="68">
        <v>11</v>
      </c>
    </row>
    <row r="94" spans="1:25">
      <c r="A94" s="8">
        <v>41372</v>
      </c>
      <c r="B94" s="68"/>
      <c r="C94" s="68"/>
      <c r="D94" s="68"/>
      <c r="E94" s="68"/>
      <c r="F94" s="68"/>
      <c r="G94" s="68">
        <v>11</v>
      </c>
      <c r="H94" s="68"/>
      <c r="I94" s="68"/>
      <c r="J94" s="68"/>
      <c r="K94" s="68"/>
      <c r="L94" s="68"/>
      <c r="M94" s="68"/>
      <c r="N94" s="68"/>
      <c r="O94" s="68"/>
      <c r="P94" s="68"/>
      <c r="Q94" s="68"/>
      <c r="R94" s="68"/>
      <c r="S94" s="68"/>
      <c r="T94" s="68"/>
      <c r="U94" s="68"/>
      <c r="V94" s="68"/>
      <c r="W94" s="68"/>
      <c r="X94" s="68"/>
      <c r="Y94" s="68">
        <v>11</v>
      </c>
    </row>
    <row r="95" spans="1:25">
      <c r="A95" s="8">
        <v>41373</v>
      </c>
      <c r="B95" s="68"/>
      <c r="C95" s="68"/>
      <c r="D95" s="68"/>
      <c r="E95" s="68"/>
      <c r="F95" s="68"/>
      <c r="G95" s="68">
        <v>16</v>
      </c>
      <c r="H95" s="68"/>
      <c r="I95" s="68"/>
      <c r="J95" s="68"/>
      <c r="K95" s="68"/>
      <c r="L95" s="68"/>
      <c r="M95" s="68"/>
      <c r="N95" s="68"/>
      <c r="O95" s="68"/>
      <c r="P95" s="68"/>
      <c r="Q95" s="68"/>
      <c r="R95" s="68"/>
      <c r="S95" s="68"/>
      <c r="T95" s="68"/>
      <c r="U95" s="68"/>
      <c r="V95" s="68"/>
      <c r="W95" s="68"/>
      <c r="X95" s="68"/>
      <c r="Y95" s="68">
        <v>16</v>
      </c>
    </row>
    <row r="96" spans="1:25">
      <c r="A96" s="8">
        <v>41374</v>
      </c>
      <c r="B96" s="68"/>
      <c r="C96" s="68"/>
      <c r="D96" s="68"/>
      <c r="E96" s="68"/>
      <c r="F96" s="68"/>
      <c r="G96" s="68">
        <v>10</v>
      </c>
      <c r="H96" s="68"/>
      <c r="I96" s="68"/>
      <c r="J96" s="68"/>
      <c r="K96" s="68"/>
      <c r="L96" s="68"/>
      <c r="M96" s="68"/>
      <c r="N96" s="68"/>
      <c r="O96" s="68"/>
      <c r="P96" s="68"/>
      <c r="Q96" s="68"/>
      <c r="R96" s="68"/>
      <c r="S96" s="68"/>
      <c r="T96" s="68"/>
      <c r="U96" s="68"/>
      <c r="V96" s="68"/>
      <c r="W96" s="68"/>
      <c r="X96" s="68"/>
      <c r="Y96" s="68">
        <v>10</v>
      </c>
    </row>
    <row r="97" spans="1:25">
      <c r="A97" s="8">
        <v>41375</v>
      </c>
      <c r="B97" s="68"/>
      <c r="C97" s="68"/>
      <c r="D97" s="68"/>
      <c r="E97" s="68"/>
      <c r="F97" s="68"/>
      <c r="G97" s="68">
        <v>7</v>
      </c>
      <c r="H97" s="68"/>
      <c r="I97" s="68"/>
      <c r="J97" s="68"/>
      <c r="K97" s="68"/>
      <c r="L97" s="68"/>
      <c r="M97" s="68"/>
      <c r="N97" s="68"/>
      <c r="O97" s="68"/>
      <c r="P97" s="68"/>
      <c r="Q97" s="68"/>
      <c r="R97" s="68"/>
      <c r="S97" s="68"/>
      <c r="T97" s="68"/>
      <c r="U97" s="68"/>
      <c r="V97" s="68"/>
      <c r="W97" s="68"/>
      <c r="X97" s="68"/>
      <c r="Y97" s="68">
        <v>7</v>
      </c>
    </row>
    <row r="98" spans="1:25">
      <c r="A98" s="8">
        <v>41376</v>
      </c>
      <c r="B98" s="68"/>
      <c r="C98" s="68"/>
      <c r="D98" s="68"/>
      <c r="E98" s="68"/>
      <c r="F98" s="68"/>
      <c r="G98" s="68">
        <v>13</v>
      </c>
      <c r="H98" s="68"/>
      <c r="I98" s="68"/>
      <c r="J98" s="68"/>
      <c r="K98" s="68"/>
      <c r="L98" s="68"/>
      <c r="M98" s="68"/>
      <c r="N98" s="68"/>
      <c r="O98" s="68"/>
      <c r="P98" s="68"/>
      <c r="Q98" s="68"/>
      <c r="R98" s="68"/>
      <c r="S98" s="68"/>
      <c r="T98" s="68"/>
      <c r="U98" s="68"/>
      <c r="V98" s="68"/>
      <c r="W98" s="68"/>
      <c r="X98" s="68"/>
      <c r="Y98" s="68">
        <v>13</v>
      </c>
    </row>
    <row r="99" spans="1:25">
      <c r="A99" s="8">
        <v>41377</v>
      </c>
      <c r="B99" s="68"/>
      <c r="C99" s="68"/>
      <c r="D99" s="68"/>
      <c r="E99" s="68"/>
      <c r="F99" s="68"/>
      <c r="G99" s="68">
        <v>4</v>
      </c>
      <c r="H99" s="68"/>
      <c r="I99" s="68"/>
      <c r="J99" s="68"/>
      <c r="K99" s="68"/>
      <c r="L99" s="68"/>
      <c r="M99" s="68"/>
      <c r="N99" s="68"/>
      <c r="O99" s="68"/>
      <c r="P99" s="68"/>
      <c r="Q99" s="68"/>
      <c r="R99" s="68"/>
      <c r="S99" s="68"/>
      <c r="T99" s="68"/>
      <c r="U99" s="68"/>
      <c r="V99" s="68"/>
      <c r="W99" s="68"/>
      <c r="X99" s="68"/>
      <c r="Y99" s="68">
        <v>4</v>
      </c>
    </row>
    <row r="100" spans="1:25">
      <c r="A100" s="8">
        <v>41378</v>
      </c>
      <c r="B100" s="68"/>
      <c r="C100" s="68"/>
      <c r="D100" s="68"/>
      <c r="E100" s="68"/>
      <c r="F100" s="68"/>
      <c r="G100" s="68">
        <v>6</v>
      </c>
      <c r="H100" s="68"/>
      <c r="I100" s="68"/>
      <c r="J100" s="68"/>
      <c r="K100" s="68"/>
      <c r="L100" s="68"/>
      <c r="M100" s="68"/>
      <c r="N100" s="68"/>
      <c r="O100" s="68"/>
      <c r="P100" s="68"/>
      <c r="Q100" s="68"/>
      <c r="R100" s="68"/>
      <c r="S100" s="68"/>
      <c r="T100" s="68"/>
      <c r="U100" s="68"/>
      <c r="V100" s="68"/>
      <c r="W100" s="68"/>
      <c r="X100" s="68"/>
      <c r="Y100" s="68">
        <v>6</v>
      </c>
    </row>
    <row r="101" spans="1:25">
      <c r="A101" s="8">
        <v>41379</v>
      </c>
      <c r="B101" s="68"/>
      <c r="C101" s="68"/>
      <c r="D101" s="68"/>
      <c r="E101" s="68"/>
      <c r="F101" s="68"/>
      <c r="G101" s="68"/>
      <c r="H101" s="68">
        <v>17</v>
      </c>
      <c r="I101" s="68"/>
      <c r="J101" s="68"/>
      <c r="K101" s="68"/>
      <c r="L101" s="68"/>
      <c r="M101" s="68"/>
      <c r="N101" s="68"/>
      <c r="O101" s="68"/>
      <c r="P101" s="68"/>
      <c r="Q101" s="68"/>
      <c r="R101" s="68"/>
      <c r="S101" s="68"/>
      <c r="T101" s="68"/>
      <c r="U101" s="68"/>
      <c r="V101" s="68"/>
      <c r="W101" s="68"/>
      <c r="X101" s="68"/>
      <c r="Y101" s="68">
        <v>17</v>
      </c>
    </row>
    <row r="102" spans="1:25">
      <c r="A102" s="8">
        <v>41380</v>
      </c>
      <c r="B102" s="68"/>
      <c r="C102" s="68"/>
      <c r="D102" s="68"/>
      <c r="E102" s="68"/>
      <c r="F102" s="68"/>
      <c r="G102" s="68"/>
      <c r="H102" s="68">
        <v>62</v>
      </c>
      <c r="I102" s="68"/>
      <c r="J102" s="68"/>
      <c r="K102" s="68"/>
      <c r="L102" s="68"/>
      <c r="M102" s="68"/>
      <c r="N102" s="68"/>
      <c r="O102" s="68"/>
      <c r="P102" s="68"/>
      <c r="Q102" s="68"/>
      <c r="R102" s="68"/>
      <c r="S102" s="68"/>
      <c r="T102" s="68"/>
      <c r="U102" s="68"/>
      <c r="V102" s="68"/>
      <c r="W102" s="68"/>
      <c r="X102" s="68"/>
      <c r="Y102" s="68">
        <v>62</v>
      </c>
    </row>
    <row r="103" spans="1:25">
      <c r="A103" s="8">
        <v>41381</v>
      </c>
      <c r="B103" s="68"/>
      <c r="C103" s="68"/>
      <c r="D103" s="68"/>
      <c r="E103" s="68"/>
      <c r="F103" s="68"/>
      <c r="G103" s="68"/>
      <c r="H103" s="68">
        <v>31</v>
      </c>
      <c r="I103" s="68"/>
      <c r="J103" s="68"/>
      <c r="K103" s="68"/>
      <c r="L103" s="68"/>
      <c r="M103" s="68"/>
      <c r="N103" s="68"/>
      <c r="O103" s="68"/>
      <c r="P103" s="68"/>
      <c r="Q103" s="68"/>
      <c r="R103" s="68"/>
      <c r="S103" s="68"/>
      <c r="T103" s="68"/>
      <c r="U103" s="68"/>
      <c r="V103" s="68"/>
      <c r="W103" s="68"/>
      <c r="X103" s="68"/>
      <c r="Y103" s="68">
        <v>31</v>
      </c>
    </row>
    <row r="104" spans="1:25">
      <c r="A104" s="8">
        <v>41382</v>
      </c>
      <c r="B104" s="68"/>
      <c r="C104" s="68"/>
      <c r="D104" s="68"/>
      <c r="E104" s="68"/>
      <c r="F104" s="68"/>
      <c r="G104" s="68"/>
      <c r="H104" s="68">
        <v>19</v>
      </c>
      <c r="I104" s="68"/>
      <c r="J104" s="68"/>
      <c r="K104" s="68"/>
      <c r="L104" s="68"/>
      <c r="M104" s="68"/>
      <c r="N104" s="68"/>
      <c r="O104" s="68"/>
      <c r="P104" s="68"/>
      <c r="Q104" s="68"/>
      <c r="R104" s="68"/>
      <c r="S104" s="68"/>
      <c r="T104" s="68"/>
      <c r="U104" s="68"/>
      <c r="V104" s="68"/>
      <c r="W104" s="68"/>
      <c r="X104" s="68"/>
      <c r="Y104" s="68">
        <v>19</v>
      </c>
    </row>
    <row r="105" spans="1:25">
      <c r="A105" s="8">
        <v>41383</v>
      </c>
      <c r="B105" s="68"/>
      <c r="C105" s="68"/>
      <c r="D105" s="68"/>
      <c r="E105" s="68"/>
      <c r="F105" s="68"/>
      <c r="G105" s="68"/>
      <c r="H105" s="68">
        <v>11</v>
      </c>
      <c r="I105" s="68"/>
      <c r="J105" s="68"/>
      <c r="K105" s="68"/>
      <c r="L105" s="68"/>
      <c r="M105" s="68"/>
      <c r="N105" s="68"/>
      <c r="O105" s="68"/>
      <c r="P105" s="68"/>
      <c r="Q105" s="68"/>
      <c r="R105" s="68"/>
      <c r="S105" s="68"/>
      <c r="T105" s="68"/>
      <c r="U105" s="68"/>
      <c r="V105" s="68"/>
      <c r="W105" s="68"/>
      <c r="X105" s="68"/>
      <c r="Y105" s="68">
        <v>11</v>
      </c>
    </row>
    <row r="106" spans="1:25">
      <c r="A106" s="8">
        <v>41384</v>
      </c>
      <c r="B106" s="68"/>
      <c r="C106" s="68"/>
      <c r="D106" s="68"/>
      <c r="E106" s="68"/>
      <c r="F106" s="68"/>
      <c r="G106" s="68"/>
      <c r="H106" s="68">
        <v>3</v>
      </c>
      <c r="I106" s="68"/>
      <c r="J106" s="68"/>
      <c r="K106" s="68"/>
      <c r="L106" s="68"/>
      <c r="M106" s="68"/>
      <c r="N106" s="68"/>
      <c r="O106" s="68"/>
      <c r="P106" s="68"/>
      <c r="Q106" s="68"/>
      <c r="R106" s="68"/>
      <c r="S106" s="68"/>
      <c r="T106" s="68"/>
      <c r="U106" s="68"/>
      <c r="V106" s="68"/>
      <c r="W106" s="68"/>
      <c r="X106" s="68"/>
      <c r="Y106" s="68">
        <v>3</v>
      </c>
    </row>
    <row r="107" spans="1:25">
      <c r="A107" s="8">
        <v>41385</v>
      </c>
      <c r="B107" s="68"/>
      <c r="C107" s="68"/>
      <c r="D107" s="68"/>
      <c r="E107" s="68"/>
      <c r="F107" s="68"/>
      <c r="G107" s="68"/>
      <c r="H107" s="68">
        <v>20</v>
      </c>
      <c r="I107" s="68"/>
      <c r="J107" s="68"/>
      <c r="K107" s="68"/>
      <c r="L107" s="68"/>
      <c r="M107" s="68"/>
      <c r="N107" s="68"/>
      <c r="O107" s="68"/>
      <c r="P107" s="68"/>
      <c r="Q107" s="68"/>
      <c r="R107" s="68"/>
      <c r="S107" s="68"/>
      <c r="T107" s="68"/>
      <c r="U107" s="68"/>
      <c r="V107" s="68"/>
      <c r="W107" s="68"/>
      <c r="X107" s="68"/>
      <c r="Y107" s="68">
        <v>20</v>
      </c>
    </row>
    <row r="108" spans="1:25">
      <c r="A108" s="8">
        <v>41386</v>
      </c>
      <c r="B108" s="68"/>
      <c r="C108" s="68"/>
      <c r="D108" s="68"/>
      <c r="E108" s="68"/>
      <c r="F108" s="68"/>
      <c r="G108" s="68"/>
      <c r="H108" s="68">
        <v>18</v>
      </c>
      <c r="I108" s="68"/>
      <c r="J108" s="68"/>
      <c r="K108" s="68"/>
      <c r="L108" s="68"/>
      <c r="M108" s="68"/>
      <c r="N108" s="68"/>
      <c r="O108" s="68"/>
      <c r="P108" s="68"/>
      <c r="Q108" s="68"/>
      <c r="R108" s="68"/>
      <c r="S108" s="68"/>
      <c r="T108" s="68"/>
      <c r="U108" s="68"/>
      <c r="V108" s="68"/>
      <c r="W108" s="68"/>
      <c r="X108" s="68"/>
      <c r="Y108" s="68">
        <v>18</v>
      </c>
    </row>
    <row r="109" spans="1:25">
      <c r="A109" s="8">
        <v>41387</v>
      </c>
      <c r="B109" s="68"/>
      <c r="C109" s="68"/>
      <c r="D109" s="68"/>
      <c r="E109" s="68"/>
      <c r="F109" s="68"/>
      <c r="G109" s="68"/>
      <c r="H109" s="68">
        <v>18</v>
      </c>
      <c r="I109" s="68"/>
      <c r="J109" s="68"/>
      <c r="K109" s="68"/>
      <c r="L109" s="68"/>
      <c r="M109" s="68"/>
      <c r="N109" s="68"/>
      <c r="O109" s="68"/>
      <c r="P109" s="68"/>
      <c r="Q109" s="68"/>
      <c r="R109" s="68"/>
      <c r="S109" s="68"/>
      <c r="T109" s="68"/>
      <c r="U109" s="68"/>
      <c r="V109" s="68"/>
      <c r="W109" s="68"/>
      <c r="X109" s="68"/>
      <c r="Y109" s="68">
        <v>18</v>
      </c>
    </row>
    <row r="110" spans="1:25">
      <c r="A110" s="8">
        <v>41388</v>
      </c>
      <c r="B110" s="68"/>
      <c r="C110" s="68"/>
      <c r="D110" s="68"/>
      <c r="E110" s="68"/>
      <c r="F110" s="68"/>
      <c r="G110" s="68"/>
      <c r="H110" s="68">
        <v>13</v>
      </c>
      <c r="I110" s="68"/>
      <c r="J110" s="68"/>
      <c r="K110" s="68"/>
      <c r="L110" s="68"/>
      <c r="M110" s="68"/>
      <c r="N110" s="68"/>
      <c r="O110" s="68"/>
      <c r="P110" s="68"/>
      <c r="Q110" s="68"/>
      <c r="R110" s="68"/>
      <c r="S110" s="68"/>
      <c r="T110" s="68"/>
      <c r="U110" s="68"/>
      <c r="V110" s="68"/>
      <c r="W110" s="68"/>
      <c r="X110" s="68"/>
      <c r="Y110" s="68">
        <v>13</v>
      </c>
    </row>
    <row r="111" spans="1:25">
      <c r="A111" s="8">
        <v>41389</v>
      </c>
      <c r="B111" s="68"/>
      <c r="C111" s="68"/>
      <c r="D111" s="68"/>
      <c r="E111" s="68"/>
      <c r="F111" s="68"/>
      <c r="G111" s="68"/>
      <c r="H111" s="68">
        <v>19</v>
      </c>
      <c r="I111" s="68"/>
      <c r="J111" s="68"/>
      <c r="K111" s="68"/>
      <c r="L111" s="68"/>
      <c r="M111" s="68"/>
      <c r="N111" s="68"/>
      <c r="O111" s="68"/>
      <c r="P111" s="68"/>
      <c r="Q111" s="68"/>
      <c r="R111" s="68"/>
      <c r="S111" s="68"/>
      <c r="T111" s="68"/>
      <c r="U111" s="68"/>
      <c r="V111" s="68"/>
      <c r="W111" s="68"/>
      <c r="X111" s="68"/>
      <c r="Y111" s="68">
        <v>19</v>
      </c>
    </row>
    <row r="112" spans="1:25">
      <c r="A112" s="8">
        <v>41390</v>
      </c>
      <c r="B112" s="68"/>
      <c r="C112" s="68"/>
      <c r="D112" s="68"/>
      <c r="E112" s="68"/>
      <c r="F112" s="68"/>
      <c r="G112" s="68"/>
      <c r="H112" s="68">
        <v>3</v>
      </c>
      <c r="I112" s="68"/>
      <c r="J112" s="68"/>
      <c r="K112" s="68"/>
      <c r="L112" s="68"/>
      <c r="M112" s="68"/>
      <c r="N112" s="68"/>
      <c r="O112" s="68"/>
      <c r="P112" s="68"/>
      <c r="Q112" s="68"/>
      <c r="R112" s="68"/>
      <c r="S112" s="68"/>
      <c r="T112" s="68"/>
      <c r="U112" s="68"/>
      <c r="V112" s="68"/>
      <c r="W112" s="68"/>
      <c r="X112" s="68"/>
      <c r="Y112" s="68">
        <v>3</v>
      </c>
    </row>
    <row r="113" spans="1:25">
      <c r="A113" s="8">
        <v>41391</v>
      </c>
      <c r="B113" s="68"/>
      <c r="C113" s="68"/>
      <c r="D113" s="68"/>
      <c r="E113" s="68"/>
      <c r="F113" s="68"/>
      <c r="G113" s="68"/>
      <c r="H113" s="68">
        <v>7</v>
      </c>
      <c r="I113" s="68"/>
      <c r="J113" s="68"/>
      <c r="K113" s="68"/>
      <c r="L113" s="68"/>
      <c r="M113" s="68"/>
      <c r="N113" s="68"/>
      <c r="O113" s="68"/>
      <c r="P113" s="68"/>
      <c r="Q113" s="68"/>
      <c r="R113" s="68"/>
      <c r="S113" s="68"/>
      <c r="T113" s="68"/>
      <c r="U113" s="68"/>
      <c r="V113" s="68"/>
      <c r="W113" s="68"/>
      <c r="X113" s="68"/>
      <c r="Y113" s="68">
        <v>7</v>
      </c>
    </row>
    <row r="114" spans="1:25">
      <c r="A114" s="8">
        <v>41392</v>
      </c>
      <c r="B114" s="68"/>
      <c r="C114" s="68"/>
      <c r="D114" s="68"/>
      <c r="E114" s="68"/>
      <c r="F114" s="68"/>
      <c r="G114" s="68"/>
      <c r="H114" s="68">
        <v>4</v>
      </c>
      <c r="I114" s="68"/>
      <c r="J114" s="68"/>
      <c r="K114" s="68"/>
      <c r="L114" s="68"/>
      <c r="M114" s="68"/>
      <c r="N114" s="68"/>
      <c r="O114" s="68"/>
      <c r="P114" s="68"/>
      <c r="Q114" s="68"/>
      <c r="R114" s="68"/>
      <c r="S114" s="68"/>
      <c r="T114" s="68"/>
      <c r="U114" s="68"/>
      <c r="V114" s="68"/>
      <c r="W114" s="68"/>
      <c r="X114" s="68"/>
      <c r="Y114" s="68">
        <v>4</v>
      </c>
    </row>
    <row r="115" spans="1:25">
      <c r="A115" s="8">
        <v>41393</v>
      </c>
      <c r="B115" s="68"/>
      <c r="C115" s="68"/>
      <c r="D115" s="68"/>
      <c r="E115" s="68"/>
      <c r="F115" s="68"/>
      <c r="G115" s="68"/>
      <c r="H115" s="68">
        <v>7</v>
      </c>
      <c r="I115" s="68"/>
      <c r="J115" s="68"/>
      <c r="K115" s="68"/>
      <c r="L115" s="68"/>
      <c r="M115" s="68"/>
      <c r="N115" s="68"/>
      <c r="O115" s="68"/>
      <c r="P115" s="68"/>
      <c r="Q115" s="68"/>
      <c r="R115" s="68"/>
      <c r="S115" s="68"/>
      <c r="T115" s="68"/>
      <c r="U115" s="68"/>
      <c r="V115" s="68"/>
      <c r="W115" s="68"/>
      <c r="X115" s="68"/>
      <c r="Y115" s="68">
        <v>7</v>
      </c>
    </row>
    <row r="116" spans="1:25">
      <c r="A116" s="8">
        <v>41394</v>
      </c>
      <c r="B116" s="68"/>
      <c r="C116" s="68"/>
      <c r="D116" s="68"/>
      <c r="E116" s="68"/>
      <c r="F116" s="68"/>
      <c r="G116" s="68"/>
      <c r="H116" s="68"/>
      <c r="I116" s="68">
        <v>104</v>
      </c>
      <c r="J116" s="68"/>
      <c r="K116" s="68"/>
      <c r="L116" s="68"/>
      <c r="M116" s="68"/>
      <c r="N116" s="68"/>
      <c r="O116" s="68"/>
      <c r="P116" s="68"/>
      <c r="Q116" s="68"/>
      <c r="R116" s="68"/>
      <c r="S116" s="68"/>
      <c r="T116" s="68"/>
      <c r="U116" s="68"/>
      <c r="V116" s="68"/>
      <c r="W116" s="68"/>
      <c r="X116" s="68"/>
      <c r="Y116" s="68">
        <v>104</v>
      </c>
    </row>
    <row r="117" spans="1:25">
      <c r="A117" s="8">
        <v>41395</v>
      </c>
      <c r="B117" s="68"/>
      <c r="C117" s="68"/>
      <c r="D117" s="68"/>
      <c r="E117" s="68"/>
      <c r="F117" s="68"/>
      <c r="G117" s="68"/>
      <c r="H117" s="68"/>
      <c r="I117" s="68">
        <v>57</v>
      </c>
      <c r="J117" s="68"/>
      <c r="K117" s="68"/>
      <c r="L117" s="68"/>
      <c r="M117" s="68"/>
      <c r="N117" s="68"/>
      <c r="O117" s="68"/>
      <c r="P117" s="68"/>
      <c r="Q117" s="68"/>
      <c r="R117" s="68"/>
      <c r="S117" s="68"/>
      <c r="T117" s="68"/>
      <c r="U117" s="68"/>
      <c r="V117" s="68"/>
      <c r="W117" s="68"/>
      <c r="X117" s="68"/>
      <c r="Y117" s="68">
        <v>57</v>
      </c>
    </row>
    <row r="118" spans="1:25">
      <c r="A118" s="8">
        <v>41396</v>
      </c>
      <c r="B118" s="68"/>
      <c r="C118" s="68"/>
      <c r="D118" s="68"/>
      <c r="E118" s="68"/>
      <c r="F118" s="68"/>
      <c r="G118" s="68"/>
      <c r="H118" s="68"/>
      <c r="I118" s="68">
        <v>33</v>
      </c>
      <c r="J118" s="68"/>
      <c r="K118" s="68"/>
      <c r="L118" s="68"/>
      <c r="M118" s="68"/>
      <c r="N118" s="68"/>
      <c r="O118" s="68"/>
      <c r="P118" s="68"/>
      <c r="Q118" s="68"/>
      <c r="R118" s="68"/>
      <c r="S118" s="68"/>
      <c r="T118" s="68"/>
      <c r="U118" s="68"/>
      <c r="V118" s="68"/>
      <c r="W118" s="68"/>
      <c r="X118" s="68"/>
      <c r="Y118" s="68">
        <v>33</v>
      </c>
    </row>
    <row r="119" spans="1:25">
      <c r="A119" s="8">
        <v>41397</v>
      </c>
      <c r="B119" s="68"/>
      <c r="C119" s="68"/>
      <c r="D119" s="68"/>
      <c r="E119" s="68"/>
      <c r="F119" s="68"/>
      <c r="G119" s="68"/>
      <c r="H119" s="68"/>
      <c r="I119" s="68">
        <v>11</v>
      </c>
      <c r="J119" s="68"/>
      <c r="K119" s="68"/>
      <c r="L119" s="68"/>
      <c r="M119" s="68"/>
      <c r="N119" s="68"/>
      <c r="O119" s="68"/>
      <c r="P119" s="68"/>
      <c r="Q119" s="68"/>
      <c r="R119" s="68"/>
      <c r="S119" s="68"/>
      <c r="T119" s="68"/>
      <c r="U119" s="68"/>
      <c r="V119" s="68"/>
      <c r="W119" s="68"/>
      <c r="X119" s="68"/>
      <c r="Y119" s="68">
        <v>11</v>
      </c>
    </row>
    <row r="120" spans="1:25">
      <c r="A120" s="8">
        <v>41398</v>
      </c>
      <c r="B120" s="68"/>
      <c r="C120" s="68"/>
      <c r="D120" s="68"/>
      <c r="E120" s="68"/>
      <c r="F120" s="68"/>
      <c r="G120" s="68"/>
      <c r="H120" s="68"/>
      <c r="I120" s="68">
        <v>8</v>
      </c>
      <c r="J120" s="68"/>
      <c r="K120" s="68"/>
      <c r="L120" s="68"/>
      <c r="M120" s="68"/>
      <c r="N120" s="68"/>
      <c r="O120" s="68"/>
      <c r="P120" s="68"/>
      <c r="Q120" s="68"/>
      <c r="R120" s="68"/>
      <c r="S120" s="68"/>
      <c r="T120" s="68"/>
      <c r="U120" s="68"/>
      <c r="V120" s="68"/>
      <c r="W120" s="68"/>
      <c r="X120" s="68"/>
      <c r="Y120" s="68">
        <v>8</v>
      </c>
    </row>
    <row r="121" spans="1:25">
      <c r="A121" s="8">
        <v>41399</v>
      </c>
      <c r="B121" s="68"/>
      <c r="C121" s="68"/>
      <c r="D121" s="68"/>
      <c r="E121" s="68"/>
      <c r="F121" s="68"/>
      <c r="G121" s="68"/>
      <c r="H121" s="68"/>
      <c r="I121" s="68">
        <v>34</v>
      </c>
      <c r="J121" s="68"/>
      <c r="K121" s="68"/>
      <c r="L121" s="68"/>
      <c r="M121" s="68"/>
      <c r="N121" s="68"/>
      <c r="O121" s="68"/>
      <c r="P121" s="68"/>
      <c r="Q121" s="68"/>
      <c r="R121" s="68"/>
      <c r="S121" s="68"/>
      <c r="T121" s="68"/>
      <c r="U121" s="68"/>
      <c r="V121" s="68"/>
      <c r="W121" s="68"/>
      <c r="X121" s="68"/>
      <c r="Y121" s="68">
        <v>34</v>
      </c>
    </row>
    <row r="122" spans="1:25">
      <c r="A122" s="8">
        <v>41400</v>
      </c>
      <c r="B122" s="68"/>
      <c r="C122" s="68"/>
      <c r="D122" s="68"/>
      <c r="E122" s="68"/>
      <c r="F122" s="68"/>
      <c r="G122" s="68"/>
      <c r="H122" s="68"/>
      <c r="I122" s="68">
        <v>25</v>
      </c>
      <c r="J122" s="68"/>
      <c r="K122" s="68"/>
      <c r="L122" s="68"/>
      <c r="M122" s="68"/>
      <c r="N122" s="68"/>
      <c r="O122" s="68"/>
      <c r="P122" s="68"/>
      <c r="Q122" s="68"/>
      <c r="R122" s="68"/>
      <c r="S122" s="68"/>
      <c r="T122" s="68"/>
      <c r="U122" s="68"/>
      <c r="V122" s="68"/>
      <c r="W122" s="68"/>
      <c r="X122" s="68"/>
      <c r="Y122" s="68">
        <v>25</v>
      </c>
    </row>
    <row r="123" spans="1:25">
      <c r="A123" s="8">
        <v>41401</v>
      </c>
      <c r="B123" s="68"/>
      <c r="C123" s="68"/>
      <c r="D123" s="68"/>
      <c r="E123" s="68"/>
      <c r="F123" s="68"/>
      <c r="G123" s="68"/>
      <c r="H123" s="68"/>
      <c r="I123" s="68">
        <v>83</v>
      </c>
      <c r="J123" s="68"/>
      <c r="K123" s="68"/>
      <c r="L123" s="68"/>
      <c r="M123" s="68"/>
      <c r="N123" s="68"/>
      <c r="O123" s="68"/>
      <c r="P123" s="68"/>
      <c r="Q123" s="68"/>
      <c r="R123" s="68"/>
      <c r="S123" s="68"/>
      <c r="T123" s="68"/>
      <c r="U123" s="68"/>
      <c r="V123" s="68"/>
      <c r="W123" s="68"/>
      <c r="X123" s="68"/>
      <c r="Y123" s="68">
        <v>83</v>
      </c>
    </row>
    <row r="124" spans="1:25">
      <c r="A124" s="8">
        <v>41402</v>
      </c>
      <c r="B124" s="68"/>
      <c r="C124" s="68"/>
      <c r="D124" s="68"/>
      <c r="E124" s="68"/>
      <c r="F124" s="68"/>
      <c r="G124" s="68"/>
      <c r="H124" s="68"/>
      <c r="I124" s="68">
        <v>10</v>
      </c>
      <c r="J124" s="68"/>
      <c r="K124" s="68"/>
      <c r="L124" s="68"/>
      <c r="M124" s="68"/>
      <c r="N124" s="68"/>
      <c r="O124" s="68"/>
      <c r="P124" s="68"/>
      <c r="Q124" s="68"/>
      <c r="R124" s="68"/>
      <c r="S124" s="68"/>
      <c r="T124" s="68"/>
      <c r="U124" s="68"/>
      <c r="V124" s="68"/>
      <c r="W124" s="68"/>
      <c r="X124" s="68"/>
      <c r="Y124" s="68">
        <v>10</v>
      </c>
    </row>
    <row r="125" spans="1:25">
      <c r="A125" s="8">
        <v>41403</v>
      </c>
      <c r="B125" s="68"/>
      <c r="C125" s="68"/>
      <c r="D125" s="68"/>
      <c r="E125" s="68"/>
      <c r="F125" s="68"/>
      <c r="G125" s="68"/>
      <c r="H125" s="68"/>
      <c r="I125" s="68">
        <v>13</v>
      </c>
      <c r="J125" s="68"/>
      <c r="K125" s="68"/>
      <c r="L125" s="68"/>
      <c r="M125" s="68"/>
      <c r="N125" s="68"/>
      <c r="O125" s="68"/>
      <c r="P125" s="68"/>
      <c r="Q125" s="68"/>
      <c r="R125" s="68"/>
      <c r="S125" s="68"/>
      <c r="T125" s="68"/>
      <c r="U125" s="68"/>
      <c r="V125" s="68"/>
      <c r="W125" s="68"/>
      <c r="X125" s="68"/>
      <c r="Y125" s="68">
        <v>13</v>
      </c>
    </row>
    <row r="126" spans="1:25">
      <c r="A126" s="8">
        <v>41404</v>
      </c>
      <c r="B126" s="68"/>
      <c r="C126" s="68"/>
      <c r="D126" s="68"/>
      <c r="E126" s="68"/>
      <c r="F126" s="68"/>
      <c r="G126" s="68"/>
      <c r="H126" s="68"/>
      <c r="I126" s="68">
        <v>6</v>
      </c>
      <c r="J126" s="68"/>
      <c r="K126" s="68"/>
      <c r="L126" s="68"/>
      <c r="M126" s="68"/>
      <c r="N126" s="68"/>
      <c r="O126" s="68"/>
      <c r="P126" s="68"/>
      <c r="Q126" s="68"/>
      <c r="R126" s="68"/>
      <c r="S126" s="68"/>
      <c r="T126" s="68"/>
      <c r="U126" s="68"/>
      <c r="V126" s="68"/>
      <c r="W126" s="68"/>
      <c r="X126" s="68"/>
      <c r="Y126" s="68">
        <v>6</v>
      </c>
    </row>
    <row r="127" spans="1:25">
      <c r="A127" s="8">
        <v>41405</v>
      </c>
      <c r="B127" s="68"/>
      <c r="C127" s="68"/>
      <c r="D127" s="68"/>
      <c r="E127" s="68"/>
      <c r="F127" s="68"/>
      <c r="G127" s="68"/>
      <c r="H127" s="68"/>
      <c r="I127" s="68">
        <v>5</v>
      </c>
      <c r="J127" s="68"/>
      <c r="K127" s="68"/>
      <c r="L127" s="68"/>
      <c r="M127" s="68"/>
      <c r="N127" s="68"/>
      <c r="O127" s="68"/>
      <c r="P127" s="68"/>
      <c r="Q127" s="68"/>
      <c r="R127" s="68"/>
      <c r="S127" s="68"/>
      <c r="T127" s="68"/>
      <c r="U127" s="68"/>
      <c r="V127" s="68"/>
      <c r="W127" s="68"/>
      <c r="X127" s="68"/>
      <c r="Y127" s="68">
        <v>5</v>
      </c>
    </row>
    <row r="128" spans="1:25">
      <c r="A128" s="8">
        <v>41406</v>
      </c>
      <c r="B128" s="68"/>
      <c r="C128" s="68"/>
      <c r="D128" s="68"/>
      <c r="E128" s="68"/>
      <c r="F128" s="68"/>
      <c r="G128" s="68"/>
      <c r="H128" s="68"/>
      <c r="I128" s="68">
        <v>4</v>
      </c>
      <c r="J128" s="68"/>
      <c r="K128" s="68"/>
      <c r="L128" s="68"/>
      <c r="M128" s="68"/>
      <c r="N128" s="68"/>
      <c r="O128" s="68"/>
      <c r="P128" s="68"/>
      <c r="Q128" s="68"/>
      <c r="R128" s="68"/>
      <c r="S128" s="68"/>
      <c r="T128" s="68"/>
      <c r="U128" s="68"/>
      <c r="V128" s="68"/>
      <c r="W128" s="68"/>
      <c r="X128" s="68"/>
      <c r="Y128" s="68">
        <v>4</v>
      </c>
    </row>
    <row r="129" spans="1:25">
      <c r="A129" s="8">
        <v>41407</v>
      </c>
      <c r="B129" s="68"/>
      <c r="C129" s="68"/>
      <c r="D129" s="68"/>
      <c r="E129" s="68"/>
      <c r="F129" s="68"/>
      <c r="G129" s="68"/>
      <c r="H129" s="68"/>
      <c r="I129" s="68">
        <v>9</v>
      </c>
      <c r="J129" s="68"/>
      <c r="K129" s="68"/>
      <c r="L129" s="68"/>
      <c r="M129" s="68"/>
      <c r="N129" s="68"/>
      <c r="O129" s="68"/>
      <c r="P129" s="68"/>
      <c r="Q129" s="68"/>
      <c r="R129" s="68"/>
      <c r="S129" s="68"/>
      <c r="T129" s="68"/>
      <c r="U129" s="68"/>
      <c r="V129" s="68"/>
      <c r="W129" s="68"/>
      <c r="X129" s="68"/>
      <c r="Y129" s="68">
        <v>9</v>
      </c>
    </row>
    <row r="130" spans="1:25">
      <c r="A130" s="8">
        <v>41408</v>
      </c>
      <c r="B130" s="68"/>
      <c r="C130" s="68"/>
      <c r="D130" s="68"/>
      <c r="E130" s="68"/>
      <c r="F130" s="68"/>
      <c r="G130" s="68"/>
      <c r="H130" s="68"/>
      <c r="I130" s="68">
        <v>45</v>
      </c>
      <c r="J130" s="68"/>
      <c r="K130" s="68"/>
      <c r="L130" s="68"/>
      <c r="M130" s="68"/>
      <c r="N130" s="68"/>
      <c r="O130" s="68"/>
      <c r="P130" s="68"/>
      <c r="Q130" s="68"/>
      <c r="R130" s="68"/>
      <c r="S130" s="68"/>
      <c r="T130" s="68"/>
      <c r="U130" s="68"/>
      <c r="V130" s="68"/>
      <c r="W130" s="68"/>
      <c r="X130" s="68"/>
      <c r="Y130" s="68">
        <v>45</v>
      </c>
    </row>
    <row r="131" spans="1:25">
      <c r="A131" s="8">
        <v>41409</v>
      </c>
      <c r="B131" s="68"/>
      <c r="C131" s="68"/>
      <c r="D131" s="68"/>
      <c r="E131" s="68"/>
      <c r="F131" s="68"/>
      <c r="G131" s="68"/>
      <c r="H131" s="68"/>
      <c r="I131" s="68">
        <v>12</v>
      </c>
      <c r="J131" s="68"/>
      <c r="K131" s="68"/>
      <c r="L131" s="68"/>
      <c r="M131" s="68"/>
      <c r="N131" s="68"/>
      <c r="O131" s="68"/>
      <c r="P131" s="68"/>
      <c r="Q131" s="68"/>
      <c r="R131" s="68"/>
      <c r="S131" s="68"/>
      <c r="T131" s="68"/>
      <c r="U131" s="68"/>
      <c r="V131" s="68"/>
      <c r="W131" s="68"/>
      <c r="X131" s="68"/>
      <c r="Y131" s="68">
        <v>12</v>
      </c>
    </row>
    <row r="132" spans="1:25">
      <c r="A132" s="8">
        <v>41410</v>
      </c>
      <c r="B132" s="68"/>
      <c r="C132" s="68"/>
      <c r="D132" s="68"/>
      <c r="E132" s="68"/>
      <c r="F132" s="68"/>
      <c r="G132" s="68"/>
      <c r="H132" s="68"/>
      <c r="I132" s="68">
        <v>35</v>
      </c>
      <c r="J132" s="68"/>
      <c r="K132" s="68"/>
      <c r="L132" s="68"/>
      <c r="M132" s="68"/>
      <c r="N132" s="68"/>
      <c r="O132" s="68"/>
      <c r="P132" s="68"/>
      <c r="Q132" s="68"/>
      <c r="R132" s="68"/>
      <c r="S132" s="68"/>
      <c r="T132" s="68"/>
      <c r="U132" s="68"/>
      <c r="V132" s="68"/>
      <c r="W132" s="68"/>
      <c r="X132" s="68"/>
      <c r="Y132" s="68">
        <v>35</v>
      </c>
    </row>
    <row r="133" spans="1:25">
      <c r="A133" s="8">
        <v>41411</v>
      </c>
      <c r="B133" s="68"/>
      <c r="C133" s="68"/>
      <c r="D133" s="68"/>
      <c r="E133" s="68"/>
      <c r="F133" s="68"/>
      <c r="G133" s="68"/>
      <c r="H133" s="68"/>
      <c r="I133" s="68">
        <v>12</v>
      </c>
      <c r="J133" s="68"/>
      <c r="K133" s="68"/>
      <c r="L133" s="68"/>
      <c r="M133" s="68"/>
      <c r="N133" s="68"/>
      <c r="O133" s="68"/>
      <c r="P133" s="68"/>
      <c r="Q133" s="68"/>
      <c r="R133" s="68"/>
      <c r="S133" s="68"/>
      <c r="T133" s="68"/>
      <c r="U133" s="68"/>
      <c r="V133" s="68"/>
      <c r="W133" s="68"/>
      <c r="X133" s="68"/>
      <c r="Y133" s="68">
        <v>12</v>
      </c>
    </row>
    <row r="134" spans="1:25">
      <c r="A134" s="8">
        <v>41412</v>
      </c>
      <c r="B134" s="68"/>
      <c r="C134" s="68"/>
      <c r="D134" s="68"/>
      <c r="E134" s="68"/>
      <c r="F134" s="68"/>
      <c r="G134" s="68"/>
      <c r="H134" s="68"/>
      <c r="I134" s="68">
        <v>9</v>
      </c>
      <c r="J134" s="68"/>
      <c r="K134" s="68"/>
      <c r="L134" s="68"/>
      <c r="M134" s="68"/>
      <c r="N134" s="68"/>
      <c r="O134" s="68"/>
      <c r="P134" s="68"/>
      <c r="Q134" s="68"/>
      <c r="R134" s="68"/>
      <c r="S134" s="68"/>
      <c r="T134" s="68"/>
      <c r="U134" s="68"/>
      <c r="V134" s="68"/>
      <c r="W134" s="68"/>
      <c r="X134" s="68"/>
      <c r="Y134" s="68">
        <v>9</v>
      </c>
    </row>
    <row r="135" spans="1:25">
      <c r="A135" s="8">
        <v>41413</v>
      </c>
      <c r="B135" s="68"/>
      <c r="C135" s="68"/>
      <c r="D135" s="68"/>
      <c r="E135" s="68"/>
      <c r="F135" s="68"/>
      <c r="G135" s="68"/>
      <c r="H135" s="68"/>
      <c r="I135" s="68">
        <v>2</v>
      </c>
      <c r="J135" s="68"/>
      <c r="K135" s="68"/>
      <c r="L135" s="68"/>
      <c r="M135" s="68"/>
      <c r="N135" s="68"/>
      <c r="O135" s="68"/>
      <c r="P135" s="68"/>
      <c r="Q135" s="68"/>
      <c r="R135" s="68"/>
      <c r="S135" s="68"/>
      <c r="T135" s="68"/>
      <c r="U135" s="68"/>
      <c r="V135" s="68"/>
      <c r="W135" s="68"/>
      <c r="X135" s="68"/>
      <c r="Y135" s="68">
        <v>2</v>
      </c>
    </row>
    <row r="136" spans="1:25">
      <c r="A136" s="8">
        <v>41414</v>
      </c>
      <c r="B136" s="68"/>
      <c r="C136" s="68"/>
      <c r="D136" s="68"/>
      <c r="E136" s="68"/>
      <c r="F136" s="68"/>
      <c r="G136" s="68"/>
      <c r="H136" s="68"/>
      <c r="I136" s="68">
        <v>3</v>
      </c>
      <c r="J136" s="68"/>
      <c r="K136" s="68"/>
      <c r="L136" s="68"/>
      <c r="M136" s="68"/>
      <c r="N136" s="68"/>
      <c r="O136" s="68"/>
      <c r="P136" s="68"/>
      <c r="Q136" s="68"/>
      <c r="R136" s="68"/>
      <c r="S136" s="68"/>
      <c r="T136" s="68"/>
      <c r="U136" s="68"/>
      <c r="V136" s="68"/>
      <c r="W136" s="68"/>
      <c r="X136" s="68"/>
      <c r="Y136" s="68">
        <v>3</v>
      </c>
    </row>
    <row r="137" spans="1:25">
      <c r="A137" s="8">
        <v>41415</v>
      </c>
      <c r="B137" s="68"/>
      <c r="C137" s="68"/>
      <c r="D137" s="68"/>
      <c r="E137" s="68"/>
      <c r="F137" s="68"/>
      <c r="G137" s="68"/>
      <c r="H137" s="68"/>
      <c r="I137" s="68"/>
      <c r="J137" s="68">
        <v>33</v>
      </c>
      <c r="K137" s="68"/>
      <c r="L137" s="68"/>
      <c r="M137" s="68"/>
      <c r="N137" s="68"/>
      <c r="O137" s="68"/>
      <c r="P137" s="68"/>
      <c r="Q137" s="68"/>
      <c r="R137" s="68"/>
      <c r="S137" s="68"/>
      <c r="T137" s="68"/>
      <c r="U137" s="68"/>
      <c r="V137" s="68"/>
      <c r="W137" s="68"/>
      <c r="X137" s="68"/>
      <c r="Y137" s="68">
        <v>33</v>
      </c>
    </row>
    <row r="138" spans="1:25">
      <c r="A138" s="8">
        <v>41416</v>
      </c>
      <c r="B138" s="68"/>
      <c r="C138" s="68"/>
      <c r="D138" s="68"/>
      <c r="E138" s="68"/>
      <c r="F138" s="68"/>
      <c r="G138" s="68"/>
      <c r="H138" s="68"/>
      <c r="I138" s="68"/>
      <c r="J138" s="68">
        <v>14</v>
      </c>
      <c r="K138" s="68"/>
      <c r="L138" s="68"/>
      <c r="M138" s="68"/>
      <c r="N138" s="68"/>
      <c r="O138" s="68"/>
      <c r="P138" s="68"/>
      <c r="Q138" s="68"/>
      <c r="R138" s="68"/>
      <c r="S138" s="68"/>
      <c r="T138" s="68"/>
      <c r="U138" s="68"/>
      <c r="V138" s="68"/>
      <c r="W138" s="68"/>
      <c r="X138" s="68"/>
      <c r="Y138" s="68">
        <v>14</v>
      </c>
    </row>
    <row r="139" spans="1:25">
      <c r="A139" s="8">
        <v>41417</v>
      </c>
      <c r="B139" s="68"/>
      <c r="C139" s="68"/>
      <c r="D139" s="68"/>
      <c r="E139" s="68"/>
      <c r="F139" s="68"/>
      <c r="G139" s="68"/>
      <c r="H139" s="68"/>
      <c r="I139" s="68"/>
      <c r="J139" s="68">
        <v>12</v>
      </c>
      <c r="K139" s="68"/>
      <c r="L139" s="68"/>
      <c r="M139" s="68"/>
      <c r="N139" s="68"/>
      <c r="O139" s="68"/>
      <c r="P139" s="68"/>
      <c r="Q139" s="68"/>
      <c r="R139" s="68"/>
      <c r="S139" s="68"/>
      <c r="T139" s="68"/>
      <c r="U139" s="68"/>
      <c r="V139" s="68"/>
      <c r="W139" s="68"/>
      <c r="X139" s="68"/>
      <c r="Y139" s="68">
        <v>12</v>
      </c>
    </row>
    <row r="140" spans="1:25">
      <c r="A140" s="8">
        <v>41418</v>
      </c>
      <c r="B140" s="68"/>
      <c r="C140" s="68"/>
      <c r="D140" s="68"/>
      <c r="E140" s="68"/>
      <c r="F140" s="68"/>
      <c r="G140" s="68"/>
      <c r="H140" s="68"/>
      <c r="I140" s="68"/>
      <c r="J140" s="68">
        <v>9</v>
      </c>
      <c r="K140" s="68"/>
      <c r="L140" s="68"/>
      <c r="M140" s="68"/>
      <c r="N140" s="68"/>
      <c r="O140" s="68"/>
      <c r="P140" s="68"/>
      <c r="Q140" s="68"/>
      <c r="R140" s="68"/>
      <c r="S140" s="68"/>
      <c r="T140" s="68"/>
      <c r="U140" s="68"/>
      <c r="V140" s="68"/>
      <c r="W140" s="68"/>
      <c r="X140" s="68"/>
      <c r="Y140" s="68">
        <v>9</v>
      </c>
    </row>
    <row r="141" spans="1:25">
      <c r="A141" s="8">
        <v>41419</v>
      </c>
      <c r="B141" s="68"/>
      <c r="C141" s="68"/>
      <c r="D141" s="68"/>
      <c r="E141" s="68"/>
      <c r="F141" s="68"/>
      <c r="G141" s="68"/>
      <c r="H141" s="68"/>
      <c r="I141" s="68"/>
      <c r="J141" s="68">
        <v>5</v>
      </c>
      <c r="K141" s="68"/>
      <c r="L141" s="68"/>
      <c r="M141" s="68"/>
      <c r="N141" s="68"/>
      <c r="O141" s="68"/>
      <c r="P141" s="68"/>
      <c r="Q141" s="68"/>
      <c r="R141" s="68"/>
      <c r="S141" s="68"/>
      <c r="T141" s="68"/>
      <c r="U141" s="68"/>
      <c r="V141" s="68"/>
      <c r="W141" s="68"/>
      <c r="X141" s="68"/>
      <c r="Y141" s="68">
        <v>5</v>
      </c>
    </row>
    <row r="142" spans="1:25">
      <c r="A142" s="8">
        <v>41420</v>
      </c>
      <c r="B142" s="68"/>
      <c r="C142" s="68"/>
      <c r="D142" s="68"/>
      <c r="E142" s="68"/>
      <c r="F142" s="68"/>
      <c r="G142" s="68"/>
      <c r="H142" s="68"/>
      <c r="I142" s="68"/>
      <c r="J142" s="68">
        <v>5</v>
      </c>
      <c r="K142" s="68"/>
      <c r="L142" s="68"/>
      <c r="M142" s="68"/>
      <c r="N142" s="68"/>
      <c r="O142" s="68"/>
      <c r="P142" s="68"/>
      <c r="Q142" s="68"/>
      <c r="R142" s="68"/>
      <c r="S142" s="68"/>
      <c r="T142" s="68"/>
      <c r="U142" s="68"/>
      <c r="V142" s="68"/>
      <c r="W142" s="68"/>
      <c r="X142" s="68"/>
      <c r="Y142" s="68">
        <v>5</v>
      </c>
    </row>
    <row r="143" spans="1:25">
      <c r="A143" s="8">
        <v>41421</v>
      </c>
      <c r="B143" s="68"/>
      <c r="C143" s="68"/>
      <c r="D143" s="68"/>
      <c r="E143" s="68"/>
      <c r="F143" s="68"/>
      <c r="G143" s="68"/>
      <c r="H143" s="68"/>
      <c r="I143" s="68"/>
      <c r="J143" s="68">
        <v>5</v>
      </c>
      <c r="K143" s="68"/>
      <c r="L143" s="68"/>
      <c r="M143" s="68"/>
      <c r="N143" s="68"/>
      <c r="O143" s="68"/>
      <c r="P143" s="68"/>
      <c r="Q143" s="68"/>
      <c r="R143" s="68"/>
      <c r="S143" s="68"/>
      <c r="T143" s="68"/>
      <c r="U143" s="68"/>
      <c r="V143" s="68"/>
      <c r="W143" s="68"/>
      <c r="X143" s="68"/>
      <c r="Y143" s="68">
        <v>5</v>
      </c>
    </row>
    <row r="144" spans="1:25">
      <c r="A144" s="8">
        <v>41422</v>
      </c>
      <c r="B144" s="68"/>
      <c r="C144" s="68"/>
      <c r="D144" s="68"/>
      <c r="E144" s="68"/>
      <c r="F144" s="68"/>
      <c r="G144" s="68"/>
      <c r="H144" s="68"/>
      <c r="I144" s="68"/>
      <c r="J144" s="68">
        <v>12</v>
      </c>
      <c r="K144" s="68"/>
      <c r="L144" s="68"/>
      <c r="M144" s="68"/>
      <c r="N144" s="68"/>
      <c r="O144" s="68"/>
      <c r="P144" s="68"/>
      <c r="Q144" s="68"/>
      <c r="R144" s="68"/>
      <c r="S144" s="68"/>
      <c r="T144" s="68"/>
      <c r="U144" s="68"/>
      <c r="V144" s="68"/>
      <c r="W144" s="68"/>
      <c r="X144" s="68"/>
      <c r="Y144" s="68">
        <v>12</v>
      </c>
    </row>
    <row r="145" spans="1:25">
      <c r="A145" s="8">
        <v>41423</v>
      </c>
      <c r="B145" s="68"/>
      <c r="C145" s="68"/>
      <c r="D145" s="68"/>
      <c r="E145" s="68"/>
      <c r="F145" s="68"/>
      <c r="G145" s="68"/>
      <c r="H145" s="68"/>
      <c r="I145" s="68"/>
      <c r="J145" s="68">
        <v>12</v>
      </c>
      <c r="K145" s="68"/>
      <c r="L145" s="68"/>
      <c r="M145" s="68"/>
      <c r="N145" s="68"/>
      <c r="O145" s="68"/>
      <c r="P145" s="68"/>
      <c r="Q145" s="68"/>
      <c r="R145" s="68"/>
      <c r="S145" s="68"/>
      <c r="T145" s="68"/>
      <c r="U145" s="68"/>
      <c r="V145" s="68"/>
      <c r="W145" s="68"/>
      <c r="X145" s="68"/>
      <c r="Y145" s="68">
        <v>12</v>
      </c>
    </row>
    <row r="146" spans="1:25">
      <c r="A146" s="8">
        <v>41424</v>
      </c>
      <c r="B146" s="68"/>
      <c r="C146" s="68"/>
      <c r="D146" s="68"/>
      <c r="E146" s="68"/>
      <c r="F146" s="68"/>
      <c r="G146" s="68"/>
      <c r="H146" s="68"/>
      <c r="I146" s="68"/>
      <c r="J146" s="68">
        <v>13</v>
      </c>
      <c r="K146" s="68"/>
      <c r="L146" s="68"/>
      <c r="M146" s="68"/>
      <c r="N146" s="68"/>
      <c r="O146" s="68"/>
      <c r="P146" s="68"/>
      <c r="Q146" s="68"/>
      <c r="R146" s="68"/>
      <c r="S146" s="68"/>
      <c r="T146" s="68"/>
      <c r="U146" s="68"/>
      <c r="V146" s="68"/>
      <c r="W146" s="68"/>
      <c r="X146" s="68"/>
      <c r="Y146" s="68">
        <v>13</v>
      </c>
    </row>
    <row r="147" spans="1:25">
      <c r="A147" s="8">
        <v>41425</v>
      </c>
      <c r="B147" s="68"/>
      <c r="C147" s="68"/>
      <c r="D147" s="68"/>
      <c r="E147" s="68"/>
      <c r="F147" s="68"/>
      <c r="G147" s="68"/>
      <c r="H147" s="68"/>
      <c r="I147" s="68"/>
      <c r="J147" s="68">
        <v>9</v>
      </c>
      <c r="K147" s="68"/>
      <c r="L147" s="68"/>
      <c r="M147" s="68"/>
      <c r="N147" s="68"/>
      <c r="O147" s="68"/>
      <c r="P147" s="68"/>
      <c r="Q147" s="68"/>
      <c r="R147" s="68"/>
      <c r="S147" s="68"/>
      <c r="T147" s="68"/>
      <c r="U147" s="68"/>
      <c r="V147" s="68"/>
      <c r="W147" s="68"/>
      <c r="X147" s="68"/>
      <c r="Y147" s="68">
        <v>9</v>
      </c>
    </row>
    <row r="148" spans="1:25">
      <c r="A148" s="8">
        <v>41426</v>
      </c>
      <c r="B148" s="68"/>
      <c r="C148" s="68"/>
      <c r="D148" s="68"/>
      <c r="E148" s="68"/>
      <c r="F148" s="68"/>
      <c r="G148" s="68"/>
      <c r="H148" s="68"/>
      <c r="I148" s="68"/>
      <c r="J148" s="68">
        <v>10</v>
      </c>
      <c r="K148" s="68"/>
      <c r="L148" s="68"/>
      <c r="M148" s="68"/>
      <c r="N148" s="68"/>
      <c r="O148" s="68"/>
      <c r="P148" s="68"/>
      <c r="Q148" s="68"/>
      <c r="R148" s="68"/>
      <c r="S148" s="68"/>
      <c r="T148" s="68"/>
      <c r="U148" s="68"/>
      <c r="V148" s="68"/>
      <c r="W148" s="68"/>
      <c r="X148" s="68"/>
      <c r="Y148" s="68">
        <v>10</v>
      </c>
    </row>
    <row r="149" spans="1:25">
      <c r="A149" s="8">
        <v>41427</v>
      </c>
      <c r="B149" s="68"/>
      <c r="C149" s="68"/>
      <c r="D149" s="68"/>
      <c r="E149" s="68"/>
      <c r="F149" s="68"/>
      <c r="G149" s="68"/>
      <c r="H149" s="68"/>
      <c r="I149" s="68"/>
      <c r="J149" s="68">
        <v>10</v>
      </c>
      <c r="K149" s="68"/>
      <c r="L149" s="68"/>
      <c r="M149" s="68"/>
      <c r="N149" s="68"/>
      <c r="O149" s="68"/>
      <c r="P149" s="68"/>
      <c r="Q149" s="68"/>
      <c r="R149" s="68"/>
      <c r="S149" s="68"/>
      <c r="T149" s="68"/>
      <c r="U149" s="68"/>
      <c r="V149" s="68"/>
      <c r="W149" s="68"/>
      <c r="X149" s="68"/>
      <c r="Y149" s="68">
        <v>10</v>
      </c>
    </row>
    <row r="150" spans="1:25">
      <c r="A150" s="8">
        <v>41428</v>
      </c>
      <c r="B150" s="68"/>
      <c r="C150" s="68"/>
      <c r="D150" s="68"/>
      <c r="E150" s="68"/>
      <c r="F150" s="68"/>
      <c r="G150" s="68"/>
      <c r="H150" s="68"/>
      <c r="I150" s="68"/>
      <c r="J150" s="68">
        <v>15</v>
      </c>
      <c r="K150" s="68"/>
      <c r="L150" s="68"/>
      <c r="M150" s="68"/>
      <c r="N150" s="68"/>
      <c r="O150" s="68"/>
      <c r="P150" s="68"/>
      <c r="Q150" s="68"/>
      <c r="R150" s="68"/>
      <c r="S150" s="68"/>
      <c r="T150" s="68"/>
      <c r="U150" s="68"/>
      <c r="V150" s="68"/>
      <c r="W150" s="68"/>
      <c r="X150" s="68"/>
      <c r="Y150" s="68">
        <v>15</v>
      </c>
    </row>
    <row r="151" spans="1:25">
      <c r="A151" s="8">
        <v>41429</v>
      </c>
      <c r="B151" s="68"/>
      <c r="C151" s="68"/>
      <c r="D151" s="68"/>
      <c r="E151" s="68"/>
      <c r="F151" s="68"/>
      <c r="G151" s="68"/>
      <c r="H151" s="68"/>
      <c r="I151" s="68"/>
      <c r="J151" s="68"/>
      <c r="K151" s="68">
        <v>44</v>
      </c>
      <c r="L151" s="68"/>
      <c r="M151" s="68"/>
      <c r="N151" s="68"/>
      <c r="O151" s="68"/>
      <c r="P151" s="68"/>
      <c r="Q151" s="68"/>
      <c r="R151" s="68"/>
      <c r="S151" s="68"/>
      <c r="T151" s="68"/>
      <c r="U151" s="68"/>
      <c r="V151" s="68"/>
      <c r="W151" s="68"/>
      <c r="X151" s="68"/>
      <c r="Y151" s="68">
        <v>44</v>
      </c>
    </row>
    <row r="152" spans="1:25">
      <c r="A152" s="8">
        <v>41430</v>
      </c>
      <c r="B152" s="68"/>
      <c r="C152" s="68"/>
      <c r="D152" s="68"/>
      <c r="E152" s="68"/>
      <c r="F152" s="68"/>
      <c r="G152" s="68"/>
      <c r="H152" s="68"/>
      <c r="I152" s="68"/>
      <c r="J152" s="68"/>
      <c r="K152" s="68">
        <v>16</v>
      </c>
      <c r="L152" s="68"/>
      <c r="M152" s="68"/>
      <c r="N152" s="68"/>
      <c r="O152" s="68"/>
      <c r="P152" s="68"/>
      <c r="Q152" s="68"/>
      <c r="R152" s="68"/>
      <c r="S152" s="68"/>
      <c r="T152" s="68"/>
      <c r="U152" s="68"/>
      <c r="V152" s="68"/>
      <c r="W152" s="68"/>
      <c r="X152" s="68"/>
      <c r="Y152" s="68">
        <v>16</v>
      </c>
    </row>
    <row r="153" spans="1:25">
      <c r="A153" s="8">
        <v>41431</v>
      </c>
      <c r="B153" s="68"/>
      <c r="C153" s="68"/>
      <c r="D153" s="68"/>
      <c r="E153" s="68"/>
      <c r="F153" s="68"/>
      <c r="G153" s="68"/>
      <c r="H153" s="68"/>
      <c r="I153" s="68"/>
      <c r="J153" s="68"/>
      <c r="K153" s="68">
        <v>10</v>
      </c>
      <c r="L153" s="68"/>
      <c r="M153" s="68"/>
      <c r="N153" s="68"/>
      <c r="O153" s="68"/>
      <c r="P153" s="68"/>
      <c r="Q153" s="68"/>
      <c r="R153" s="68"/>
      <c r="S153" s="68"/>
      <c r="T153" s="68"/>
      <c r="U153" s="68"/>
      <c r="V153" s="68"/>
      <c r="W153" s="68"/>
      <c r="X153" s="68"/>
      <c r="Y153" s="68">
        <v>10</v>
      </c>
    </row>
    <row r="154" spans="1:25">
      <c r="A154" s="8">
        <v>41432</v>
      </c>
      <c r="B154" s="68"/>
      <c r="C154" s="68"/>
      <c r="D154" s="68"/>
      <c r="E154" s="68"/>
      <c r="F154" s="68"/>
      <c r="G154" s="68"/>
      <c r="H154" s="68"/>
      <c r="I154" s="68"/>
      <c r="J154" s="68"/>
      <c r="K154" s="68">
        <v>6</v>
      </c>
      <c r="L154" s="68"/>
      <c r="M154" s="68"/>
      <c r="N154" s="68"/>
      <c r="O154" s="68"/>
      <c r="P154" s="68"/>
      <c r="Q154" s="68"/>
      <c r="R154" s="68"/>
      <c r="S154" s="68"/>
      <c r="T154" s="68"/>
      <c r="U154" s="68"/>
      <c r="V154" s="68"/>
      <c r="W154" s="68"/>
      <c r="X154" s="68"/>
      <c r="Y154" s="68">
        <v>6</v>
      </c>
    </row>
    <row r="155" spans="1:25">
      <c r="A155" s="8">
        <v>41433</v>
      </c>
      <c r="B155" s="68"/>
      <c r="C155" s="68"/>
      <c r="D155" s="68"/>
      <c r="E155" s="68"/>
      <c r="F155" s="68"/>
      <c r="G155" s="68"/>
      <c r="H155" s="68"/>
      <c r="I155" s="68"/>
      <c r="J155" s="68"/>
      <c r="K155" s="68">
        <v>2</v>
      </c>
      <c r="L155" s="68"/>
      <c r="M155" s="68"/>
      <c r="N155" s="68"/>
      <c r="O155" s="68"/>
      <c r="P155" s="68"/>
      <c r="Q155" s="68"/>
      <c r="R155" s="68"/>
      <c r="S155" s="68"/>
      <c r="T155" s="68"/>
      <c r="U155" s="68"/>
      <c r="V155" s="68"/>
      <c r="W155" s="68"/>
      <c r="X155" s="68"/>
      <c r="Y155" s="68">
        <v>2</v>
      </c>
    </row>
    <row r="156" spans="1:25">
      <c r="A156" s="8">
        <v>41434</v>
      </c>
      <c r="B156" s="68"/>
      <c r="C156" s="68"/>
      <c r="D156" s="68"/>
      <c r="E156" s="68"/>
      <c r="F156" s="68"/>
      <c r="G156" s="68"/>
      <c r="H156" s="68"/>
      <c r="I156" s="68"/>
      <c r="J156" s="68"/>
      <c r="K156" s="68">
        <v>11</v>
      </c>
      <c r="L156" s="68"/>
      <c r="M156" s="68"/>
      <c r="N156" s="68"/>
      <c r="O156" s="68"/>
      <c r="P156" s="68"/>
      <c r="Q156" s="68"/>
      <c r="R156" s="68"/>
      <c r="S156" s="68"/>
      <c r="T156" s="68"/>
      <c r="U156" s="68"/>
      <c r="V156" s="68"/>
      <c r="W156" s="68"/>
      <c r="X156" s="68"/>
      <c r="Y156" s="68">
        <v>11</v>
      </c>
    </row>
    <row r="157" spans="1:25">
      <c r="A157" s="8">
        <v>41435</v>
      </c>
      <c r="B157" s="68"/>
      <c r="C157" s="68"/>
      <c r="D157" s="68"/>
      <c r="E157" s="68"/>
      <c r="F157" s="68"/>
      <c r="G157" s="68"/>
      <c r="H157" s="68"/>
      <c r="I157" s="68"/>
      <c r="J157" s="68"/>
      <c r="K157" s="68">
        <v>2</v>
      </c>
      <c r="L157" s="68"/>
      <c r="M157" s="68"/>
      <c r="N157" s="68"/>
      <c r="O157" s="68"/>
      <c r="P157" s="68"/>
      <c r="Q157" s="68"/>
      <c r="R157" s="68"/>
      <c r="S157" s="68"/>
      <c r="T157" s="68"/>
      <c r="U157" s="68"/>
      <c r="V157" s="68"/>
      <c r="W157" s="68"/>
      <c r="X157" s="68"/>
      <c r="Y157" s="68">
        <v>2</v>
      </c>
    </row>
    <row r="158" spans="1:25">
      <c r="A158" s="8">
        <v>41436</v>
      </c>
      <c r="B158" s="68"/>
      <c r="C158" s="68"/>
      <c r="D158" s="68"/>
      <c r="E158" s="68"/>
      <c r="F158" s="68"/>
      <c r="G158" s="68"/>
      <c r="H158" s="68"/>
      <c r="I158" s="68"/>
      <c r="J158" s="68"/>
      <c r="K158" s="68">
        <v>5</v>
      </c>
      <c r="L158" s="68"/>
      <c r="M158" s="68"/>
      <c r="N158" s="68"/>
      <c r="O158" s="68"/>
      <c r="P158" s="68"/>
      <c r="Q158" s="68"/>
      <c r="R158" s="68"/>
      <c r="S158" s="68"/>
      <c r="T158" s="68"/>
      <c r="U158" s="68"/>
      <c r="V158" s="68"/>
      <c r="W158" s="68"/>
      <c r="X158" s="68"/>
      <c r="Y158" s="68">
        <v>5</v>
      </c>
    </row>
    <row r="159" spans="1:25">
      <c r="A159" s="8">
        <v>41437</v>
      </c>
      <c r="B159" s="68"/>
      <c r="C159" s="68"/>
      <c r="D159" s="68"/>
      <c r="E159" s="68"/>
      <c r="F159" s="68"/>
      <c r="G159" s="68"/>
      <c r="H159" s="68"/>
      <c r="I159" s="68"/>
      <c r="J159" s="68"/>
      <c r="K159" s="68">
        <v>5</v>
      </c>
      <c r="L159" s="68"/>
      <c r="M159" s="68"/>
      <c r="N159" s="68"/>
      <c r="O159" s="68"/>
      <c r="P159" s="68"/>
      <c r="Q159" s="68"/>
      <c r="R159" s="68"/>
      <c r="S159" s="68"/>
      <c r="T159" s="68"/>
      <c r="U159" s="68"/>
      <c r="V159" s="68"/>
      <c r="W159" s="68"/>
      <c r="X159" s="68"/>
      <c r="Y159" s="68">
        <v>5</v>
      </c>
    </row>
    <row r="160" spans="1:25">
      <c r="A160" s="8">
        <v>41438</v>
      </c>
      <c r="B160" s="68"/>
      <c r="C160" s="68"/>
      <c r="D160" s="68"/>
      <c r="E160" s="68"/>
      <c r="F160" s="68"/>
      <c r="G160" s="68"/>
      <c r="H160" s="68"/>
      <c r="I160" s="68"/>
      <c r="J160" s="68"/>
      <c r="K160" s="68">
        <v>9</v>
      </c>
      <c r="L160" s="68"/>
      <c r="M160" s="68"/>
      <c r="N160" s="68"/>
      <c r="O160" s="68"/>
      <c r="P160" s="68"/>
      <c r="Q160" s="68"/>
      <c r="R160" s="68"/>
      <c r="S160" s="68"/>
      <c r="T160" s="68"/>
      <c r="U160" s="68"/>
      <c r="V160" s="68"/>
      <c r="W160" s="68"/>
      <c r="X160" s="68"/>
      <c r="Y160" s="68">
        <v>9</v>
      </c>
    </row>
    <row r="161" spans="1:25">
      <c r="A161" s="8">
        <v>41439</v>
      </c>
      <c r="B161" s="68"/>
      <c r="C161" s="68"/>
      <c r="D161" s="68"/>
      <c r="E161" s="68"/>
      <c r="F161" s="68"/>
      <c r="G161" s="68"/>
      <c r="H161" s="68"/>
      <c r="I161" s="68"/>
      <c r="J161" s="68"/>
      <c r="K161" s="68">
        <v>6</v>
      </c>
      <c r="L161" s="68"/>
      <c r="M161" s="68"/>
      <c r="N161" s="68"/>
      <c r="O161" s="68"/>
      <c r="P161" s="68"/>
      <c r="Q161" s="68"/>
      <c r="R161" s="68"/>
      <c r="S161" s="68"/>
      <c r="T161" s="68"/>
      <c r="U161" s="68"/>
      <c r="V161" s="68"/>
      <c r="W161" s="68"/>
      <c r="X161" s="68"/>
      <c r="Y161" s="68">
        <v>6</v>
      </c>
    </row>
    <row r="162" spans="1:25">
      <c r="A162" s="8">
        <v>41440</v>
      </c>
      <c r="B162" s="68"/>
      <c r="C162" s="68"/>
      <c r="D162" s="68"/>
      <c r="E162" s="68"/>
      <c r="F162" s="68"/>
      <c r="G162" s="68"/>
      <c r="H162" s="68"/>
      <c r="I162" s="68"/>
      <c r="J162" s="68"/>
      <c r="K162" s="68">
        <v>4</v>
      </c>
      <c r="L162" s="68"/>
      <c r="M162" s="68"/>
      <c r="N162" s="68"/>
      <c r="O162" s="68"/>
      <c r="P162" s="68"/>
      <c r="Q162" s="68"/>
      <c r="R162" s="68"/>
      <c r="S162" s="68"/>
      <c r="T162" s="68"/>
      <c r="U162" s="68"/>
      <c r="V162" s="68"/>
      <c r="W162" s="68"/>
      <c r="X162" s="68"/>
      <c r="Y162" s="68">
        <v>4</v>
      </c>
    </row>
    <row r="163" spans="1:25">
      <c r="A163" s="8">
        <v>41441</v>
      </c>
      <c r="B163" s="68"/>
      <c r="C163" s="68"/>
      <c r="D163" s="68"/>
      <c r="E163" s="68"/>
      <c r="F163" s="68"/>
      <c r="G163" s="68"/>
      <c r="H163" s="68"/>
      <c r="I163" s="68"/>
      <c r="J163" s="68"/>
      <c r="K163" s="68">
        <v>10</v>
      </c>
      <c r="L163" s="68"/>
      <c r="M163" s="68"/>
      <c r="N163" s="68"/>
      <c r="O163" s="68"/>
      <c r="P163" s="68"/>
      <c r="Q163" s="68"/>
      <c r="R163" s="68"/>
      <c r="S163" s="68"/>
      <c r="T163" s="68"/>
      <c r="U163" s="68"/>
      <c r="V163" s="68"/>
      <c r="W163" s="68"/>
      <c r="X163" s="68"/>
      <c r="Y163" s="68">
        <v>10</v>
      </c>
    </row>
    <row r="164" spans="1:25">
      <c r="A164" s="8">
        <v>41442</v>
      </c>
      <c r="B164" s="68"/>
      <c r="C164" s="68"/>
      <c r="D164" s="68"/>
      <c r="E164" s="68"/>
      <c r="F164" s="68"/>
      <c r="G164" s="68"/>
      <c r="H164" s="68"/>
      <c r="I164" s="68"/>
      <c r="J164" s="68"/>
      <c r="K164" s="68">
        <v>5</v>
      </c>
      <c r="L164" s="68"/>
      <c r="M164" s="68"/>
      <c r="N164" s="68"/>
      <c r="O164" s="68"/>
      <c r="P164" s="68"/>
      <c r="Q164" s="68"/>
      <c r="R164" s="68"/>
      <c r="S164" s="68"/>
      <c r="T164" s="68"/>
      <c r="U164" s="68"/>
      <c r="V164" s="68"/>
      <c r="W164" s="68"/>
      <c r="X164" s="68"/>
      <c r="Y164" s="68">
        <v>5</v>
      </c>
    </row>
    <row r="165" spans="1:25">
      <c r="A165" s="8">
        <v>41443</v>
      </c>
      <c r="B165" s="68"/>
      <c r="C165" s="68"/>
      <c r="D165" s="68"/>
      <c r="E165" s="68"/>
      <c r="F165" s="68"/>
      <c r="G165" s="68"/>
      <c r="H165" s="68"/>
      <c r="I165" s="68"/>
      <c r="J165" s="68"/>
      <c r="K165" s="68"/>
      <c r="L165" s="68">
        <v>34</v>
      </c>
      <c r="M165" s="68"/>
      <c r="N165" s="68"/>
      <c r="O165" s="68"/>
      <c r="P165" s="68"/>
      <c r="Q165" s="68"/>
      <c r="R165" s="68"/>
      <c r="S165" s="68"/>
      <c r="T165" s="68"/>
      <c r="U165" s="68"/>
      <c r="V165" s="68"/>
      <c r="W165" s="68"/>
      <c r="X165" s="68"/>
      <c r="Y165" s="68">
        <v>34</v>
      </c>
    </row>
    <row r="166" spans="1:25">
      <c r="A166" s="8">
        <v>41444</v>
      </c>
      <c r="B166" s="68"/>
      <c r="C166" s="68"/>
      <c r="D166" s="68"/>
      <c r="E166" s="68"/>
      <c r="F166" s="68"/>
      <c r="G166" s="68"/>
      <c r="H166" s="68"/>
      <c r="I166" s="68"/>
      <c r="J166" s="68"/>
      <c r="K166" s="68"/>
      <c r="L166" s="68">
        <v>15</v>
      </c>
      <c r="M166" s="68"/>
      <c r="N166" s="68"/>
      <c r="O166" s="68"/>
      <c r="P166" s="68"/>
      <c r="Q166" s="68"/>
      <c r="R166" s="68"/>
      <c r="S166" s="68"/>
      <c r="T166" s="68"/>
      <c r="U166" s="68"/>
      <c r="V166" s="68"/>
      <c r="W166" s="68"/>
      <c r="X166" s="68"/>
      <c r="Y166" s="68">
        <v>15</v>
      </c>
    </row>
    <row r="167" spans="1:25">
      <c r="A167" s="8">
        <v>41445</v>
      </c>
      <c r="B167" s="68"/>
      <c r="C167" s="68"/>
      <c r="D167" s="68"/>
      <c r="E167" s="68"/>
      <c r="F167" s="68"/>
      <c r="G167" s="68"/>
      <c r="H167" s="68"/>
      <c r="I167" s="68"/>
      <c r="J167" s="68"/>
      <c r="K167" s="68"/>
      <c r="L167" s="68">
        <v>2</v>
      </c>
      <c r="M167" s="68"/>
      <c r="N167" s="68"/>
      <c r="O167" s="68"/>
      <c r="P167" s="68"/>
      <c r="Q167" s="68"/>
      <c r="R167" s="68"/>
      <c r="S167" s="68"/>
      <c r="T167" s="68"/>
      <c r="U167" s="68"/>
      <c r="V167" s="68"/>
      <c r="W167" s="68"/>
      <c r="X167" s="68"/>
      <c r="Y167" s="68">
        <v>2</v>
      </c>
    </row>
    <row r="168" spans="1:25">
      <c r="A168" s="8">
        <v>41446</v>
      </c>
      <c r="B168" s="68"/>
      <c r="C168" s="68"/>
      <c r="D168" s="68"/>
      <c r="E168" s="68"/>
      <c r="F168" s="68"/>
      <c r="G168" s="68"/>
      <c r="H168" s="68"/>
      <c r="I168" s="68"/>
      <c r="J168" s="68"/>
      <c r="K168" s="68"/>
      <c r="L168" s="68">
        <v>5</v>
      </c>
      <c r="M168" s="68"/>
      <c r="N168" s="68"/>
      <c r="O168" s="68"/>
      <c r="P168" s="68"/>
      <c r="Q168" s="68"/>
      <c r="R168" s="68"/>
      <c r="S168" s="68"/>
      <c r="T168" s="68"/>
      <c r="U168" s="68"/>
      <c r="V168" s="68"/>
      <c r="W168" s="68"/>
      <c r="X168" s="68"/>
      <c r="Y168" s="68">
        <v>5</v>
      </c>
    </row>
    <row r="169" spans="1:25">
      <c r="A169" s="8">
        <v>41447</v>
      </c>
      <c r="B169" s="68"/>
      <c r="C169" s="68"/>
      <c r="D169" s="68"/>
      <c r="E169" s="68"/>
      <c r="F169" s="68"/>
      <c r="G169" s="68"/>
      <c r="H169" s="68"/>
      <c r="I169" s="68"/>
      <c r="J169" s="68"/>
      <c r="K169" s="68"/>
      <c r="L169" s="68">
        <v>2</v>
      </c>
      <c r="M169" s="68"/>
      <c r="N169" s="68"/>
      <c r="O169" s="68"/>
      <c r="P169" s="68"/>
      <c r="Q169" s="68"/>
      <c r="R169" s="68"/>
      <c r="S169" s="68"/>
      <c r="T169" s="68"/>
      <c r="U169" s="68"/>
      <c r="V169" s="68"/>
      <c r="W169" s="68"/>
      <c r="X169" s="68"/>
      <c r="Y169" s="68">
        <v>2</v>
      </c>
    </row>
    <row r="170" spans="1:25">
      <c r="A170" s="8">
        <v>41448</v>
      </c>
      <c r="B170" s="68"/>
      <c r="C170" s="68"/>
      <c r="D170" s="68"/>
      <c r="E170" s="68"/>
      <c r="F170" s="68"/>
      <c r="G170" s="68"/>
      <c r="H170" s="68"/>
      <c r="I170" s="68"/>
      <c r="J170" s="68"/>
      <c r="K170" s="68"/>
      <c r="L170" s="68">
        <v>12</v>
      </c>
      <c r="M170" s="68"/>
      <c r="N170" s="68"/>
      <c r="O170" s="68"/>
      <c r="P170" s="68"/>
      <c r="Q170" s="68"/>
      <c r="R170" s="68"/>
      <c r="S170" s="68"/>
      <c r="T170" s="68"/>
      <c r="U170" s="68"/>
      <c r="V170" s="68"/>
      <c r="W170" s="68"/>
      <c r="X170" s="68"/>
      <c r="Y170" s="68">
        <v>12</v>
      </c>
    </row>
    <row r="171" spans="1:25">
      <c r="A171" s="8">
        <v>41449</v>
      </c>
      <c r="B171" s="68"/>
      <c r="C171" s="68"/>
      <c r="D171" s="68"/>
      <c r="E171" s="68"/>
      <c r="F171" s="68"/>
      <c r="G171" s="68"/>
      <c r="H171" s="68"/>
      <c r="I171" s="68"/>
      <c r="J171" s="68"/>
      <c r="K171" s="68"/>
      <c r="L171" s="68">
        <v>9</v>
      </c>
      <c r="M171" s="68"/>
      <c r="N171" s="68"/>
      <c r="O171" s="68"/>
      <c r="P171" s="68"/>
      <c r="Q171" s="68"/>
      <c r="R171" s="68"/>
      <c r="S171" s="68"/>
      <c r="T171" s="68"/>
      <c r="U171" s="68"/>
      <c r="V171" s="68"/>
      <c r="W171" s="68"/>
      <c r="X171" s="68"/>
      <c r="Y171" s="68">
        <v>9</v>
      </c>
    </row>
    <row r="172" spans="1:25">
      <c r="A172" s="8">
        <v>41450</v>
      </c>
      <c r="B172" s="68"/>
      <c r="C172" s="68"/>
      <c r="D172" s="68"/>
      <c r="E172" s="68"/>
      <c r="F172" s="68"/>
      <c r="G172" s="68"/>
      <c r="H172" s="68"/>
      <c r="I172" s="68"/>
      <c r="J172" s="68"/>
      <c r="K172" s="68"/>
      <c r="L172" s="68">
        <v>26</v>
      </c>
      <c r="M172" s="68"/>
      <c r="N172" s="68"/>
      <c r="O172" s="68"/>
      <c r="P172" s="68"/>
      <c r="Q172" s="68"/>
      <c r="R172" s="68"/>
      <c r="S172" s="68"/>
      <c r="T172" s="68"/>
      <c r="U172" s="68"/>
      <c r="V172" s="68"/>
      <c r="W172" s="68"/>
      <c r="X172" s="68"/>
      <c r="Y172" s="68">
        <v>26</v>
      </c>
    </row>
    <row r="173" spans="1:25">
      <c r="A173" s="8">
        <v>41451</v>
      </c>
      <c r="B173" s="68"/>
      <c r="C173" s="68"/>
      <c r="D173" s="68"/>
      <c r="E173" s="68"/>
      <c r="F173" s="68"/>
      <c r="G173" s="68"/>
      <c r="H173" s="68"/>
      <c r="I173" s="68"/>
      <c r="J173" s="68"/>
      <c r="K173" s="68"/>
      <c r="L173" s="68">
        <v>6</v>
      </c>
      <c r="M173" s="68"/>
      <c r="N173" s="68"/>
      <c r="O173" s="68"/>
      <c r="P173" s="68"/>
      <c r="Q173" s="68"/>
      <c r="R173" s="68"/>
      <c r="S173" s="68"/>
      <c r="T173" s="68"/>
      <c r="U173" s="68"/>
      <c r="V173" s="68"/>
      <c r="W173" s="68"/>
      <c r="X173" s="68"/>
      <c r="Y173" s="68">
        <v>6</v>
      </c>
    </row>
    <row r="174" spans="1:25">
      <c r="A174" s="8">
        <v>41452</v>
      </c>
      <c r="B174" s="68"/>
      <c r="C174" s="68"/>
      <c r="D174" s="68"/>
      <c r="E174" s="68"/>
      <c r="F174" s="68"/>
      <c r="G174" s="68"/>
      <c r="H174" s="68"/>
      <c r="I174" s="68"/>
      <c r="J174" s="68"/>
      <c r="K174" s="68"/>
      <c r="L174" s="68">
        <v>17</v>
      </c>
      <c r="M174" s="68"/>
      <c r="N174" s="68"/>
      <c r="O174" s="68"/>
      <c r="P174" s="68"/>
      <c r="Q174" s="68"/>
      <c r="R174" s="68"/>
      <c r="S174" s="68"/>
      <c r="T174" s="68"/>
      <c r="U174" s="68"/>
      <c r="V174" s="68"/>
      <c r="W174" s="68"/>
      <c r="X174" s="68"/>
      <c r="Y174" s="68">
        <v>17</v>
      </c>
    </row>
    <row r="175" spans="1:25">
      <c r="A175" s="8">
        <v>41453</v>
      </c>
      <c r="B175" s="68"/>
      <c r="C175" s="68"/>
      <c r="D175" s="68"/>
      <c r="E175" s="68"/>
      <c r="F175" s="68"/>
      <c r="G175" s="68"/>
      <c r="H175" s="68"/>
      <c r="I175" s="68"/>
      <c r="J175" s="68"/>
      <c r="K175" s="68"/>
      <c r="L175" s="68">
        <v>8</v>
      </c>
      <c r="M175" s="68"/>
      <c r="N175" s="68"/>
      <c r="O175" s="68"/>
      <c r="P175" s="68"/>
      <c r="Q175" s="68"/>
      <c r="R175" s="68"/>
      <c r="S175" s="68"/>
      <c r="T175" s="68"/>
      <c r="U175" s="68"/>
      <c r="V175" s="68"/>
      <c r="W175" s="68"/>
      <c r="X175" s="68"/>
      <c r="Y175" s="68">
        <v>8</v>
      </c>
    </row>
    <row r="176" spans="1:25">
      <c r="A176" s="8">
        <v>41454</v>
      </c>
      <c r="B176" s="68"/>
      <c r="C176" s="68"/>
      <c r="D176" s="68"/>
      <c r="E176" s="68"/>
      <c r="F176" s="68"/>
      <c r="G176" s="68"/>
      <c r="H176" s="68"/>
      <c r="I176" s="68"/>
      <c r="J176" s="68"/>
      <c r="K176" s="68"/>
      <c r="L176" s="68">
        <v>10</v>
      </c>
      <c r="M176" s="68"/>
      <c r="N176" s="68"/>
      <c r="O176" s="68"/>
      <c r="P176" s="68"/>
      <c r="Q176" s="68"/>
      <c r="R176" s="68"/>
      <c r="S176" s="68"/>
      <c r="T176" s="68"/>
      <c r="U176" s="68"/>
      <c r="V176" s="68"/>
      <c r="W176" s="68"/>
      <c r="X176" s="68"/>
      <c r="Y176" s="68">
        <v>10</v>
      </c>
    </row>
    <row r="177" spans="1:25">
      <c r="A177" s="8">
        <v>41455</v>
      </c>
      <c r="B177" s="68"/>
      <c r="C177" s="68"/>
      <c r="D177" s="68"/>
      <c r="E177" s="68"/>
      <c r="F177" s="68"/>
      <c r="G177" s="68"/>
      <c r="H177" s="68"/>
      <c r="I177" s="68"/>
      <c r="J177" s="68"/>
      <c r="K177" s="68"/>
      <c r="L177" s="68">
        <v>3</v>
      </c>
      <c r="M177" s="68"/>
      <c r="N177" s="68"/>
      <c r="O177" s="68"/>
      <c r="P177" s="68"/>
      <c r="Q177" s="68"/>
      <c r="R177" s="68"/>
      <c r="S177" s="68"/>
      <c r="T177" s="68"/>
      <c r="U177" s="68"/>
      <c r="V177" s="68"/>
      <c r="W177" s="68"/>
      <c r="X177" s="68"/>
      <c r="Y177" s="68">
        <v>3</v>
      </c>
    </row>
    <row r="178" spans="1:25">
      <c r="A178" s="8">
        <v>41456</v>
      </c>
      <c r="B178" s="68"/>
      <c r="C178" s="68"/>
      <c r="D178" s="68"/>
      <c r="E178" s="68"/>
      <c r="F178" s="68"/>
      <c r="G178" s="68"/>
      <c r="H178" s="68"/>
      <c r="I178" s="68"/>
      <c r="J178" s="68"/>
      <c r="K178" s="68"/>
      <c r="L178" s="68">
        <v>4</v>
      </c>
      <c r="M178" s="68"/>
      <c r="N178" s="68"/>
      <c r="O178" s="68"/>
      <c r="P178" s="68"/>
      <c r="Q178" s="68"/>
      <c r="R178" s="68"/>
      <c r="S178" s="68"/>
      <c r="T178" s="68"/>
      <c r="U178" s="68"/>
      <c r="V178" s="68"/>
      <c r="W178" s="68"/>
      <c r="X178" s="68"/>
      <c r="Y178" s="68">
        <v>4</v>
      </c>
    </row>
    <row r="179" spans="1:25">
      <c r="A179" s="8">
        <v>41457</v>
      </c>
      <c r="B179" s="68"/>
      <c r="C179" s="68"/>
      <c r="D179" s="68"/>
      <c r="E179" s="68"/>
      <c r="F179" s="68"/>
      <c r="G179" s="68"/>
      <c r="H179" s="68"/>
      <c r="I179" s="68"/>
      <c r="J179" s="68"/>
      <c r="K179" s="68"/>
      <c r="L179" s="68"/>
      <c r="M179" s="68">
        <v>24</v>
      </c>
      <c r="N179" s="68"/>
      <c r="O179" s="68"/>
      <c r="P179" s="68"/>
      <c r="Q179" s="68"/>
      <c r="R179" s="68"/>
      <c r="S179" s="68"/>
      <c r="T179" s="68"/>
      <c r="U179" s="68"/>
      <c r="V179" s="68"/>
      <c r="W179" s="68"/>
      <c r="X179" s="68"/>
      <c r="Y179" s="68">
        <v>24</v>
      </c>
    </row>
    <row r="180" spans="1:25">
      <c r="A180" s="8">
        <v>41458</v>
      </c>
      <c r="B180" s="68"/>
      <c r="C180" s="68"/>
      <c r="D180" s="68"/>
      <c r="E180" s="68"/>
      <c r="F180" s="68"/>
      <c r="G180" s="68"/>
      <c r="H180" s="68"/>
      <c r="I180" s="68"/>
      <c r="J180" s="68"/>
      <c r="K180" s="68"/>
      <c r="L180" s="68"/>
      <c r="M180" s="68">
        <v>22</v>
      </c>
      <c r="N180" s="68"/>
      <c r="O180" s="68"/>
      <c r="P180" s="68"/>
      <c r="Q180" s="68"/>
      <c r="R180" s="68"/>
      <c r="S180" s="68"/>
      <c r="T180" s="68"/>
      <c r="U180" s="68"/>
      <c r="V180" s="68"/>
      <c r="W180" s="68"/>
      <c r="X180" s="68"/>
      <c r="Y180" s="68">
        <v>22</v>
      </c>
    </row>
    <row r="181" spans="1:25">
      <c r="A181" s="8">
        <v>41459</v>
      </c>
      <c r="B181" s="68"/>
      <c r="C181" s="68"/>
      <c r="D181" s="68"/>
      <c r="E181" s="68"/>
      <c r="F181" s="68"/>
      <c r="G181" s="68"/>
      <c r="H181" s="68"/>
      <c r="I181" s="68"/>
      <c r="J181" s="68"/>
      <c r="K181" s="68"/>
      <c r="L181" s="68"/>
      <c r="M181" s="68">
        <v>6</v>
      </c>
      <c r="N181" s="68"/>
      <c r="O181" s="68"/>
      <c r="P181" s="68"/>
      <c r="Q181" s="68"/>
      <c r="R181" s="68"/>
      <c r="S181" s="68"/>
      <c r="T181" s="68"/>
      <c r="U181" s="68"/>
      <c r="V181" s="68"/>
      <c r="W181" s="68"/>
      <c r="X181" s="68"/>
      <c r="Y181" s="68">
        <v>6</v>
      </c>
    </row>
    <row r="182" spans="1:25">
      <c r="A182" s="8">
        <v>41460</v>
      </c>
      <c r="B182" s="68"/>
      <c r="C182" s="68"/>
      <c r="D182" s="68"/>
      <c r="E182" s="68"/>
      <c r="F182" s="68"/>
      <c r="G182" s="68"/>
      <c r="H182" s="68"/>
      <c r="I182" s="68"/>
      <c r="J182" s="68"/>
      <c r="K182" s="68"/>
      <c r="L182" s="68"/>
      <c r="M182" s="68">
        <v>20</v>
      </c>
      <c r="N182" s="68"/>
      <c r="O182" s="68"/>
      <c r="P182" s="68"/>
      <c r="Q182" s="68"/>
      <c r="R182" s="68"/>
      <c r="S182" s="68"/>
      <c r="T182" s="68"/>
      <c r="U182" s="68"/>
      <c r="V182" s="68"/>
      <c r="W182" s="68"/>
      <c r="X182" s="68"/>
      <c r="Y182" s="68">
        <v>20</v>
      </c>
    </row>
    <row r="183" spans="1:25">
      <c r="A183" s="8">
        <v>41461</v>
      </c>
      <c r="B183" s="68"/>
      <c r="C183" s="68"/>
      <c r="D183" s="68"/>
      <c r="E183" s="68"/>
      <c r="F183" s="68"/>
      <c r="G183" s="68"/>
      <c r="H183" s="68"/>
      <c r="I183" s="68"/>
      <c r="J183" s="68"/>
      <c r="K183" s="68"/>
      <c r="L183" s="68"/>
      <c r="M183" s="68">
        <v>7</v>
      </c>
      <c r="N183" s="68"/>
      <c r="O183" s="68"/>
      <c r="P183" s="68"/>
      <c r="Q183" s="68"/>
      <c r="R183" s="68"/>
      <c r="S183" s="68"/>
      <c r="T183" s="68"/>
      <c r="U183" s="68"/>
      <c r="V183" s="68"/>
      <c r="W183" s="68"/>
      <c r="X183" s="68"/>
      <c r="Y183" s="68">
        <v>7</v>
      </c>
    </row>
    <row r="184" spans="1:25">
      <c r="A184" s="8">
        <v>41462</v>
      </c>
      <c r="B184" s="68"/>
      <c r="C184" s="68"/>
      <c r="D184" s="68"/>
      <c r="E184" s="68"/>
      <c r="F184" s="68"/>
      <c r="G184" s="68"/>
      <c r="H184" s="68"/>
      <c r="I184" s="68"/>
      <c r="J184" s="68"/>
      <c r="K184" s="68"/>
      <c r="L184" s="68"/>
      <c r="M184" s="68">
        <v>24</v>
      </c>
      <c r="N184" s="68"/>
      <c r="O184" s="68"/>
      <c r="P184" s="68"/>
      <c r="Q184" s="68"/>
      <c r="R184" s="68"/>
      <c r="S184" s="68"/>
      <c r="T184" s="68"/>
      <c r="U184" s="68"/>
      <c r="V184" s="68"/>
      <c r="W184" s="68"/>
      <c r="X184" s="68"/>
      <c r="Y184" s="68">
        <v>24</v>
      </c>
    </row>
    <row r="185" spans="1:25">
      <c r="A185" s="8">
        <v>41463</v>
      </c>
      <c r="B185" s="68"/>
      <c r="C185" s="68"/>
      <c r="D185" s="68"/>
      <c r="E185" s="68"/>
      <c r="F185" s="68"/>
      <c r="G185" s="68"/>
      <c r="H185" s="68"/>
      <c r="I185" s="68"/>
      <c r="J185" s="68"/>
      <c r="K185" s="68"/>
      <c r="L185" s="68"/>
      <c r="M185" s="68">
        <v>13</v>
      </c>
      <c r="N185" s="68"/>
      <c r="O185" s="68"/>
      <c r="P185" s="68"/>
      <c r="Q185" s="68"/>
      <c r="R185" s="68"/>
      <c r="S185" s="68"/>
      <c r="T185" s="68"/>
      <c r="U185" s="68"/>
      <c r="V185" s="68"/>
      <c r="W185" s="68"/>
      <c r="X185" s="68"/>
      <c r="Y185" s="68">
        <v>13</v>
      </c>
    </row>
    <row r="186" spans="1:25">
      <c r="A186" s="8">
        <v>41464</v>
      </c>
      <c r="B186" s="68"/>
      <c r="C186" s="68"/>
      <c r="D186" s="68"/>
      <c r="E186" s="68"/>
      <c r="F186" s="68"/>
      <c r="G186" s="68"/>
      <c r="H186" s="68"/>
      <c r="I186" s="68"/>
      <c r="J186" s="68"/>
      <c r="K186" s="68"/>
      <c r="L186" s="68"/>
      <c r="M186" s="68">
        <v>8</v>
      </c>
      <c r="N186" s="68"/>
      <c r="O186" s="68"/>
      <c r="P186" s="68"/>
      <c r="Q186" s="68"/>
      <c r="R186" s="68"/>
      <c r="S186" s="68"/>
      <c r="T186" s="68"/>
      <c r="U186" s="68"/>
      <c r="V186" s="68"/>
      <c r="W186" s="68"/>
      <c r="X186" s="68"/>
      <c r="Y186" s="68">
        <v>8</v>
      </c>
    </row>
    <row r="187" spans="1:25">
      <c r="A187" s="8">
        <v>41465</v>
      </c>
      <c r="B187" s="68"/>
      <c r="C187" s="68"/>
      <c r="D187" s="68"/>
      <c r="E187" s="68"/>
      <c r="F187" s="68"/>
      <c r="G187" s="68"/>
      <c r="H187" s="68"/>
      <c r="I187" s="68"/>
      <c r="J187" s="68"/>
      <c r="K187" s="68"/>
      <c r="L187" s="68"/>
      <c r="M187" s="68">
        <v>7</v>
      </c>
      <c r="N187" s="68"/>
      <c r="O187" s="68"/>
      <c r="P187" s="68"/>
      <c r="Q187" s="68"/>
      <c r="R187" s="68"/>
      <c r="S187" s="68"/>
      <c r="T187" s="68"/>
      <c r="U187" s="68"/>
      <c r="V187" s="68"/>
      <c r="W187" s="68"/>
      <c r="X187" s="68"/>
      <c r="Y187" s="68">
        <v>7</v>
      </c>
    </row>
    <row r="188" spans="1:25">
      <c r="A188" s="8">
        <v>41466</v>
      </c>
      <c r="B188" s="68"/>
      <c r="C188" s="68"/>
      <c r="D188" s="68"/>
      <c r="E188" s="68"/>
      <c r="F188" s="68"/>
      <c r="G188" s="68"/>
      <c r="H188" s="68"/>
      <c r="I188" s="68"/>
      <c r="J188" s="68"/>
      <c r="K188" s="68"/>
      <c r="L188" s="68"/>
      <c r="M188" s="68">
        <v>26</v>
      </c>
      <c r="N188" s="68"/>
      <c r="O188" s="68"/>
      <c r="P188" s="68"/>
      <c r="Q188" s="68"/>
      <c r="R188" s="68"/>
      <c r="S188" s="68"/>
      <c r="T188" s="68"/>
      <c r="U188" s="68"/>
      <c r="V188" s="68"/>
      <c r="W188" s="68"/>
      <c r="X188" s="68"/>
      <c r="Y188" s="68">
        <v>26</v>
      </c>
    </row>
    <row r="189" spans="1:25">
      <c r="A189" s="8">
        <v>41467</v>
      </c>
      <c r="B189" s="68"/>
      <c r="C189" s="68"/>
      <c r="D189" s="68"/>
      <c r="E189" s="68"/>
      <c r="F189" s="68"/>
      <c r="G189" s="68"/>
      <c r="H189" s="68"/>
      <c r="I189" s="68"/>
      <c r="J189" s="68"/>
      <c r="K189" s="68"/>
      <c r="L189" s="68"/>
      <c r="M189" s="68">
        <v>9</v>
      </c>
      <c r="N189" s="68"/>
      <c r="O189" s="68"/>
      <c r="P189" s="68"/>
      <c r="Q189" s="68"/>
      <c r="R189" s="68"/>
      <c r="S189" s="68"/>
      <c r="T189" s="68"/>
      <c r="U189" s="68"/>
      <c r="V189" s="68"/>
      <c r="W189" s="68"/>
      <c r="X189" s="68"/>
      <c r="Y189" s="68">
        <v>9</v>
      </c>
    </row>
    <row r="190" spans="1:25">
      <c r="A190" s="8">
        <v>41468</v>
      </c>
      <c r="B190" s="68"/>
      <c r="C190" s="68"/>
      <c r="D190" s="68"/>
      <c r="E190" s="68"/>
      <c r="F190" s="68"/>
      <c r="G190" s="68"/>
      <c r="H190" s="68"/>
      <c r="I190" s="68"/>
      <c r="J190" s="68"/>
      <c r="K190" s="68"/>
      <c r="L190" s="68"/>
      <c r="M190" s="68">
        <v>6</v>
      </c>
      <c r="N190" s="68"/>
      <c r="O190" s="68"/>
      <c r="P190" s="68"/>
      <c r="Q190" s="68"/>
      <c r="R190" s="68"/>
      <c r="S190" s="68"/>
      <c r="T190" s="68"/>
      <c r="U190" s="68"/>
      <c r="V190" s="68"/>
      <c r="W190" s="68"/>
      <c r="X190" s="68"/>
      <c r="Y190" s="68">
        <v>6</v>
      </c>
    </row>
    <row r="191" spans="1:25">
      <c r="A191" s="8">
        <v>41469</v>
      </c>
      <c r="B191" s="68"/>
      <c r="C191" s="68"/>
      <c r="D191" s="68"/>
      <c r="E191" s="68"/>
      <c r="F191" s="68"/>
      <c r="G191" s="68"/>
      <c r="H191" s="68"/>
      <c r="I191" s="68"/>
      <c r="J191" s="68"/>
      <c r="K191" s="68"/>
      <c r="L191" s="68"/>
      <c r="M191" s="68">
        <v>6</v>
      </c>
      <c r="N191" s="68"/>
      <c r="O191" s="68"/>
      <c r="P191" s="68"/>
      <c r="Q191" s="68"/>
      <c r="R191" s="68"/>
      <c r="S191" s="68"/>
      <c r="T191" s="68"/>
      <c r="U191" s="68"/>
      <c r="V191" s="68"/>
      <c r="W191" s="68"/>
      <c r="X191" s="68"/>
      <c r="Y191" s="68">
        <v>6</v>
      </c>
    </row>
    <row r="192" spans="1:25">
      <c r="A192" s="8">
        <v>41470</v>
      </c>
      <c r="B192" s="68"/>
      <c r="C192" s="68"/>
      <c r="D192" s="68"/>
      <c r="E192" s="68"/>
      <c r="F192" s="68"/>
      <c r="G192" s="68"/>
      <c r="H192" s="68"/>
      <c r="I192" s="68"/>
      <c r="J192" s="68"/>
      <c r="K192" s="68"/>
      <c r="L192" s="68"/>
      <c r="M192" s="68">
        <v>10</v>
      </c>
      <c r="N192" s="68"/>
      <c r="O192" s="68"/>
      <c r="P192" s="68"/>
      <c r="Q192" s="68"/>
      <c r="R192" s="68"/>
      <c r="S192" s="68"/>
      <c r="T192" s="68"/>
      <c r="U192" s="68"/>
      <c r="V192" s="68"/>
      <c r="W192" s="68"/>
      <c r="X192" s="68"/>
      <c r="Y192" s="68">
        <v>10</v>
      </c>
    </row>
    <row r="193" spans="1:25">
      <c r="A193" s="8">
        <v>41471</v>
      </c>
      <c r="B193" s="68"/>
      <c r="C193" s="68"/>
      <c r="D193" s="68"/>
      <c r="E193" s="68"/>
      <c r="F193" s="68"/>
      <c r="G193" s="68"/>
      <c r="H193" s="68"/>
      <c r="I193" s="68"/>
      <c r="J193" s="68"/>
      <c r="K193" s="68"/>
      <c r="L193" s="68"/>
      <c r="M193" s="68">
        <v>66</v>
      </c>
      <c r="N193" s="68"/>
      <c r="O193" s="68"/>
      <c r="P193" s="68"/>
      <c r="Q193" s="68"/>
      <c r="R193" s="68"/>
      <c r="S193" s="68"/>
      <c r="T193" s="68"/>
      <c r="U193" s="68"/>
      <c r="V193" s="68"/>
      <c r="W193" s="68"/>
      <c r="X193" s="68"/>
      <c r="Y193" s="68">
        <v>66</v>
      </c>
    </row>
    <row r="194" spans="1:25">
      <c r="A194" s="8">
        <v>41472</v>
      </c>
      <c r="B194" s="68"/>
      <c r="C194" s="68"/>
      <c r="D194" s="68"/>
      <c r="E194" s="68"/>
      <c r="F194" s="68"/>
      <c r="G194" s="68"/>
      <c r="H194" s="68"/>
      <c r="I194" s="68"/>
      <c r="J194" s="68"/>
      <c r="K194" s="68"/>
      <c r="L194" s="68"/>
      <c r="M194" s="68">
        <v>68</v>
      </c>
      <c r="N194" s="68"/>
      <c r="O194" s="68"/>
      <c r="P194" s="68"/>
      <c r="Q194" s="68"/>
      <c r="R194" s="68"/>
      <c r="S194" s="68"/>
      <c r="T194" s="68"/>
      <c r="U194" s="68"/>
      <c r="V194" s="68"/>
      <c r="W194" s="68"/>
      <c r="X194" s="68"/>
      <c r="Y194" s="68">
        <v>68</v>
      </c>
    </row>
    <row r="195" spans="1:25">
      <c r="A195" s="8">
        <v>41473</v>
      </c>
      <c r="B195" s="68"/>
      <c r="C195" s="68"/>
      <c r="D195" s="68"/>
      <c r="E195" s="68"/>
      <c r="F195" s="68"/>
      <c r="G195" s="68"/>
      <c r="H195" s="68"/>
      <c r="I195" s="68"/>
      <c r="J195" s="68"/>
      <c r="K195" s="68"/>
      <c r="L195" s="68"/>
      <c r="M195" s="68"/>
      <c r="N195" s="68">
        <v>52</v>
      </c>
      <c r="O195" s="68"/>
      <c r="P195" s="68"/>
      <c r="Q195" s="68"/>
      <c r="R195" s="68"/>
      <c r="S195" s="68"/>
      <c r="T195" s="68"/>
      <c r="U195" s="68"/>
      <c r="V195" s="68"/>
      <c r="W195" s="68"/>
      <c r="X195" s="68"/>
      <c r="Y195" s="68">
        <v>52</v>
      </c>
    </row>
    <row r="196" spans="1:25">
      <c r="A196" s="8">
        <v>41474</v>
      </c>
      <c r="B196" s="68"/>
      <c r="C196" s="68"/>
      <c r="D196" s="68"/>
      <c r="E196" s="68"/>
      <c r="F196" s="68"/>
      <c r="G196" s="68"/>
      <c r="H196" s="68"/>
      <c r="I196" s="68"/>
      <c r="J196" s="68"/>
      <c r="K196" s="68"/>
      <c r="L196" s="68"/>
      <c r="M196" s="68"/>
      <c r="N196" s="68">
        <v>17</v>
      </c>
      <c r="O196" s="68"/>
      <c r="P196" s="68"/>
      <c r="Q196" s="68"/>
      <c r="R196" s="68"/>
      <c r="S196" s="68"/>
      <c r="T196" s="68"/>
      <c r="U196" s="68"/>
      <c r="V196" s="68"/>
      <c r="W196" s="68"/>
      <c r="X196" s="68"/>
      <c r="Y196" s="68">
        <v>17</v>
      </c>
    </row>
    <row r="197" spans="1:25">
      <c r="A197" s="8">
        <v>41475</v>
      </c>
      <c r="B197" s="68"/>
      <c r="C197" s="68"/>
      <c r="D197" s="68"/>
      <c r="E197" s="68"/>
      <c r="F197" s="68"/>
      <c r="G197" s="68"/>
      <c r="H197" s="68"/>
      <c r="I197" s="68"/>
      <c r="J197" s="68"/>
      <c r="K197" s="68"/>
      <c r="L197" s="68"/>
      <c r="M197" s="68"/>
      <c r="N197" s="68">
        <v>4</v>
      </c>
      <c r="O197" s="68"/>
      <c r="P197" s="68"/>
      <c r="Q197" s="68"/>
      <c r="R197" s="68"/>
      <c r="S197" s="68"/>
      <c r="T197" s="68"/>
      <c r="U197" s="68"/>
      <c r="V197" s="68"/>
      <c r="W197" s="68"/>
      <c r="X197" s="68"/>
      <c r="Y197" s="68">
        <v>4</v>
      </c>
    </row>
    <row r="198" spans="1:25">
      <c r="A198" s="8">
        <v>41476</v>
      </c>
      <c r="B198" s="68"/>
      <c r="C198" s="68"/>
      <c r="D198" s="68"/>
      <c r="E198" s="68"/>
      <c r="F198" s="68"/>
      <c r="G198" s="68"/>
      <c r="H198" s="68"/>
      <c r="I198" s="68"/>
      <c r="J198" s="68"/>
      <c r="K198" s="68"/>
      <c r="L198" s="68"/>
      <c r="M198" s="68"/>
      <c r="N198" s="68">
        <v>18</v>
      </c>
      <c r="O198" s="68"/>
      <c r="P198" s="68"/>
      <c r="Q198" s="68"/>
      <c r="R198" s="68"/>
      <c r="S198" s="68"/>
      <c r="T198" s="68"/>
      <c r="U198" s="68"/>
      <c r="V198" s="68"/>
      <c r="W198" s="68"/>
      <c r="X198" s="68"/>
      <c r="Y198" s="68">
        <v>18</v>
      </c>
    </row>
    <row r="199" spans="1:25">
      <c r="A199" s="8">
        <v>41477</v>
      </c>
      <c r="B199" s="68"/>
      <c r="C199" s="68"/>
      <c r="D199" s="68"/>
      <c r="E199" s="68"/>
      <c r="F199" s="68"/>
      <c r="G199" s="68"/>
      <c r="H199" s="68"/>
      <c r="I199" s="68"/>
      <c r="J199" s="68"/>
      <c r="K199" s="68"/>
      <c r="L199" s="68"/>
      <c r="M199" s="68"/>
      <c r="N199" s="68">
        <v>13</v>
      </c>
      <c r="O199" s="68"/>
      <c r="P199" s="68"/>
      <c r="Q199" s="68"/>
      <c r="R199" s="68"/>
      <c r="S199" s="68"/>
      <c r="T199" s="68"/>
      <c r="U199" s="68"/>
      <c r="V199" s="68"/>
      <c r="W199" s="68"/>
      <c r="X199" s="68"/>
      <c r="Y199" s="68">
        <v>13</v>
      </c>
    </row>
    <row r="200" spans="1:25">
      <c r="A200" s="8">
        <v>41478</v>
      </c>
      <c r="B200" s="68"/>
      <c r="C200" s="68"/>
      <c r="D200" s="68"/>
      <c r="E200" s="68"/>
      <c r="F200" s="68"/>
      <c r="G200" s="68"/>
      <c r="H200" s="68"/>
      <c r="I200" s="68"/>
      <c r="J200" s="68"/>
      <c r="K200" s="68"/>
      <c r="L200" s="68"/>
      <c r="M200" s="68"/>
      <c r="N200" s="68">
        <v>12</v>
      </c>
      <c r="O200" s="68"/>
      <c r="P200" s="68"/>
      <c r="Q200" s="68"/>
      <c r="R200" s="68"/>
      <c r="S200" s="68"/>
      <c r="T200" s="68"/>
      <c r="U200" s="68"/>
      <c r="V200" s="68"/>
      <c r="W200" s="68"/>
      <c r="X200" s="68"/>
      <c r="Y200" s="68">
        <v>12</v>
      </c>
    </row>
    <row r="201" spans="1:25">
      <c r="A201" s="8">
        <v>41479</v>
      </c>
      <c r="B201" s="68"/>
      <c r="C201" s="68"/>
      <c r="D201" s="68"/>
      <c r="E201" s="68"/>
      <c r="F201" s="68"/>
      <c r="G201" s="68"/>
      <c r="H201" s="68"/>
      <c r="I201" s="68"/>
      <c r="J201" s="68"/>
      <c r="K201" s="68"/>
      <c r="L201" s="68"/>
      <c r="M201" s="68"/>
      <c r="N201" s="68">
        <v>4</v>
      </c>
      <c r="O201" s="68"/>
      <c r="P201" s="68"/>
      <c r="Q201" s="68"/>
      <c r="R201" s="68"/>
      <c r="S201" s="68"/>
      <c r="T201" s="68"/>
      <c r="U201" s="68"/>
      <c r="V201" s="68"/>
      <c r="W201" s="68"/>
      <c r="X201" s="68"/>
      <c r="Y201" s="68">
        <v>4</v>
      </c>
    </row>
    <row r="202" spans="1:25">
      <c r="A202" s="8">
        <v>41480</v>
      </c>
      <c r="B202" s="68"/>
      <c r="C202" s="68"/>
      <c r="D202" s="68"/>
      <c r="E202" s="68"/>
      <c r="F202" s="68"/>
      <c r="G202" s="68"/>
      <c r="H202" s="68"/>
      <c r="I202" s="68"/>
      <c r="J202" s="68"/>
      <c r="K202" s="68"/>
      <c r="L202" s="68"/>
      <c r="M202" s="68"/>
      <c r="N202" s="68">
        <v>28</v>
      </c>
      <c r="O202" s="68"/>
      <c r="P202" s="68"/>
      <c r="Q202" s="68"/>
      <c r="R202" s="68"/>
      <c r="S202" s="68"/>
      <c r="T202" s="68"/>
      <c r="U202" s="68"/>
      <c r="V202" s="68"/>
      <c r="W202" s="68"/>
      <c r="X202" s="68"/>
      <c r="Y202" s="68">
        <v>28</v>
      </c>
    </row>
    <row r="203" spans="1:25">
      <c r="A203" s="8">
        <v>41481</v>
      </c>
      <c r="B203" s="68"/>
      <c r="C203" s="68"/>
      <c r="D203" s="68"/>
      <c r="E203" s="68"/>
      <c r="F203" s="68"/>
      <c r="G203" s="68"/>
      <c r="H203" s="68"/>
      <c r="I203" s="68"/>
      <c r="J203" s="68"/>
      <c r="K203" s="68"/>
      <c r="L203" s="68"/>
      <c r="M203" s="68"/>
      <c r="N203" s="68">
        <v>5</v>
      </c>
      <c r="O203" s="68"/>
      <c r="P203" s="68"/>
      <c r="Q203" s="68"/>
      <c r="R203" s="68"/>
      <c r="S203" s="68"/>
      <c r="T203" s="68"/>
      <c r="U203" s="68"/>
      <c r="V203" s="68"/>
      <c r="W203" s="68"/>
      <c r="X203" s="68"/>
      <c r="Y203" s="68">
        <v>5</v>
      </c>
    </row>
    <row r="204" spans="1:25">
      <c r="A204" s="8">
        <v>41482</v>
      </c>
      <c r="B204" s="68"/>
      <c r="C204" s="68"/>
      <c r="D204" s="68"/>
      <c r="E204" s="68"/>
      <c r="F204" s="68"/>
      <c r="G204" s="68"/>
      <c r="H204" s="68"/>
      <c r="I204" s="68"/>
      <c r="J204" s="68"/>
      <c r="K204" s="68"/>
      <c r="L204" s="68"/>
      <c r="M204" s="68"/>
      <c r="N204" s="68">
        <v>1</v>
      </c>
      <c r="O204" s="68"/>
      <c r="P204" s="68"/>
      <c r="Q204" s="68"/>
      <c r="R204" s="68"/>
      <c r="S204" s="68"/>
      <c r="T204" s="68"/>
      <c r="U204" s="68"/>
      <c r="V204" s="68"/>
      <c r="W204" s="68"/>
      <c r="X204" s="68"/>
      <c r="Y204" s="68">
        <v>1</v>
      </c>
    </row>
    <row r="205" spans="1:25">
      <c r="A205" s="8">
        <v>41483</v>
      </c>
      <c r="B205" s="68"/>
      <c r="C205" s="68"/>
      <c r="D205" s="68"/>
      <c r="E205" s="68"/>
      <c r="F205" s="68"/>
      <c r="G205" s="68"/>
      <c r="H205" s="68"/>
      <c r="I205" s="68"/>
      <c r="J205" s="68"/>
      <c r="K205" s="68"/>
      <c r="L205" s="68"/>
      <c r="M205" s="68"/>
      <c r="N205" s="68">
        <v>15</v>
      </c>
      <c r="O205" s="68"/>
      <c r="P205" s="68"/>
      <c r="Q205" s="68"/>
      <c r="R205" s="68"/>
      <c r="S205" s="68"/>
      <c r="T205" s="68"/>
      <c r="U205" s="68"/>
      <c r="V205" s="68"/>
      <c r="W205" s="68"/>
      <c r="X205" s="68"/>
      <c r="Y205" s="68">
        <v>15</v>
      </c>
    </row>
    <row r="206" spans="1:25">
      <c r="A206" s="8">
        <v>41484</v>
      </c>
      <c r="B206" s="68"/>
      <c r="C206" s="68"/>
      <c r="D206" s="68"/>
      <c r="E206" s="68"/>
      <c r="F206" s="68"/>
      <c r="G206" s="68"/>
      <c r="H206" s="68"/>
      <c r="I206" s="68"/>
      <c r="J206" s="68"/>
      <c r="K206" s="68"/>
      <c r="L206" s="68"/>
      <c r="M206" s="68"/>
      <c r="N206" s="68">
        <v>9</v>
      </c>
      <c r="O206" s="68"/>
      <c r="P206" s="68"/>
      <c r="Q206" s="68"/>
      <c r="R206" s="68"/>
      <c r="S206" s="68"/>
      <c r="T206" s="68"/>
      <c r="U206" s="68"/>
      <c r="V206" s="68"/>
      <c r="W206" s="68"/>
      <c r="X206" s="68"/>
      <c r="Y206" s="68">
        <v>9</v>
      </c>
    </row>
    <row r="207" spans="1:25">
      <c r="A207" s="8">
        <v>41485</v>
      </c>
      <c r="B207" s="68"/>
      <c r="C207" s="68"/>
      <c r="D207" s="68"/>
      <c r="E207" s="68"/>
      <c r="F207" s="68"/>
      <c r="G207" s="68"/>
      <c r="H207" s="68"/>
      <c r="I207" s="68"/>
      <c r="J207" s="68"/>
      <c r="K207" s="68"/>
      <c r="L207" s="68"/>
      <c r="M207" s="68"/>
      <c r="N207" s="68">
        <v>15</v>
      </c>
      <c r="O207" s="68"/>
      <c r="P207" s="68"/>
      <c r="Q207" s="68"/>
      <c r="R207" s="68"/>
      <c r="S207" s="68"/>
      <c r="T207" s="68"/>
      <c r="U207" s="68"/>
      <c r="V207" s="68"/>
      <c r="W207" s="68"/>
      <c r="X207" s="68"/>
      <c r="Y207" s="68">
        <v>15</v>
      </c>
    </row>
    <row r="208" spans="1:25">
      <c r="A208" s="8">
        <v>41486</v>
      </c>
      <c r="B208" s="68"/>
      <c r="C208" s="68"/>
      <c r="D208" s="68"/>
      <c r="E208" s="68"/>
      <c r="F208" s="68"/>
      <c r="G208" s="68"/>
      <c r="H208" s="68"/>
      <c r="I208" s="68"/>
      <c r="J208" s="68"/>
      <c r="K208" s="68"/>
      <c r="L208" s="68"/>
      <c r="M208" s="68"/>
      <c r="N208" s="68">
        <v>7</v>
      </c>
      <c r="O208" s="68"/>
      <c r="P208" s="68"/>
      <c r="Q208" s="68"/>
      <c r="R208" s="68"/>
      <c r="S208" s="68"/>
      <c r="T208" s="68"/>
      <c r="U208" s="68"/>
      <c r="V208" s="68"/>
      <c r="W208" s="68"/>
      <c r="X208" s="68"/>
      <c r="Y208" s="68">
        <v>7</v>
      </c>
    </row>
    <row r="209" spans="1:25">
      <c r="A209" s="8">
        <v>41487</v>
      </c>
      <c r="B209" s="68"/>
      <c r="C209" s="68"/>
      <c r="D209" s="68"/>
      <c r="E209" s="68"/>
      <c r="F209" s="68"/>
      <c r="G209" s="68"/>
      <c r="H209" s="68"/>
      <c r="I209" s="68"/>
      <c r="J209" s="68"/>
      <c r="K209" s="68"/>
      <c r="L209" s="68"/>
      <c r="M209" s="68"/>
      <c r="N209" s="68">
        <v>7</v>
      </c>
      <c r="O209" s="68"/>
      <c r="P209" s="68"/>
      <c r="Q209" s="68"/>
      <c r="R209" s="68"/>
      <c r="S209" s="68"/>
      <c r="T209" s="68"/>
      <c r="U209" s="68"/>
      <c r="V209" s="68"/>
      <c r="W209" s="68"/>
      <c r="X209" s="68"/>
      <c r="Y209" s="68">
        <v>7</v>
      </c>
    </row>
    <row r="210" spans="1:25">
      <c r="A210" s="8">
        <v>41488</v>
      </c>
      <c r="B210" s="68"/>
      <c r="C210" s="68"/>
      <c r="D210" s="68"/>
      <c r="E210" s="68"/>
      <c r="F210" s="68"/>
      <c r="G210" s="68"/>
      <c r="H210" s="68"/>
      <c r="I210" s="68"/>
      <c r="J210" s="68"/>
      <c r="K210" s="68"/>
      <c r="L210" s="68"/>
      <c r="M210" s="68"/>
      <c r="N210" s="68">
        <v>4</v>
      </c>
      <c r="O210" s="68"/>
      <c r="P210" s="68"/>
      <c r="Q210" s="68"/>
      <c r="R210" s="68"/>
      <c r="S210" s="68"/>
      <c r="T210" s="68"/>
      <c r="U210" s="68"/>
      <c r="V210" s="68"/>
      <c r="W210" s="68"/>
      <c r="X210" s="68"/>
      <c r="Y210" s="68">
        <v>4</v>
      </c>
    </row>
    <row r="211" spans="1:25">
      <c r="A211" s="8">
        <v>41489</v>
      </c>
      <c r="B211" s="68"/>
      <c r="C211" s="68"/>
      <c r="D211" s="68"/>
      <c r="E211" s="68"/>
      <c r="F211" s="68"/>
      <c r="G211" s="68"/>
      <c r="H211" s="68"/>
      <c r="I211" s="68"/>
      <c r="J211" s="68"/>
      <c r="K211" s="68"/>
      <c r="L211" s="68"/>
      <c r="M211" s="68"/>
      <c r="N211" s="68">
        <v>3</v>
      </c>
      <c r="O211" s="68"/>
      <c r="P211" s="68"/>
      <c r="Q211" s="68"/>
      <c r="R211" s="68"/>
      <c r="S211" s="68"/>
      <c r="T211" s="68"/>
      <c r="U211" s="68"/>
      <c r="V211" s="68"/>
      <c r="W211" s="68"/>
      <c r="X211" s="68"/>
      <c r="Y211" s="68">
        <v>3</v>
      </c>
    </row>
    <row r="212" spans="1:25">
      <c r="A212" s="8">
        <v>41490</v>
      </c>
      <c r="B212" s="68"/>
      <c r="C212" s="68"/>
      <c r="D212" s="68"/>
      <c r="E212" s="68"/>
      <c r="F212" s="68"/>
      <c r="G212" s="68"/>
      <c r="H212" s="68"/>
      <c r="I212" s="68"/>
      <c r="J212" s="68"/>
      <c r="K212" s="68"/>
      <c r="L212" s="68"/>
      <c r="M212" s="68"/>
      <c r="N212" s="68">
        <v>18</v>
      </c>
      <c r="O212" s="68"/>
      <c r="P212" s="68"/>
      <c r="Q212" s="68"/>
      <c r="R212" s="68"/>
      <c r="S212" s="68"/>
      <c r="T212" s="68"/>
      <c r="U212" s="68"/>
      <c r="V212" s="68"/>
      <c r="W212" s="68"/>
      <c r="X212" s="68"/>
      <c r="Y212" s="68">
        <v>18</v>
      </c>
    </row>
    <row r="213" spans="1:25">
      <c r="A213" s="8">
        <v>41491</v>
      </c>
      <c r="B213" s="68"/>
      <c r="C213" s="68"/>
      <c r="D213" s="68"/>
      <c r="E213" s="68"/>
      <c r="F213" s="68"/>
      <c r="G213" s="68"/>
      <c r="H213" s="68"/>
      <c r="I213" s="68"/>
      <c r="J213" s="68"/>
      <c r="K213" s="68"/>
      <c r="L213" s="68"/>
      <c r="M213" s="68"/>
      <c r="N213" s="68">
        <v>3</v>
      </c>
      <c r="O213" s="68"/>
      <c r="P213" s="68"/>
      <c r="Q213" s="68"/>
      <c r="R213" s="68"/>
      <c r="S213" s="68"/>
      <c r="T213" s="68"/>
      <c r="U213" s="68"/>
      <c r="V213" s="68"/>
      <c r="W213" s="68"/>
      <c r="X213" s="68"/>
      <c r="Y213" s="68">
        <v>3</v>
      </c>
    </row>
    <row r="214" spans="1:25">
      <c r="A214" s="8">
        <v>41492</v>
      </c>
      <c r="B214" s="68"/>
      <c r="C214" s="68"/>
      <c r="D214" s="68"/>
      <c r="E214" s="68"/>
      <c r="F214" s="68"/>
      <c r="G214" s="68"/>
      <c r="H214" s="68"/>
      <c r="I214" s="68"/>
      <c r="J214" s="68"/>
      <c r="K214" s="68"/>
      <c r="L214" s="68"/>
      <c r="M214" s="68"/>
      <c r="N214" s="68">
        <v>7</v>
      </c>
      <c r="O214" s="68"/>
      <c r="P214" s="68"/>
      <c r="Q214" s="68"/>
      <c r="R214" s="68"/>
      <c r="S214" s="68"/>
      <c r="T214" s="68"/>
      <c r="U214" s="68"/>
      <c r="V214" s="68"/>
      <c r="W214" s="68"/>
      <c r="X214" s="68"/>
      <c r="Y214" s="68">
        <v>7</v>
      </c>
    </row>
    <row r="215" spans="1:25">
      <c r="A215" s="8">
        <v>41493</v>
      </c>
      <c r="B215" s="68"/>
      <c r="C215" s="68"/>
      <c r="D215" s="68"/>
      <c r="E215" s="68"/>
      <c r="F215" s="68"/>
      <c r="G215" s="68"/>
      <c r="H215" s="68"/>
      <c r="I215" s="68"/>
      <c r="J215" s="68"/>
      <c r="K215" s="68"/>
      <c r="L215" s="68"/>
      <c r="M215" s="68"/>
      <c r="N215" s="68">
        <v>2</v>
      </c>
      <c r="O215" s="68"/>
      <c r="P215" s="68"/>
      <c r="Q215" s="68"/>
      <c r="R215" s="68"/>
      <c r="S215" s="68"/>
      <c r="T215" s="68"/>
      <c r="U215" s="68"/>
      <c r="V215" s="68"/>
      <c r="W215" s="68"/>
      <c r="X215" s="68"/>
      <c r="Y215" s="68">
        <v>2</v>
      </c>
    </row>
    <row r="216" spans="1:25">
      <c r="A216" s="8">
        <v>41494</v>
      </c>
      <c r="B216" s="68"/>
      <c r="C216" s="68"/>
      <c r="D216" s="68"/>
      <c r="E216" s="68"/>
      <c r="F216" s="68"/>
      <c r="G216" s="68"/>
      <c r="H216" s="68"/>
      <c r="I216" s="68"/>
      <c r="J216" s="68"/>
      <c r="K216" s="68"/>
      <c r="L216" s="68"/>
      <c r="M216" s="68"/>
      <c r="N216" s="68">
        <v>12</v>
      </c>
      <c r="O216" s="68"/>
      <c r="P216" s="68"/>
      <c r="Q216" s="68"/>
      <c r="R216" s="68"/>
      <c r="S216" s="68"/>
      <c r="T216" s="68"/>
      <c r="U216" s="68"/>
      <c r="V216" s="68"/>
      <c r="W216" s="68"/>
      <c r="X216" s="68"/>
      <c r="Y216" s="68">
        <v>12</v>
      </c>
    </row>
    <row r="217" spans="1:25">
      <c r="A217" s="8">
        <v>41495</v>
      </c>
      <c r="B217" s="68"/>
      <c r="C217" s="68"/>
      <c r="D217" s="68"/>
      <c r="E217" s="68"/>
      <c r="F217" s="68"/>
      <c r="G217" s="68"/>
      <c r="H217" s="68"/>
      <c r="I217" s="68"/>
      <c r="J217" s="68"/>
      <c r="K217" s="68"/>
      <c r="L217" s="68"/>
      <c r="M217" s="68"/>
      <c r="N217" s="68">
        <v>17</v>
      </c>
      <c r="O217" s="68"/>
      <c r="P217" s="68"/>
      <c r="Q217" s="68"/>
      <c r="R217" s="68"/>
      <c r="S217" s="68"/>
      <c r="T217" s="68"/>
      <c r="U217" s="68"/>
      <c r="V217" s="68"/>
      <c r="W217" s="68"/>
      <c r="X217" s="68"/>
      <c r="Y217" s="68">
        <v>17</v>
      </c>
    </row>
    <row r="218" spans="1:25">
      <c r="A218" s="8">
        <v>41496</v>
      </c>
      <c r="B218" s="68"/>
      <c r="C218" s="68"/>
      <c r="D218" s="68"/>
      <c r="E218" s="68"/>
      <c r="F218" s="68"/>
      <c r="G218" s="68"/>
      <c r="H218" s="68"/>
      <c r="I218" s="68"/>
      <c r="J218" s="68"/>
      <c r="K218" s="68"/>
      <c r="L218" s="68"/>
      <c r="M218" s="68"/>
      <c r="N218" s="68">
        <v>15</v>
      </c>
      <c r="O218" s="68"/>
      <c r="P218" s="68"/>
      <c r="Q218" s="68"/>
      <c r="R218" s="68"/>
      <c r="S218" s="68"/>
      <c r="T218" s="68"/>
      <c r="U218" s="68"/>
      <c r="V218" s="68"/>
      <c r="W218" s="68"/>
      <c r="X218" s="68"/>
      <c r="Y218" s="68">
        <v>15</v>
      </c>
    </row>
    <row r="219" spans="1:25">
      <c r="A219" s="8">
        <v>41497</v>
      </c>
      <c r="B219" s="68"/>
      <c r="C219" s="68"/>
      <c r="D219" s="68"/>
      <c r="E219" s="68"/>
      <c r="F219" s="68"/>
      <c r="G219" s="68"/>
      <c r="H219" s="68"/>
      <c r="I219" s="68"/>
      <c r="J219" s="68"/>
      <c r="K219" s="68"/>
      <c r="L219" s="68"/>
      <c r="M219" s="68"/>
      <c r="N219" s="68">
        <v>3</v>
      </c>
      <c r="O219" s="68"/>
      <c r="P219" s="68"/>
      <c r="Q219" s="68"/>
      <c r="R219" s="68"/>
      <c r="S219" s="68"/>
      <c r="T219" s="68"/>
      <c r="U219" s="68"/>
      <c r="V219" s="68"/>
      <c r="W219" s="68"/>
      <c r="X219" s="68"/>
      <c r="Y219" s="68">
        <v>3</v>
      </c>
    </row>
    <row r="220" spans="1:25">
      <c r="A220" s="8">
        <v>41498</v>
      </c>
      <c r="B220" s="68"/>
      <c r="C220" s="68"/>
      <c r="D220" s="68"/>
      <c r="E220" s="68"/>
      <c r="F220" s="68"/>
      <c r="G220" s="68"/>
      <c r="H220" s="68"/>
      <c r="I220" s="68"/>
      <c r="J220" s="68"/>
      <c r="K220" s="68"/>
      <c r="L220" s="68"/>
      <c r="M220" s="68"/>
      <c r="N220" s="68">
        <v>7</v>
      </c>
      <c r="O220" s="68"/>
      <c r="P220" s="68"/>
      <c r="Q220" s="68"/>
      <c r="R220" s="68"/>
      <c r="S220" s="68"/>
      <c r="T220" s="68"/>
      <c r="U220" s="68"/>
      <c r="V220" s="68"/>
      <c r="W220" s="68"/>
      <c r="X220" s="68"/>
      <c r="Y220" s="68">
        <v>7</v>
      </c>
    </row>
    <row r="221" spans="1:25">
      <c r="A221" s="8">
        <v>41499</v>
      </c>
      <c r="B221" s="68"/>
      <c r="C221" s="68"/>
      <c r="D221" s="68"/>
      <c r="E221" s="68"/>
      <c r="F221" s="68"/>
      <c r="G221" s="68"/>
      <c r="H221" s="68"/>
      <c r="I221" s="68"/>
      <c r="J221" s="68"/>
      <c r="K221" s="68"/>
      <c r="L221" s="68"/>
      <c r="M221" s="68"/>
      <c r="N221" s="68"/>
      <c r="O221" s="68">
        <v>14</v>
      </c>
      <c r="P221" s="68"/>
      <c r="Q221" s="68"/>
      <c r="R221" s="68"/>
      <c r="S221" s="68"/>
      <c r="T221" s="68"/>
      <c r="U221" s="68"/>
      <c r="V221" s="68"/>
      <c r="W221" s="68"/>
      <c r="X221" s="68"/>
      <c r="Y221" s="68">
        <v>14</v>
      </c>
    </row>
    <row r="222" spans="1:25">
      <c r="A222" s="8">
        <v>41500</v>
      </c>
      <c r="B222" s="68"/>
      <c r="C222" s="68"/>
      <c r="D222" s="68"/>
      <c r="E222" s="68"/>
      <c r="F222" s="68"/>
      <c r="G222" s="68"/>
      <c r="H222" s="68"/>
      <c r="I222" s="68"/>
      <c r="J222" s="68"/>
      <c r="K222" s="68"/>
      <c r="L222" s="68"/>
      <c r="M222" s="68"/>
      <c r="N222" s="68"/>
      <c r="O222" s="68">
        <v>9</v>
      </c>
      <c r="P222" s="68"/>
      <c r="Q222" s="68"/>
      <c r="R222" s="68"/>
      <c r="S222" s="68"/>
      <c r="T222" s="68"/>
      <c r="U222" s="68"/>
      <c r="V222" s="68"/>
      <c r="W222" s="68"/>
      <c r="X222" s="68"/>
      <c r="Y222" s="68">
        <v>9</v>
      </c>
    </row>
    <row r="223" spans="1:25">
      <c r="A223" s="8">
        <v>41501</v>
      </c>
      <c r="B223" s="68"/>
      <c r="C223" s="68"/>
      <c r="D223" s="68"/>
      <c r="E223" s="68"/>
      <c r="F223" s="68"/>
      <c r="G223" s="68"/>
      <c r="H223" s="68"/>
      <c r="I223" s="68"/>
      <c r="J223" s="68"/>
      <c r="K223" s="68"/>
      <c r="L223" s="68"/>
      <c r="M223" s="68"/>
      <c r="N223" s="68"/>
      <c r="O223" s="68">
        <v>7</v>
      </c>
      <c r="P223" s="68"/>
      <c r="Q223" s="68"/>
      <c r="R223" s="68"/>
      <c r="S223" s="68"/>
      <c r="T223" s="68"/>
      <c r="U223" s="68"/>
      <c r="V223" s="68"/>
      <c r="W223" s="68"/>
      <c r="X223" s="68"/>
      <c r="Y223" s="68">
        <v>7</v>
      </c>
    </row>
    <row r="224" spans="1:25">
      <c r="A224" s="8">
        <v>41502</v>
      </c>
      <c r="B224" s="68"/>
      <c r="C224" s="68"/>
      <c r="D224" s="68"/>
      <c r="E224" s="68"/>
      <c r="F224" s="68"/>
      <c r="G224" s="68"/>
      <c r="H224" s="68"/>
      <c r="I224" s="68"/>
      <c r="J224" s="68"/>
      <c r="K224" s="68"/>
      <c r="L224" s="68"/>
      <c r="M224" s="68"/>
      <c r="N224" s="68"/>
      <c r="O224" s="68">
        <v>6</v>
      </c>
      <c r="P224" s="68"/>
      <c r="Q224" s="68"/>
      <c r="R224" s="68"/>
      <c r="S224" s="68"/>
      <c r="T224" s="68"/>
      <c r="U224" s="68"/>
      <c r="V224" s="68"/>
      <c r="W224" s="68"/>
      <c r="X224" s="68"/>
      <c r="Y224" s="68">
        <v>6</v>
      </c>
    </row>
    <row r="225" spans="1:25">
      <c r="A225" s="8">
        <v>41503</v>
      </c>
      <c r="B225" s="68"/>
      <c r="C225" s="68"/>
      <c r="D225" s="68"/>
      <c r="E225" s="68"/>
      <c r="F225" s="68"/>
      <c r="G225" s="68"/>
      <c r="H225" s="68"/>
      <c r="I225" s="68"/>
      <c r="J225" s="68"/>
      <c r="K225" s="68"/>
      <c r="L225" s="68"/>
      <c r="M225" s="68"/>
      <c r="N225" s="68"/>
      <c r="O225" s="68">
        <v>2</v>
      </c>
      <c r="P225" s="68"/>
      <c r="Q225" s="68"/>
      <c r="R225" s="68"/>
      <c r="S225" s="68"/>
      <c r="T225" s="68"/>
      <c r="U225" s="68"/>
      <c r="V225" s="68"/>
      <c r="W225" s="68"/>
      <c r="X225" s="68"/>
      <c r="Y225" s="68">
        <v>2</v>
      </c>
    </row>
    <row r="226" spans="1:25">
      <c r="A226" s="8">
        <v>41504</v>
      </c>
      <c r="B226" s="68"/>
      <c r="C226" s="68"/>
      <c r="D226" s="68"/>
      <c r="E226" s="68"/>
      <c r="F226" s="68"/>
      <c r="G226" s="68"/>
      <c r="H226" s="68"/>
      <c r="I226" s="68"/>
      <c r="J226" s="68"/>
      <c r="K226" s="68"/>
      <c r="L226" s="68"/>
      <c r="M226" s="68"/>
      <c r="N226" s="68"/>
      <c r="O226" s="68">
        <v>6</v>
      </c>
      <c r="P226" s="68"/>
      <c r="Q226" s="68"/>
      <c r="R226" s="68"/>
      <c r="S226" s="68"/>
      <c r="T226" s="68"/>
      <c r="U226" s="68"/>
      <c r="V226" s="68"/>
      <c r="W226" s="68"/>
      <c r="X226" s="68"/>
      <c r="Y226" s="68">
        <v>6</v>
      </c>
    </row>
    <row r="227" spans="1:25">
      <c r="A227" s="8">
        <v>41505</v>
      </c>
      <c r="B227" s="68"/>
      <c r="C227" s="68"/>
      <c r="D227" s="68"/>
      <c r="E227" s="68"/>
      <c r="F227" s="68"/>
      <c r="G227" s="68"/>
      <c r="H227" s="68"/>
      <c r="I227" s="68"/>
      <c r="J227" s="68"/>
      <c r="K227" s="68"/>
      <c r="L227" s="68"/>
      <c r="M227" s="68"/>
      <c r="N227" s="68"/>
      <c r="O227" s="68">
        <v>5</v>
      </c>
      <c r="P227" s="68"/>
      <c r="Q227" s="68"/>
      <c r="R227" s="68"/>
      <c r="S227" s="68"/>
      <c r="T227" s="68"/>
      <c r="U227" s="68"/>
      <c r="V227" s="68"/>
      <c r="W227" s="68"/>
      <c r="X227" s="68"/>
      <c r="Y227" s="68">
        <v>5</v>
      </c>
    </row>
    <row r="228" spans="1:25">
      <c r="A228" s="8">
        <v>41506</v>
      </c>
      <c r="B228" s="68"/>
      <c r="C228" s="68"/>
      <c r="D228" s="68"/>
      <c r="E228" s="68"/>
      <c r="F228" s="68"/>
      <c r="G228" s="68"/>
      <c r="H228" s="68"/>
      <c r="I228" s="68"/>
      <c r="J228" s="68"/>
      <c r="K228" s="68"/>
      <c r="L228" s="68"/>
      <c r="M228" s="68"/>
      <c r="N228" s="68"/>
      <c r="O228" s="68">
        <v>23</v>
      </c>
      <c r="P228" s="68"/>
      <c r="Q228" s="68"/>
      <c r="R228" s="68"/>
      <c r="S228" s="68"/>
      <c r="T228" s="68"/>
      <c r="U228" s="68"/>
      <c r="V228" s="68"/>
      <c r="W228" s="68"/>
      <c r="X228" s="68"/>
      <c r="Y228" s="68">
        <v>23</v>
      </c>
    </row>
    <row r="229" spans="1:25">
      <c r="A229" s="8">
        <v>41507</v>
      </c>
      <c r="B229" s="68"/>
      <c r="C229" s="68"/>
      <c r="D229" s="68"/>
      <c r="E229" s="68"/>
      <c r="F229" s="68"/>
      <c r="G229" s="68"/>
      <c r="H229" s="68"/>
      <c r="I229" s="68"/>
      <c r="J229" s="68"/>
      <c r="K229" s="68"/>
      <c r="L229" s="68"/>
      <c r="M229" s="68"/>
      <c r="N229" s="68"/>
      <c r="O229" s="68">
        <v>11</v>
      </c>
      <c r="P229" s="68"/>
      <c r="Q229" s="68"/>
      <c r="R229" s="68"/>
      <c r="S229" s="68"/>
      <c r="T229" s="68"/>
      <c r="U229" s="68"/>
      <c r="V229" s="68"/>
      <c r="W229" s="68"/>
      <c r="X229" s="68"/>
      <c r="Y229" s="68">
        <v>11</v>
      </c>
    </row>
    <row r="230" spans="1:25">
      <c r="A230" s="8">
        <v>41508</v>
      </c>
      <c r="B230" s="68"/>
      <c r="C230" s="68"/>
      <c r="D230" s="68"/>
      <c r="E230" s="68"/>
      <c r="F230" s="68"/>
      <c r="G230" s="68"/>
      <c r="H230" s="68"/>
      <c r="I230" s="68"/>
      <c r="J230" s="68"/>
      <c r="K230" s="68"/>
      <c r="L230" s="68"/>
      <c r="M230" s="68"/>
      <c r="N230" s="68"/>
      <c r="O230" s="68">
        <v>11</v>
      </c>
      <c r="P230" s="68"/>
      <c r="Q230" s="68"/>
      <c r="R230" s="68"/>
      <c r="S230" s="68"/>
      <c r="T230" s="68"/>
      <c r="U230" s="68"/>
      <c r="V230" s="68"/>
      <c r="W230" s="68"/>
      <c r="X230" s="68"/>
      <c r="Y230" s="68">
        <v>11</v>
      </c>
    </row>
    <row r="231" spans="1:25">
      <c r="A231" s="8">
        <v>41509</v>
      </c>
      <c r="B231" s="68"/>
      <c r="C231" s="68"/>
      <c r="D231" s="68"/>
      <c r="E231" s="68"/>
      <c r="F231" s="68"/>
      <c r="G231" s="68"/>
      <c r="H231" s="68"/>
      <c r="I231" s="68"/>
      <c r="J231" s="68"/>
      <c r="K231" s="68"/>
      <c r="L231" s="68"/>
      <c r="M231" s="68"/>
      <c r="N231" s="68"/>
      <c r="O231" s="68">
        <v>5</v>
      </c>
      <c r="P231" s="68"/>
      <c r="Q231" s="68"/>
      <c r="R231" s="68"/>
      <c r="S231" s="68"/>
      <c r="T231" s="68"/>
      <c r="U231" s="68"/>
      <c r="V231" s="68"/>
      <c r="W231" s="68"/>
      <c r="X231" s="68"/>
      <c r="Y231" s="68">
        <v>5</v>
      </c>
    </row>
    <row r="232" spans="1:25">
      <c r="A232" s="8">
        <v>41510</v>
      </c>
      <c r="B232" s="68"/>
      <c r="C232" s="68"/>
      <c r="D232" s="68"/>
      <c r="E232" s="68"/>
      <c r="F232" s="68"/>
      <c r="G232" s="68"/>
      <c r="H232" s="68"/>
      <c r="I232" s="68"/>
      <c r="J232" s="68"/>
      <c r="K232" s="68"/>
      <c r="L232" s="68"/>
      <c r="M232" s="68"/>
      <c r="N232" s="68"/>
      <c r="O232" s="68">
        <v>5</v>
      </c>
      <c r="P232" s="68"/>
      <c r="Q232" s="68"/>
      <c r="R232" s="68"/>
      <c r="S232" s="68"/>
      <c r="T232" s="68"/>
      <c r="U232" s="68"/>
      <c r="V232" s="68"/>
      <c r="W232" s="68"/>
      <c r="X232" s="68"/>
      <c r="Y232" s="68">
        <v>5</v>
      </c>
    </row>
    <row r="233" spans="1:25">
      <c r="A233" s="8">
        <v>41511</v>
      </c>
      <c r="B233" s="68"/>
      <c r="C233" s="68"/>
      <c r="D233" s="68"/>
      <c r="E233" s="68"/>
      <c r="F233" s="68"/>
      <c r="G233" s="68"/>
      <c r="H233" s="68"/>
      <c r="I233" s="68"/>
      <c r="J233" s="68"/>
      <c r="K233" s="68"/>
      <c r="L233" s="68"/>
      <c r="M233" s="68"/>
      <c r="N233" s="68"/>
      <c r="O233" s="68">
        <v>16</v>
      </c>
      <c r="P233" s="68"/>
      <c r="Q233" s="68"/>
      <c r="R233" s="68"/>
      <c r="S233" s="68"/>
      <c r="T233" s="68"/>
      <c r="U233" s="68"/>
      <c r="V233" s="68"/>
      <c r="W233" s="68"/>
      <c r="X233" s="68"/>
      <c r="Y233" s="68">
        <v>16</v>
      </c>
    </row>
    <row r="234" spans="1:25">
      <c r="A234" s="8">
        <v>41512</v>
      </c>
      <c r="B234" s="68"/>
      <c r="C234" s="68"/>
      <c r="D234" s="68"/>
      <c r="E234" s="68"/>
      <c r="F234" s="68"/>
      <c r="G234" s="68"/>
      <c r="H234" s="68"/>
      <c r="I234" s="68"/>
      <c r="J234" s="68"/>
      <c r="K234" s="68"/>
      <c r="L234" s="68"/>
      <c r="M234" s="68"/>
      <c r="N234" s="68"/>
      <c r="O234" s="68">
        <v>5</v>
      </c>
      <c r="P234" s="68"/>
      <c r="Q234" s="68"/>
      <c r="R234" s="68"/>
      <c r="S234" s="68"/>
      <c r="T234" s="68"/>
      <c r="U234" s="68"/>
      <c r="V234" s="68"/>
      <c r="W234" s="68"/>
      <c r="X234" s="68"/>
      <c r="Y234" s="68">
        <v>5</v>
      </c>
    </row>
    <row r="235" spans="1:25">
      <c r="A235" s="8">
        <v>41513</v>
      </c>
      <c r="B235" s="68"/>
      <c r="C235" s="68"/>
      <c r="D235" s="68"/>
      <c r="E235" s="68"/>
      <c r="F235" s="68"/>
      <c r="G235" s="68"/>
      <c r="H235" s="68"/>
      <c r="I235" s="68"/>
      <c r="J235" s="68"/>
      <c r="K235" s="68"/>
      <c r="L235" s="68"/>
      <c r="M235" s="68"/>
      <c r="N235" s="68"/>
      <c r="O235" s="68">
        <v>5</v>
      </c>
      <c r="P235" s="68"/>
      <c r="Q235" s="68"/>
      <c r="R235" s="68"/>
      <c r="S235" s="68"/>
      <c r="T235" s="68"/>
      <c r="U235" s="68"/>
      <c r="V235" s="68"/>
      <c r="W235" s="68"/>
      <c r="X235" s="68"/>
      <c r="Y235" s="68">
        <v>5</v>
      </c>
    </row>
    <row r="236" spans="1:25">
      <c r="A236" s="8">
        <v>41514</v>
      </c>
      <c r="B236" s="68"/>
      <c r="C236" s="68"/>
      <c r="D236" s="68"/>
      <c r="E236" s="68"/>
      <c r="F236" s="68"/>
      <c r="G236" s="68"/>
      <c r="H236" s="68"/>
      <c r="I236" s="68"/>
      <c r="J236" s="68"/>
      <c r="K236" s="68"/>
      <c r="L236" s="68"/>
      <c r="M236" s="68"/>
      <c r="N236" s="68"/>
      <c r="O236" s="68">
        <v>3</v>
      </c>
      <c r="P236" s="68"/>
      <c r="Q236" s="68"/>
      <c r="R236" s="68"/>
      <c r="S236" s="68"/>
      <c r="T236" s="68"/>
      <c r="U236" s="68"/>
      <c r="V236" s="68"/>
      <c r="W236" s="68"/>
      <c r="X236" s="68"/>
      <c r="Y236" s="68">
        <v>3</v>
      </c>
    </row>
    <row r="237" spans="1:25">
      <c r="A237" s="8">
        <v>41515</v>
      </c>
      <c r="B237" s="68"/>
      <c r="C237" s="68"/>
      <c r="D237" s="68"/>
      <c r="E237" s="68"/>
      <c r="F237" s="68"/>
      <c r="G237" s="68"/>
      <c r="H237" s="68"/>
      <c r="I237" s="68"/>
      <c r="J237" s="68"/>
      <c r="K237" s="68"/>
      <c r="L237" s="68"/>
      <c r="M237" s="68"/>
      <c r="N237" s="68"/>
      <c r="O237" s="68"/>
      <c r="P237" s="68">
        <v>4</v>
      </c>
      <c r="Q237" s="68"/>
      <c r="R237" s="68"/>
      <c r="S237" s="68"/>
      <c r="T237" s="68"/>
      <c r="U237" s="68"/>
      <c r="V237" s="68"/>
      <c r="W237" s="68"/>
      <c r="X237" s="68"/>
      <c r="Y237" s="68">
        <v>4</v>
      </c>
    </row>
    <row r="238" spans="1:25">
      <c r="A238" s="8">
        <v>41516</v>
      </c>
      <c r="B238" s="68"/>
      <c r="C238" s="68"/>
      <c r="D238" s="68"/>
      <c r="E238" s="68"/>
      <c r="F238" s="68"/>
      <c r="G238" s="68"/>
      <c r="H238" s="68"/>
      <c r="I238" s="68"/>
      <c r="J238" s="68"/>
      <c r="K238" s="68"/>
      <c r="L238" s="68"/>
      <c r="M238" s="68"/>
      <c r="N238" s="68"/>
      <c r="O238" s="68"/>
      <c r="P238" s="68">
        <v>3</v>
      </c>
      <c r="Q238" s="68"/>
      <c r="R238" s="68"/>
      <c r="S238" s="68"/>
      <c r="T238" s="68"/>
      <c r="U238" s="68"/>
      <c r="V238" s="68"/>
      <c r="W238" s="68"/>
      <c r="X238" s="68"/>
      <c r="Y238" s="68">
        <v>3</v>
      </c>
    </row>
    <row r="239" spans="1:25">
      <c r="A239" s="8">
        <v>41517</v>
      </c>
      <c r="B239" s="68"/>
      <c r="C239" s="68"/>
      <c r="D239" s="68"/>
      <c r="E239" s="68"/>
      <c r="F239" s="68"/>
      <c r="G239" s="68"/>
      <c r="H239" s="68"/>
      <c r="I239" s="68"/>
      <c r="J239" s="68"/>
      <c r="K239" s="68"/>
      <c r="L239" s="68"/>
      <c r="M239" s="68"/>
      <c r="N239" s="68"/>
      <c r="O239" s="68"/>
      <c r="P239" s="68">
        <v>38</v>
      </c>
      <c r="Q239" s="68"/>
      <c r="R239" s="68"/>
      <c r="S239" s="68"/>
      <c r="T239" s="68"/>
      <c r="U239" s="68"/>
      <c r="V239" s="68"/>
      <c r="W239" s="68"/>
      <c r="X239" s="68"/>
      <c r="Y239" s="68">
        <v>38</v>
      </c>
    </row>
    <row r="240" spans="1:25">
      <c r="A240" s="8">
        <v>41518</v>
      </c>
      <c r="B240" s="68"/>
      <c r="C240" s="68"/>
      <c r="D240" s="68"/>
      <c r="E240" s="68"/>
      <c r="F240" s="68"/>
      <c r="G240" s="68"/>
      <c r="H240" s="68"/>
      <c r="I240" s="68"/>
      <c r="J240" s="68"/>
      <c r="K240" s="68"/>
      <c r="L240" s="68"/>
      <c r="M240" s="68"/>
      <c r="N240" s="68"/>
      <c r="O240" s="68"/>
      <c r="P240" s="68">
        <v>9</v>
      </c>
      <c r="Q240" s="68"/>
      <c r="R240" s="68"/>
      <c r="S240" s="68"/>
      <c r="T240" s="68"/>
      <c r="U240" s="68"/>
      <c r="V240" s="68"/>
      <c r="W240" s="68"/>
      <c r="X240" s="68"/>
      <c r="Y240" s="68">
        <v>9</v>
      </c>
    </row>
    <row r="241" spans="1:25">
      <c r="A241" s="8">
        <v>41519</v>
      </c>
      <c r="B241" s="68"/>
      <c r="C241" s="68"/>
      <c r="D241" s="68"/>
      <c r="E241" s="68"/>
      <c r="F241" s="68"/>
      <c r="G241" s="68"/>
      <c r="H241" s="68"/>
      <c r="I241" s="68"/>
      <c r="J241" s="68"/>
      <c r="K241" s="68"/>
      <c r="L241" s="68"/>
      <c r="M241" s="68"/>
      <c r="N241" s="68"/>
      <c r="O241" s="68"/>
      <c r="P241" s="68">
        <v>18</v>
      </c>
      <c r="Q241" s="68"/>
      <c r="R241" s="68"/>
      <c r="S241" s="68"/>
      <c r="T241" s="68"/>
      <c r="U241" s="68"/>
      <c r="V241" s="68"/>
      <c r="W241" s="68"/>
      <c r="X241" s="68"/>
      <c r="Y241" s="68">
        <v>18</v>
      </c>
    </row>
    <row r="242" spans="1:25">
      <c r="A242" s="8">
        <v>41520</v>
      </c>
      <c r="B242" s="68"/>
      <c r="C242" s="68"/>
      <c r="D242" s="68"/>
      <c r="E242" s="68"/>
      <c r="F242" s="68"/>
      <c r="G242" s="68"/>
      <c r="H242" s="68"/>
      <c r="I242" s="68"/>
      <c r="J242" s="68"/>
      <c r="K242" s="68"/>
      <c r="L242" s="68"/>
      <c r="M242" s="68"/>
      <c r="N242" s="68"/>
      <c r="O242" s="68"/>
      <c r="P242" s="68">
        <v>23</v>
      </c>
      <c r="Q242" s="68"/>
      <c r="R242" s="68"/>
      <c r="S242" s="68"/>
      <c r="T242" s="68"/>
      <c r="U242" s="68"/>
      <c r="V242" s="68"/>
      <c r="W242" s="68"/>
      <c r="X242" s="68"/>
      <c r="Y242" s="68">
        <v>23</v>
      </c>
    </row>
    <row r="243" spans="1:25">
      <c r="A243" s="8">
        <v>41521</v>
      </c>
      <c r="B243" s="68"/>
      <c r="C243" s="68"/>
      <c r="D243" s="68"/>
      <c r="E243" s="68"/>
      <c r="F243" s="68"/>
      <c r="G243" s="68"/>
      <c r="H243" s="68"/>
      <c r="I243" s="68"/>
      <c r="J243" s="68"/>
      <c r="K243" s="68"/>
      <c r="L243" s="68"/>
      <c r="M243" s="68"/>
      <c r="N243" s="68"/>
      <c r="O243" s="68"/>
      <c r="P243" s="68">
        <v>19</v>
      </c>
      <c r="Q243" s="68"/>
      <c r="R243" s="68"/>
      <c r="S243" s="68"/>
      <c r="T243" s="68"/>
      <c r="U243" s="68"/>
      <c r="V243" s="68"/>
      <c r="W243" s="68"/>
      <c r="X243" s="68"/>
      <c r="Y243" s="68">
        <v>19</v>
      </c>
    </row>
    <row r="244" spans="1:25">
      <c r="A244" s="8">
        <v>41522</v>
      </c>
      <c r="B244" s="68"/>
      <c r="C244" s="68"/>
      <c r="D244" s="68"/>
      <c r="E244" s="68"/>
      <c r="F244" s="68"/>
      <c r="G244" s="68"/>
      <c r="H244" s="68"/>
      <c r="I244" s="68"/>
      <c r="J244" s="68"/>
      <c r="K244" s="68"/>
      <c r="L244" s="68"/>
      <c r="M244" s="68"/>
      <c r="N244" s="68"/>
      <c r="O244" s="68"/>
      <c r="P244" s="68">
        <v>8</v>
      </c>
      <c r="Q244" s="68"/>
      <c r="R244" s="68"/>
      <c r="S244" s="68"/>
      <c r="T244" s="68"/>
      <c r="U244" s="68"/>
      <c r="V244" s="68"/>
      <c r="W244" s="68"/>
      <c r="X244" s="68"/>
      <c r="Y244" s="68">
        <v>8</v>
      </c>
    </row>
    <row r="245" spans="1:25">
      <c r="A245" s="8">
        <v>41523</v>
      </c>
      <c r="B245" s="68"/>
      <c r="C245" s="68"/>
      <c r="D245" s="68"/>
      <c r="E245" s="68"/>
      <c r="F245" s="68"/>
      <c r="G245" s="68"/>
      <c r="H245" s="68"/>
      <c r="I245" s="68"/>
      <c r="J245" s="68"/>
      <c r="K245" s="68"/>
      <c r="L245" s="68"/>
      <c r="M245" s="68"/>
      <c r="N245" s="68"/>
      <c r="O245" s="68"/>
      <c r="P245" s="68">
        <v>6</v>
      </c>
      <c r="Q245" s="68"/>
      <c r="R245" s="68"/>
      <c r="S245" s="68"/>
      <c r="T245" s="68"/>
      <c r="U245" s="68"/>
      <c r="V245" s="68"/>
      <c r="W245" s="68"/>
      <c r="X245" s="68"/>
      <c r="Y245" s="68">
        <v>6</v>
      </c>
    </row>
    <row r="246" spans="1:25">
      <c r="A246" s="8">
        <v>41524</v>
      </c>
      <c r="B246" s="68"/>
      <c r="C246" s="68"/>
      <c r="D246" s="68"/>
      <c r="E246" s="68"/>
      <c r="F246" s="68"/>
      <c r="G246" s="68"/>
      <c r="H246" s="68"/>
      <c r="I246" s="68"/>
      <c r="J246" s="68"/>
      <c r="K246" s="68"/>
      <c r="L246" s="68"/>
      <c r="M246" s="68"/>
      <c r="N246" s="68"/>
      <c r="O246" s="68"/>
      <c r="P246" s="68">
        <v>4</v>
      </c>
      <c r="Q246" s="68"/>
      <c r="R246" s="68"/>
      <c r="S246" s="68"/>
      <c r="T246" s="68"/>
      <c r="U246" s="68"/>
      <c r="V246" s="68"/>
      <c r="W246" s="68"/>
      <c r="X246" s="68"/>
      <c r="Y246" s="68">
        <v>4</v>
      </c>
    </row>
    <row r="247" spans="1:25">
      <c r="A247" s="8">
        <v>41525</v>
      </c>
      <c r="B247" s="68"/>
      <c r="C247" s="68"/>
      <c r="D247" s="68"/>
      <c r="E247" s="68"/>
      <c r="F247" s="68"/>
      <c r="G247" s="68"/>
      <c r="H247" s="68"/>
      <c r="I247" s="68"/>
      <c r="J247" s="68"/>
      <c r="K247" s="68"/>
      <c r="L247" s="68"/>
      <c r="M247" s="68"/>
      <c r="N247" s="68"/>
      <c r="O247" s="68"/>
      <c r="P247" s="68">
        <v>14</v>
      </c>
      <c r="Q247" s="68"/>
      <c r="R247" s="68"/>
      <c r="S247" s="68"/>
      <c r="T247" s="68"/>
      <c r="U247" s="68"/>
      <c r="V247" s="68"/>
      <c r="W247" s="68"/>
      <c r="X247" s="68"/>
      <c r="Y247" s="68">
        <v>14</v>
      </c>
    </row>
    <row r="248" spans="1:25">
      <c r="A248" s="8">
        <v>41526</v>
      </c>
      <c r="B248" s="68"/>
      <c r="C248" s="68"/>
      <c r="D248" s="68"/>
      <c r="E248" s="68"/>
      <c r="F248" s="68"/>
      <c r="G248" s="68"/>
      <c r="H248" s="68"/>
      <c r="I248" s="68"/>
      <c r="J248" s="68"/>
      <c r="K248" s="68"/>
      <c r="L248" s="68"/>
      <c r="M248" s="68"/>
      <c r="N248" s="68"/>
      <c r="O248" s="68"/>
      <c r="P248" s="68">
        <v>6</v>
      </c>
      <c r="Q248" s="68"/>
      <c r="R248" s="68"/>
      <c r="S248" s="68"/>
      <c r="T248" s="68"/>
      <c r="U248" s="68"/>
      <c r="V248" s="68"/>
      <c r="W248" s="68"/>
      <c r="X248" s="68"/>
      <c r="Y248" s="68">
        <v>6</v>
      </c>
    </row>
    <row r="249" spans="1:25">
      <c r="A249" s="8">
        <v>41527</v>
      </c>
      <c r="B249" s="68"/>
      <c r="C249" s="68"/>
      <c r="D249" s="68"/>
      <c r="E249" s="68"/>
      <c r="F249" s="68"/>
      <c r="G249" s="68"/>
      <c r="H249" s="68"/>
      <c r="I249" s="68"/>
      <c r="J249" s="68"/>
      <c r="K249" s="68"/>
      <c r="L249" s="68"/>
      <c r="M249" s="68"/>
      <c r="N249" s="68"/>
      <c r="O249" s="68"/>
      <c r="P249" s="68">
        <v>5</v>
      </c>
      <c r="Q249" s="68"/>
      <c r="R249" s="68"/>
      <c r="S249" s="68"/>
      <c r="T249" s="68"/>
      <c r="U249" s="68"/>
      <c r="V249" s="68"/>
      <c r="W249" s="68"/>
      <c r="X249" s="68"/>
      <c r="Y249" s="68">
        <v>5</v>
      </c>
    </row>
    <row r="250" spans="1:25">
      <c r="A250" s="8">
        <v>41528</v>
      </c>
      <c r="B250" s="68"/>
      <c r="C250" s="68"/>
      <c r="D250" s="68"/>
      <c r="E250" s="68"/>
      <c r="F250" s="68"/>
      <c r="G250" s="68"/>
      <c r="H250" s="68"/>
      <c r="I250" s="68"/>
      <c r="J250" s="68"/>
      <c r="K250" s="68"/>
      <c r="L250" s="68"/>
      <c r="M250" s="68"/>
      <c r="N250" s="68"/>
      <c r="O250" s="68"/>
      <c r="P250" s="68">
        <v>8</v>
      </c>
      <c r="Q250" s="68"/>
      <c r="R250" s="68"/>
      <c r="S250" s="68"/>
      <c r="T250" s="68"/>
      <c r="U250" s="68"/>
      <c r="V250" s="68"/>
      <c r="W250" s="68"/>
      <c r="X250" s="68"/>
      <c r="Y250" s="68">
        <v>8</v>
      </c>
    </row>
    <row r="251" spans="1:25">
      <c r="A251" s="8">
        <v>41529</v>
      </c>
      <c r="B251" s="68"/>
      <c r="C251" s="68"/>
      <c r="D251" s="68"/>
      <c r="E251" s="68"/>
      <c r="F251" s="68"/>
      <c r="G251" s="68"/>
      <c r="H251" s="68"/>
      <c r="I251" s="68"/>
      <c r="J251" s="68"/>
      <c r="K251" s="68"/>
      <c r="L251" s="68"/>
      <c r="M251" s="68"/>
      <c r="N251" s="68"/>
      <c r="O251" s="68"/>
      <c r="P251" s="68">
        <v>9</v>
      </c>
      <c r="Q251" s="68"/>
      <c r="R251" s="68"/>
      <c r="S251" s="68"/>
      <c r="T251" s="68"/>
      <c r="U251" s="68"/>
      <c r="V251" s="68"/>
      <c r="W251" s="68"/>
      <c r="X251" s="68"/>
      <c r="Y251" s="68">
        <v>9</v>
      </c>
    </row>
    <row r="252" spans="1:25">
      <c r="A252" s="8">
        <v>41530</v>
      </c>
      <c r="B252" s="68"/>
      <c r="C252" s="68"/>
      <c r="D252" s="68"/>
      <c r="E252" s="68"/>
      <c r="F252" s="68"/>
      <c r="G252" s="68"/>
      <c r="H252" s="68"/>
      <c r="I252" s="68"/>
      <c r="J252" s="68"/>
      <c r="K252" s="68"/>
      <c r="L252" s="68"/>
      <c r="M252" s="68"/>
      <c r="N252" s="68"/>
      <c r="O252" s="68"/>
      <c r="P252" s="68">
        <v>8</v>
      </c>
      <c r="Q252" s="68"/>
      <c r="R252" s="68"/>
      <c r="S252" s="68"/>
      <c r="T252" s="68"/>
      <c r="U252" s="68"/>
      <c r="V252" s="68"/>
      <c r="W252" s="68"/>
      <c r="X252" s="68"/>
      <c r="Y252" s="68">
        <v>8</v>
      </c>
    </row>
    <row r="253" spans="1:25">
      <c r="A253" s="8">
        <v>41531</v>
      </c>
      <c r="B253" s="68"/>
      <c r="C253" s="68"/>
      <c r="D253" s="68"/>
      <c r="E253" s="68"/>
      <c r="F253" s="68"/>
      <c r="G253" s="68"/>
      <c r="H253" s="68"/>
      <c r="I253" s="68"/>
      <c r="J253" s="68"/>
      <c r="K253" s="68"/>
      <c r="L253" s="68"/>
      <c r="M253" s="68"/>
      <c r="N253" s="68"/>
      <c r="O253" s="68"/>
      <c r="P253" s="68">
        <v>8</v>
      </c>
      <c r="Q253" s="68"/>
      <c r="R253" s="68"/>
      <c r="S253" s="68"/>
      <c r="T253" s="68"/>
      <c r="U253" s="68"/>
      <c r="V253" s="68"/>
      <c r="W253" s="68"/>
      <c r="X253" s="68"/>
      <c r="Y253" s="68">
        <v>8</v>
      </c>
    </row>
    <row r="254" spans="1:25">
      <c r="A254" s="8">
        <v>41532</v>
      </c>
      <c r="B254" s="68"/>
      <c r="C254" s="68"/>
      <c r="D254" s="68"/>
      <c r="E254" s="68"/>
      <c r="F254" s="68"/>
      <c r="G254" s="68"/>
      <c r="H254" s="68"/>
      <c r="I254" s="68"/>
      <c r="J254" s="68"/>
      <c r="K254" s="68"/>
      <c r="L254" s="68"/>
      <c r="M254" s="68"/>
      <c r="N254" s="68"/>
      <c r="O254" s="68"/>
      <c r="P254" s="68">
        <v>2</v>
      </c>
      <c r="Q254" s="68"/>
      <c r="R254" s="68"/>
      <c r="S254" s="68"/>
      <c r="T254" s="68"/>
      <c r="U254" s="68"/>
      <c r="V254" s="68"/>
      <c r="W254" s="68"/>
      <c r="X254" s="68"/>
      <c r="Y254" s="68">
        <v>2</v>
      </c>
    </row>
    <row r="255" spans="1:25">
      <c r="A255" s="8">
        <v>41533</v>
      </c>
      <c r="B255" s="68"/>
      <c r="C255" s="68"/>
      <c r="D255" s="68"/>
      <c r="E255" s="68"/>
      <c r="F255" s="68"/>
      <c r="G255" s="68"/>
      <c r="H255" s="68"/>
      <c r="I255" s="68"/>
      <c r="J255" s="68"/>
      <c r="K255" s="68"/>
      <c r="L255" s="68"/>
      <c r="M255" s="68"/>
      <c r="N255" s="68"/>
      <c r="O255" s="68"/>
      <c r="P255" s="68"/>
      <c r="Q255" s="68">
        <v>4</v>
      </c>
      <c r="R255" s="68"/>
      <c r="S255" s="68"/>
      <c r="T255" s="68"/>
      <c r="U255" s="68"/>
      <c r="V255" s="68"/>
      <c r="W255" s="68"/>
      <c r="X255" s="68"/>
      <c r="Y255" s="68">
        <v>4</v>
      </c>
    </row>
    <row r="256" spans="1:25">
      <c r="A256" s="8">
        <v>41534</v>
      </c>
      <c r="B256" s="68"/>
      <c r="C256" s="68"/>
      <c r="D256" s="68"/>
      <c r="E256" s="68"/>
      <c r="F256" s="68"/>
      <c r="G256" s="68"/>
      <c r="H256" s="68"/>
      <c r="I256" s="68"/>
      <c r="J256" s="68"/>
      <c r="K256" s="68"/>
      <c r="L256" s="68"/>
      <c r="M256" s="68"/>
      <c r="N256" s="68"/>
      <c r="O256" s="68"/>
      <c r="P256" s="68"/>
      <c r="Q256" s="68">
        <v>25</v>
      </c>
      <c r="R256" s="68"/>
      <c r="S256" s="68"/>
      <c r="T256" s="68"/>
      <c r="U256" s="68"/>
      <c r="V256" s="68"/>
      <c r="W256" s="68"/>
      <c r="X256" s="68"/>
      <c r="Y256" s="68">
        <v>25</v>
      </c>
    </row>
    <row r="257" spans="1:25">
      <c r="A257" s="8">
        <v>41535</v>
      </c>
      <c r="B257" s="68"/>
      <c r="C257" s="68"/>
      <c r="D257" s="68"/>
      <c r="E257" s="68"/>
      <c r="F257" s="68"/>
      <c r="G257" s="68"/>
      <c r="H257" s="68"/>
      <c r="I257" s="68"/>
      <c r="J257" s="68"/>
      <c r="K257" s="68"/>
      <c r="L257" s="68"/>
      <c r="M257" s="68"/>
      <c r="N257" s="68"/>
      <c r="O257" s="68"/>
      <c r="P257" s="68"/>
      <c r="Q257" s="68">
        <v>13</v>
      </c>
      <c r="R257" s="68"/>
      <c r="S257" s="68"/>
      <c r="T257" s="68"/>
      <c r="U257" s="68"/>
      <c r="V257" s="68"/>
      <c r="W257" s="68"/>
      <c r="X257" s="68"/>
      <c r="Y257" s="68">
        <v>13</v>
      </c>
    </row>
    <row r="258" spans="1:25">
      <c r="A258" s="8">
        <v>41536</v>
      </c>
      <c r="B258" s="68"/>
      <c r="C258" s="68"/>
      <c r="D258" s="68"/>
      <c r="E258" s="68"/>
      <c r="F258" s="68"/>
      <c r="G258" s="68"/>
      <c r="H258" s="68"/>
      <c r="I258" s="68"/>
      <c r="J258" s="68"/>
      <c r="K258" s="68"/>
      <c r="L258" s="68"/>
      <c r="M258" s="68"/>
      <c r="N258" s="68"/>
      <c r="O258" s="68"/>
      <c r="P258" s="68"/>
      <c r="Q258" s="68">
        <v>20</v>
      </c>
      <c r="R258" s="68"/>
      <c r="S258" s="68"/>
      <c r="T258" s="68"/>
      <c r="U258" s="68"/>
      <c r="V258" s="68"/>
      <c r="W258" s="68"/>
      <c r="X258" s="68"/>
      <c r="Y258" s="68">
        <v>20</v>
      </c>
    </row>
    <row r="259" spans="1:25">
      <c r="A259" s="8">
        <v>41537</v>
      </c>
      <c r="B259" s="68"/>
      <c r="C259" s="68"/>
      <c r="D259" s="68"/>
      <c r="E259" s="68"/>
      <c r="F259" s="68"/>
      <c r="G259" s="68"/>
      <c r="H259" s="68"/>
      <c r="I259" s="68"/>
      <c r="J259" s="68"/>
      <c r="K259" s="68"/>
      <c r="L259" s="68"/>
      <c r="M259" s="68"/>
      <c r="N259" s="68"/>
      <c r="O259" s="68"/>
      <c r="P259" s="68"/>
      <c r="Q259" s="68">
        <v>9</v>
      </c>
      <c r="R259" s="68"/>
      <c r="S259" s="68"/>
      <c r="T259" s="68"/>
      <c r="U259" s="68"/>
      <c r="V259" s="68"/>
      <c r="W259" s="68"/>
      <c r="X259" s="68"/>
      <c r="Y259" s="68">
        <v>9</v>
      </c>
    </row>
    <row r="260" spans="1:25">
      <c r="A260" s="8">
        <v>41538</v>
      </c>
      <c r="B260" s="68"/>
      <c r="C260" s="68"/>
      <c r="D260" s="68"/>
      <c r="E260" s="68"/>
      <c r="F260" s="68"/>
      <c r="G260" s="68"/>
      <c r="H260" s="68"/>
      <c r="I260" s="68"/>
      <c r="J260" s="68"/>
      <c r="K260" s="68"/>
      <c r="L260" s="68"/>
      <c r="M260" s="68"/>
      <c r="N260" s="68"/>
      <c r="O260" s="68"/>
      <c r="P260" s="68"/>
      <c r="Q260" s="68">
        <v>4</v>
      </c>
      <c r="R260" s="68"/>
      <c r="S260" s="68"/>
      <c r="T260" s="68"/>
      <c r="U260" s="68"/>
      <c r="V260" s="68"/>
      <c r="W260" s="68"/>
      <c r="X260" s="68"/>
      <c r="Y260" s="68">
        <v>4</v>
      </c>
    </row>
    <row r="261" spans="1:25">
      <c r="A261" s="8">
        <v>41539</v>
      </c>
      <c r="B261" s="68"/>
      <c r="C261" s="68"/>
      <c r="D261" s="68"/>
      <c r="E261" s="68"/>
      <c r="F261" s="68"/>
      <c r="G261" s="68"/>
      <c r="H261" s="68"/>
      <c r="I261" s="68"/>
      <c r="J261" s="68"/>
      <c r="K261" s="68"/>
      <c r="L261" s="68"/>
      <c r="M261" s="68"/>
      <c r="N261" s="68"/>
      <c r="O261" s="68"/>
      <c r="P261" s="68"/>
      <c r="Q261" s="68">
        <v>5</v>
      </c>
      <c r="R261" s="68"/>
      <c r="S261" s="68"/>
      <c r="T261" s="68"/>
      <c r="U261" s="68"/>
      <c r="V261" s="68"/>
      <c r="W261" s="68"/>
      <c r="X261" s="68"/>
      <c r="Y261" s="68">
        <v>5</v>
      </c>
    </row>
    <row r="262" spans="1:25">
      <c r="A262" s="8">
        <v>41540</v>
      </c>
      <c r="B262" s="68"/>
      <c r="C262" s="68"/>
      <c r="D262" s="68"/>
      <c r="E262" s="68"/>
      <c r="F262" s="68"/>
      <c r="G262" s="68"/>
      <c r="H262" s="68"/>
      <c r="I262" s="68"/>
      <c r="J262" s="68"/>
      <c r="K262" s="68"/>
      <c r="L262" s="68"/>
      <c r="M262" s="68"/>
      <c r="N262" s="68"/>
      <c r="O262" s="68"/>
      <c r="P262" s="68"/>
      <c r="Q262" s="68">
        <v>14</v>
      </c>
      <c r="R262" s="68"/>
      <c r="S262" s="68"/>
      <c r="T262" s="68"/>
      <c r="U262" s="68"/>
      <c r="V262" s="68"/>
      <c r="W262" s="68"/>
      <c r="X262" s="68"/>
      <c r="Y262" s="68">
        <v>14</v>
      </c>
    </row>
    <row r="263" spans="1:25">
      <c r="A263" s="8">
        <v>41541</v>
      </c>
      <c r="B263" s="68"/>
      <c r="C263" s="68"/>
      <c r="D263" s="68"/>
      <c r="E263" s="68"/>
      <c r="F263" s="68"/>
      <c r="G263" s="68"/>
      <c r="H263" s="68"/>
      <c r="I263" s="68"/>
      <c r="J263" s="68"/>
      <c r="K263" s="68"/>
      <c r="L263" s="68"/>
      <c r="M263" s="68"/>
      <c r="N263" s="68"/>
      <c r="O263" s="68"/>
      <c r="P263" s="68"/>
      <c r="Q263" s="68">
        <v>16</v>
      </c>
      <c r="R263" s="68"/>
      <c r="S263" s="68"/>
      <c r="T263" s="68"/>
      <c r="U263" s="68"/>
      <c r="V263" s="68"/>
      <c r="W263" s="68"/>
      <c r="X263" s="68"/>
      <c r="Y263" s="68">
        <v>16</v>
      </c>
    </row>
    <row r="264" spans="1:25">
      <c r="A264" s="8">
        <v>41542</v>
      </c>
      <c r="B264" s="68"/>
      <c r="C264" s="68"/>
      <c r="D264" s="68"/>
      <c r="E264" s="68"/>
      <c r="F264" s="68"/>
      <c r="G264" s="68"/>
      <c r="H264" s="68"/>
      <c r="I264" s="68"/>
      <c r="J264" s="68"/>
      <c r="K264" s="68"/>
      <c r="L264" s="68"/>
      <c r="M264" s="68"/>
      <c r="N264" s="68"/>
      <c r="O264" s="68"/>
      <c r="P264" s="68"/>
      <c r="Q264" s="68">
        <v>14</v>
      </c>
      <c r="R264" s="68"/>
      <c r="S264" s="68"/>
      <c r="T264" s="68"/>
      <c r="U264" s="68"/>
      <c r="V264" s="68"/>
      <c r="W264" s="68"/>
      <c r="X264" s="68"/>
      <c r="Y264" s="68">
        <v>14</v>
      </c>
    </row>
    <row r="265" spans="1:25">
      <c r="A265" s="8">
        <v>41543</v>
      </c>
      <c r="B265" s="68"/>
      <c r="C265" s="68"/>
      <c r="D265" s="68"/>
      <c r="E265" s="68"/>
      <c r="F265" s="68"/>
      <c r="G265" s="68"/>
      <c r="H265" s="68"/>
      <c r="I265" s="68"/>
      <c r="J265" s="68"/>
      <c r="K265" s="68"/>
      <c r="L265" s="68"/>
      <c r="M265" s="68"/>
      <c r="N265" s="68"/>
      <c r="O265" s="68"/>
      <c r="P265" s="68"/>
      <c r="Q265" s="68">
        <v>16</v>
      </c>
      <c r="R265" s="68"/>
      <c r="S265" s="68"/>
      <c r="T265" s="68"/>
      <c r="U265" s="68"/>
      <c r="V265" s="68"/>
      <c r="W265" s="68"/>
      <c r="X265" s="68"/>
      <c r="Y265" s="68">
        <v>16</v>
      </c>
    </row>
    <row r="266" spans="1:25">
      <c r="A266" s="8">
        <v>41544</v>
      </c>
      <c r="B266" s="68"/>
      <c r="C266" s="68"/>
      <c r="D266" s="68"/>
      <c r="E266" s="68"/>
      <c r="F266" s="68"/>
      <c r="G266" s="68"/>
      <c r="H266" s="68"/>
      <c r="I266" s="68"/>
      <c r="J266" s="68"/>
      <c r="K266" s="68"/>
      <c r="L266" s="68"/>
      <c r="M266" s="68"/>
      <c r="N266" s="68"/>
      <c r="O266" s="68"/>
      <c r="P266" s="68"/>
      <c r="Q266" s="68">
        <v>15</v>
      </c>
      <c r="R266" s="68"/>
      <c r="S266" s="68"/>
      <c r="T266" s="68"/>
      <c r="U266" s="68"/>
      <c r="V266" s="68"/>
      <c r="W266" s="68"/>
      <c r="X266" s="68"/>
      <c r="Y266" s="68">
        <v>15</v>
      </c>
    </row>
    <row r="267" spans="1:25">
      <c r="A267" s="8">
        <v>41545</v>
      </c>
      <c r="B267" s="68"/>
      <c r="C267" s="68"/>
      <c r="D267" s="68"/>
      <c r="E267" s="68"/>
      <c r="F267" s="68"/>
      <c r="G267" s="68"/>
      <c r="H267" s="68"/>
      <c r="I267" s="68"/>
      <c r="J267" s="68"/>
      <c r="K267" s="68"/>
      <c r="L267" s="68"/>
      <c r="M267" s="68"/>
      <c r="N267" s="68"/>
      <c r="O267" s="68"/>
      <c r="P267" s="68"/>
      <c r="Q267" s="68">
        <v>21</v>
      </c>
      <c r="R267" s="68"/>
      <c r="S267" s="68"/>
      <c r="T267" s="68"/>
      <c r="U267" s="68"/>
      <c r="V267" s="68"/>
      <c r="W267" s="68"/>
      <c r="X267" s="68"/>
      <c r="Y267" s="68">
        <v>21</v>
      </c>
    </row>
    <row r="268" spans="1:25">
      <c r="A268" s="8">
        <v>41546</v>
      </c>
      <c r="B268" s="68"/>
      <c r="C268" s="68"/>
      <c r="D268" s="68"/>
      <c r="E268" s="68"/>
      <c r="F268" s="68"/>
      <c r="G268" s="68"/>
      <c r="H268" s="68"/>
      <c r="I268" s="68"/>
      <c r="J268" s="68"/>
      <c r="K268" s="68"/>
      <c r="L268" s="68"/>
      <c r="M268" s="68"/>
      <c r="N268" s="68"/>
      <c r="O268" s="68"/>
      <c r="P268" s="68"/>
      <c r="Q268" s="68">
        <v>22</v>
      </c>
      <c r="R268" s="68"/>
      <c r="S268" s="68"/>
      <c r="T268" s="68"/>
      <c r="U268" s="68"/>
      <c r="V268" s="68"/>
      <c r="W268" s="68"/>
      <c r="X268" s="68"/>
      <c r="Y268" s="68">
        <v>22</v>
      </c>
    </row>
    <row r="269" spans="1:25">
      <c r="A269" s="8">
        <v>41547</v>
      </c>
      <c r="B269" s="68"/>
      <c r="C269" s="68"/>
      <c r="D269" s="68"/>
      <c r="E269" s="68"/>
      <c r="F269" s="68"/>
      <c r="G269" s="68"/>
      <c r="H269" s="68"/>
      <c r="I269" s="68"/>
      <c r="J269" s="68"/>
      <c r="K269" s="68"/>
      <c r="L269" s="68"/>
      <c r="M269" s="68"/>
      <c r="N269" s="68"/>
      <c r="O269" s="68"/>
      <c r="P269" s="68"/>
      <c r="Q269" s="68"/>
      <c r="R269" s="68">
        <v>34</v>
      </c>
      <c r="S269" s="68"/>
      <c r="T269" s="68"/>
      <c r="U269" s="68"/>
      <c r="V269" s="68"/>
      <c r="W269" s="68"/>
      <c r="X269" s="68"/>
      <c r="Y269" s="68">
        <v>34</v>
      </c>
    </row>
    <row r="270" spans="1:25">
      <c r="A270" s="8">
        <v>41548</v>
      </c>
      <c r="B270" s="68"/>
      <c r="C270" s="68"/>
      <c r="D270" s="68"/>
      <c r="E270" s="68"/>
      <c r="F270" s="68"/>
      <c r="G270" s="68"/>
      <c r="H270" s="68"/>
      <c r="I270" s="68"/>
      <c r="J270" s="68"/>
      <c r="K270" s="68"/>
      <c r="L270" s="68"/>
      <c r="M270" s="68"/>
      <c r="N270" s="68"/>
      <c r="O270" s="68"/>
      <c r="P270" s="68"/>
      <c r="Q270" s="68"/>
      <c r="R270" s="68">
        <v>12</v>
      </c>
      <c r="S270" s="68"/>
      <c r="T270" s="68"/>
      <c r="U270" s="68"/>
      <c r="V270" s="68"/>
      <c r="W270" s="68"/>
      <c r="X270" s="68"/>
      <c r="Y270" s="68">
        <v>12</v>
      </c>
    </row>
    <row r="271" spans="1:25">
      <c r="A271" s="8">
        <v>41549</v>
      </c>
      <c r="B271" s="68"/>
      <c r="C271" s="68"/>
      <c r="D271" s="68"/>
      <c r="E271" s="68"/>
      <c r="F271" s="68"/>
      <c r="G271" s="68"/>
      <c r="H271" s="68"/>
      <c r="I271" s="68"/>
      <c r="J271" s="68"/>
      <c r="K271" s="68"/>
      <c r="L271" s="68"/>
      <c r="M271" s="68"/>
      <c r="N271" s="68"/>
      <c r="O271" s="68"/>
      <c r="P271" s="68"/>
      <c r="Q271" s="68"/>
      <c r="R271" s="68">
        <v>13</v>
      </c>
      <c r="S271" s="68"/>
      <c r="T271" s="68"/>
      <c r="U271" s="68"/>
      <c r="V271" s="68"/>
      <c r="W271" s="68"/>
      <c r="X271" s="68"/>
      <c r="Y271" s="68">
        <v>13</v>
      </c>
    </row>
    <row r="272" spans="1:25">
      <c r="A272" s="8">
        <v>41550</v>
      </c>
      <c r="B272" s="68"/>
      <c r="C272" s="68"/>
      <c r="D272" s="68"/>
      <c r="E272" s="68"/>
      <c r="F272" s="68"/>
      <c r="G272" s="68"/>
      <c r="H272" s="68"/>
      <c r="I272" s="68"/>
      <c r="J272" s="68"/>
      <c r="K272" s="68"/>
      <c r="L272" s="68"/>
      <c r="M272" s="68"/>
      <c r="N272" s="68"/>
      <c r="O272" s="68"/>
      <c r="P272" s="68"/>
      <c r="Q272" s="68"/>
      <c r="R272" s="68">
        <v>22</v>
      </c>
      <c r="S272" s="68"/>
      <c r="T272" s="68"/>
      <c r="U272" s="68"/>
      <c r="V272" s="68"/>
      <c r="W272" s="68"/>
      <c r="X272" s="68"/>
      <c r="Y272" s="68">
        <v>22</v>
      </c>
    </row>
    <row r="273" spans="1:25">
      <c r="A273" s="8">
        <v>41551</v>
      </c>
      <c r="B273" s="68"/>
      <c r="C273" s="68"/>
      <c r="D273" s="68"/>
      <c r="E273" s="68"/>
      <c r="F273" s="68"/>
      <c r="G273" s="68"/>
      <c r="H273" s="68"/>
      <c r="I273" s="68"/>
      <c r="J273" s="68"/>
      <c r="K273" s="68"/>
      <c r="L273" s="68"/>
      <c r="M273" s="68"/>
      <c r="N273" s="68"/>
      <c r="O273" s="68"/>
      <c r="P273" s="68"/>
      <c r="Q273" s="68"/>
      <c r="R273" s="68">
        <v>24</v>
      </c>
      <c r="S273" s="68"/>
      <c r="T273" s="68"/>
      <c r="U273" s="68"/>
      <c r="V273" s="68"/>
      <c r="W273" s="68"/>
      <c r="X273" s="68"/>
      <c r="Y273" s="68">
        <v>24</v>
      </c>
    </row>
    <row r="274" spans="1:25">
      <c r="A274" s="8">
        <v>41552</v>
      </c>
      <c r="B274" s="68"/>
      <c r="C274" s="68"/>
      <c r="D274" s="68"/>
      <c r="E274" s="68"/>
      <c r="F274" s="68"/>
      <c r="G274" s="68"/>
      <c r="H274" s="68"/>
      <c r="I274" s="68"/>
      <c r="J274" s="68"/>
      <c r="K274" s="68"/>
      <c r="L274" s="68"/>
      <c r="M274" s="68"/>
      <c r="N274" s="68"/>
      <c r="O274" s="68"/>
      <c r="P274" s="68"/>
      <c r="Q274" s="68"/>
      <c r="R274" s="68">
        <v>15</v>
      </c>
      <c r="S274" s="68"/>
      <c r="T274" s="68"/>
      <c r="U274" s="68"/>
      <c r="V274" s="68"/>
      <c r="W274" s="68"/>
      <c r="X274" s="68"/>
      <c r="Y274" s="68">
        <v>15</v>
      </c>
    </row>
    <row r="275" spans="1:25">
      <c r="A275" s="8">
        <v>41553</v>
      </c>
      <c r="B275" s="68"/>
      <c r="C275" s="68"/>
      <c r="D275" s="68"/>
      <c r="E275" s="68"/>
      <c r="F275" s="68"/>
      <c r="G275" s="68"/>
      <c r="H275" s="68"/>
      <c r="I275" s="68"/>
      <c r="J275" s="68"/>
      <c r="K275" s="68"/>
      <c r="L275" s="68"/>
      <c r="M275" s="68"/>
      <c r="N275" s="68"/>
      <c r="O275" s="68"/>
      <c r="P275" s="68"/>
      <c r="Q275" s="68"/>
      <c r="R275" s="68">
        <v>16</v>
      </c>
      <c r="S275" s="68"/>
      <c r="T275" s="68"/>
      <c r="U275" s="68"/>
      <c r="V275" s="68"/>
      <c r="W275" s="68"/>
      <c r="X275" s="68"/>
      <c r="Y275" s="68">
        <v>16</v>
      </c>
    </row>
    <row r="276" spans="1:25">
      <c r="A276" s="8">
        <v>41554</v>
      </c>
      <c r="B276" s="68"/>
      <c r="C276" s="68"/>
      <c r="D276" s="68"/>
      <c r="E276" s="68"/>
      <c r="F276" s="68"/>
      <c r="G276" s="68"/>
      <c r="H276" s="68"/>
      <c r="I276" s="68"/>
      <c r="J276" s="68"/>
      <c r="K276" s="68"/>
      <c r="L276" s="68"/>
      <c r="M276" s="68"/>
      <c r="N276" s="68"/>
      <c r="O276" s="68"/>
      <c r="P276" s="68"/>
      <c r="Q276" s="68"/>
      <c r="R276" s="68">
        <v>17</v>
      </c>
      <c r="S276" s="68"/>
      <c r="T276" s="68"/>
      <c r="U276" s="68"/>
      <c r="V276" s="68"/>
      <c r="W276" s="68"/>
      <c r="X276" s="68"/>
      <c r="Y276" s="68">
        <v>17</v>
      </c>
    </row>
    <row r="277" spans="1:25">
      <c r="A277" s="8">
        <v>41555</v>
      </c>
      <c r="B277" s="68"/>
      <c r="C277" s="68"/>
      <c r="D277" s="68"/>
      <c r="E277" s="68"/>
      <c r="F277" s="68"/>
      <c r="G277" s="68"/>
      <c r="H277" s="68"/>
      <c r="I277" s="68"/>
      <c r="J277" s="68"/>
      <c r="K277" s="68"/>
      <c r="L277" s="68"/>
      <c r="M277" s="68"/>
      <c r="N277" s="68"/>
      <c r="O277" s="68"/>
      <c r="P277" s="68"/>
      <c r="Q277" s="68"/>
      <c r="R277" s="68">
        <v>17</v>
      </c>
      <c r="S277" s="68"/>
      <c r="T277" s="68"/>
      <c r="U277" s="68"/>
      <c r="V277" s="68"/>
      <c r="W277" s="68"/>
      <c r="X277" s="68"/>
      <c r="Y277" s="68">
        <v>17</v>
      </c>
    </row>
    <row r="278" spans="1:25">
      <c r="A278" s="8">
        <v>41556</v>
      </c>
      <c r="B278" s="68"/>
      <c r="C278" s="68"/>
      <c r="D278" s="68"/>
      <c r="E278" s="68"/>
      <c r="F278" s="68"/>
      <c r="G278" s="68"/>
      <c r="H278" s="68"/>
      <c r="I278" s="68"/>
      <c r="J278" s="68"/>
      <c r="K278" s="68"/>
      <c r="L278" s="68"/>
      <c r="M278" s="68"/>
      <c r="N278" s="68"/>
      <c r="O278" s="68"/>
      <c r="P278" s="68"/>
      <c r="Q278" s="68"/>
      <c r="R278" s="68">
        <v>27</v>
      </c>
      <c r="S278" s="68"/>
      <c r="T278" s="68"/>
      <c r="U278" s="68"/>
      <c r="V278" s="68"/>
      <c r="W278" s="68"/>
      <c r="X278" s="68"/>
      <c r="Y278" s="68">
        <v>27</v>
      </c>
    </row>
    <row r="279" spans="1:25">
      <c r="A279" s="8">
        <v>41557</v>
      </c>
      <c r="B279" s="68"/>
      <c r="C279" s="68"/>
      <c r="D279" s="68"/>
      <c r="E279" s="68"/>
      <c r="F279" s="68"/>
      <c r="G279" s="68"/>
      <c r="H279" s="68"/>
      <c r="I279" s="68"/>
      <c r="J279" s="68"/>
      <c r="K279" s="68"/>
      <c r="L279" s="68"/>
      <c r="M279" s="68"/>
      <c r="N279" s="68"/>
      <c r="O279" s="68"/>
      <c r="P279" s="68"/>
      <c r="Q279" s="68"/>
      <c r="R279" s="68">
        <v>26</v>
      </c>
      <c r="S279" s="68"/>
      <c r="T279" s="68"/>
      <c r="U279" s="68"/>
      <c r="V279" s="68"/>
      <c r="W279" s="68"/>
      <c r="X279" s="68"/>
      <c r="Y279" s="68">
        <v>26</v>
      </c>
    </row>
    <row r="280" spans="1:25">
      <c r="A280" s="8">
        <v>41558</v>
      </c>
      <c r="B280" s="68"/>
      <c r="C280" s="68"/>
      <c r="D280" s="68"/>
      <c r="E280" s="68"/>
      <c r="F280" s="68"/>
      <c r="G280" s="68"/>
      <c r="H280" s="68"/>
      <c r="I280" s="68"/>
      <c r="J280" s="68"/>
      <c r="K280" s="68"/>
      <c r="L280" s="68"/>
      <c r="M280" s="68"/>
      <c r="N280" s="68"/>
      <c r="O280" s="68"/>
      <c r="P280" s="68"/>
      <c r="Q280" s="68"/>
      <c r="R280" s="68">
        <v>27</v>
      </c>
      <c r="S280" s="68"/>
      <c r="T280" s="68"/>
      <c r="U280" s="68"/>
      <c r="V280" s="68"/>
      <c r="W280" s="68"/>
      <c r="X280" s="68"/>
      <c r="Y280" s="68">
        <v>27</v>
      </c>
    </row>
    <row r="281" spans="1:25">
      <c r="A281" s="8">
        <v>41559</v>
      </c>
      <c r="B281" s="68"/>
      <c r="C281" s="68"/>
      <c r="D281" s="68"/>
      <c r="E281" s="68"/>
      <c r="F281" s="68"/>
      <c r="G281" s="68"/>
      <c r="H281" s="68"/>
      <c r="I281" s="68"/>
      <c r="J281" s="68"/>
      <c r="K281" s="68"/>
      <c r="L281" s="68"/>
      <c r="M281" s="68"/>
      <c r="N281" s="68"/>
      <c r="O281" s="68"/>
      <c r="P281" s="68"/>
      <c r="Q281" s="68"/>
      <c r="R281" s="68">
        <v>25</v>
      </c>
      <c r="S281" s="68"/>
      <c r="T281" s="68"/>
      <c r="U281" s="68"/>
      <c r="V281" s="68"/>
      <c r="W281" s="68"/>
      <c r="X281" s="68"/>
      <c r="Y281" s="68">
        <v>25</v>
      </c>
    </row>
    <row r="282" spans="1:25">
      <c r="A282" s="8">
        <v>41560</v>
      </c>
      <c r="B282" s="68"/>
      <c r="C282" s="68"/>
      <c r="D282" s="68"/>
      <c r="E282" s="68"/>
      <c r="F282" s="68"/>
      <c r="G282" s="68"/>
      <c r="H282" s="68"/>
      <c r="I282" s="68"/>
      <c r="J282" s="68"/>
      <c r="K282" s="68"/>
      <c r="L282" s="68"/>
      <c r="M282" s="68"/>
      <c r="N282" s="68"/>
      <c r="O282" s="68"/>
      <c r="P282" s="68"/>
      <c r="Q282" s="68"/>
      <c r="R282" s="68">
        <v>22</v>
      </c>
      <c r="S282" s="68"/>
      <c r="T282" s="68"/>
      <c r="U282" s="68"/>
      <c r="V282" s="68"/>
      <c r="W282" s="68"/>
      <c r="X282" s="68"/>
      <c r="Y282" s="68">
        <v>22</v>
      </c>
    </row>
    <row r="283" spans="1:25">
      <c r="A283" s="8">
        <v>41561</v>
      </c>
      <c r="B283" s="68"/>
      <c r="C283" s="68"/>
      <c r="D283" s="68"/>
      <c r="E283" s="68"/>
      <c r="F283" s="68"/>
      <c r="G283" s="68"/>
      <c r="H283" s="68"/>
      <c r="I283" s="68"/>
      <c r="J283" s="68"/>
      <c r="K283" s="68"/>
      <c r="L283" s="68"/>
      <c r="M283" s="68"/>
      <c r="N283" s="68"/>
      <c r="O283" s="68"/>
      <c r="P283" s="68"/>
      <c r="Q283" s="68"/>
      <c r="R283" s="68">
        <v>23</v>
      </c>
      <c r="S283" s="68"/>
      <c r="T283" s="68"/>
      <c r="U283" s="68"/>
      <c r="V283" s="68"/>
      <c r="W283" s="68"/>
      <c r="X283" s="68"/>
      <c r="Y283" s="68">
        <v>23</v>
      </c>
    </row>
    <row r="284" spans="1:25">
      <c r="A284" s="8">
        <v>41562</v>
      </c>
      <c r="B284" s="68"/>
      <c r="C284" s="68"/>
      <c r="D284" s="68"/>
      <c r="E284" s="68"/>
      <c r="F284" s="68"/>
      <c r="G284" s="68"/>
      <c r="H284" s="68"/>
      <c r="I284" s="68"/>
      <c r="J284" s="68"/>
      <c r="K284" s="68"/>
      <c r="L284" s="68"/>
      <c r="M284" s="68"/>
      <c r="N284" s="68"/>
      <c r="O284" s="68"/>
      <c r="P284" s="68"/>
      <c r="Q284" s="68"/>
      <c r="R284" s="68">
        <v>29</v>
      </c>
      <c r="S284" s="68"/>
      <c r="T284" s="68"/>
      <c r="U284" s="68"/>
      <c r="V284" s="68"/>
      <c r="W284" s="68"/>
      <c r="X284" s="68"/>
      <c r="Y284" s="68">
        <v>29</v>
      </c>
    </row>
    <row r="285" spans="1:25">
      <c r="A285" s="8">
        <v>41563</v>
      </c>
      <c r="B285" s="68"/>
      <c r="C285" s="68"/>
      <c r="D285" s="68"/>
      <c r="E285" s="68"/>
      <c r="F285" s="68"/>
      <c r="G285" s="68"/>
      <c r="H285" s="68"/>
      <c r="I285" s="68"/>
      <c r="J285" s="68"/>
      <c r="K285" s="68"/>
      <c r="L285" s="68"/>
      <c r="M285" s="68"/>
      <c r="N285" s="68"/>
      <c r="O285" s="68"/>
      <c r="P285" s="68"/>
      <c r="Q285" s="68"/>
      <c r="R285" s="68">
        <v>26</v>
      </c>
      <c r="S285" s="68"/>
      <c r="T285" s="68"/>
      <c r="U285" s="68"/>
      <c r="V285" s="68"/>
      <c r="W285" s="68"/>
      <c r="X285" s="68"/>
      <c r="Y285" s="68">
        <v>26</v>
      </c>
    </row>
    <row r="286" spans="1:25">
      <c r="A286" s="8">
        <v>41564</v>
      </c>
      <c r="B286" s="68"/>
      <c r="C286" s="68"/>
      <c r="D286" s="68"/>
      <c r="E286" s="68"/>
      <c r="F286" s="68"/>
      <c r="G286" s="68"/>
      <c r="H286" s="68"/>
      <c r="I286" s="68"/>
      <c r="J286" s="68"/>
      <c r="K286" s="68"/>
      <c r="L286" s="68"/>
      <c r="M286" s="68"/>
      <c r="N286" s="68"/>
      <c r="O286" s="68"/>
      <c r="P286" s="68"/>
      <c r="Q286" s="68"/>
      <c r="R286" s="68">
        <v>23</v>
      </c>
      <c r="S286" s="68"/>
      <c r="T286" s="68"/>
      <c r="U286" s="68"/>
      <c r="V286" s="68"/>
      <c r="W286" s="68"/>
      <c r="X286" s="68"/>
      <c r="Y286" s="68">
        <v>23</v>
      </c>
    </row>
    <row r="287" spans="1:25">
      <c r="A287" s="8">
        <v>41565</v>
      </c>
      <c r="B287" s="68"/>
      <c r="C287" s="68"/>
      <c r="D287" s="68"/>
      <c r="E287" s="68"/>
      <c r="F287" s="68"/>
      <c r="G287" s="68"/>
      <c r="H287" s="68"/>
      <c r="I287" s="68"/>
      <c r="J287" s="68"/>
      <c r="K287" s="68"/>
      <c r="L287" s="68"/>
      <c r="M287" s="68"/>
      <c r="N287" s="68"/>
      <c r="O287" s="68"/>
      <c r="P287" s="68"/>
      <c r="Q287" s="68"/>
      <c r="R287" s="68">
        <v>38</v>
      </c>
      <c r="S287" s="68"/>
      <c r="T287" s="68"/>
      <c r="U287" s="68"/>
      <c r="V287" s="68"/>
      <c r="W287" s="68"/>
      <c r="X287" s="68"/>
      <c r="Y287" s="68">
        <v>38</v>
      </c>
    </row>
    <row r="288" spans="1:25">
      <c r="A288" s="8">
        <v>41566</v>
      </c>
      <c r="B288" s="68"/>
      <c r="C288" s="68"/>
      <c r="D288" s="68"/>
      <c r="E288" s="68"/>
      <c r="F288" s="68"/>
      <c r="G288" s="68"/>
      <c r="H288" s="68"/>
      <c r="I288" s="68"/>
      <c r="J288" s="68"/>
      <c r="K288" s="68"/>
      <c r="L288" s="68"/>
      <c r="M288" s="68"/>
      <c r="N288" s="68"/>
      <c r="O288" s="68"/>
      <c r="P288" s="68"/>
      <c r="Q288" s="68"/>
      <c r="R288" s="68">
        <v>14</v>
      </c>
      <c r="S288" s="68"/>
      <c r="T288" s="68"/>
      <c r="U288" s="68"/>
      <c r="V288" s="68"/>
      <c r="W288" s="68"/>
      <c r="X288" s="68"/>
      <c r="Y288" s="68">
        <v>14</v>
      </c>
    </row>
    <row r="289" spans="1:25">
      <c r="A289" s="8">
        <v>41567</v>
      </c>
      <c r="B289" s="68"/>
      <c r="C289" s="68"/>
      <c r="D289" s="68"/>
      <c r="E289" s="68"/>
      <c r="F289" s="68"/>
      <c r="G289" s="68"/>
      <c r="H289" s="68"/>
      <c r="I289" s="68"/>
      <c r="J289" s="68"/>
      <c r="K289" s="68"/>
      <c r="L289" s="68"/>
      <c r="M289" s="68"/>
      <c r="N289" s="68"/>
      <c r="O289" s="68"/>
      <c r="P289" s="68"/>
      <c r="Q289" s="68"/>
      <c r="R289" s="68">
        <v>14</v>
      </c>
      <c r="S289" s="68"/>
      <c r="T289" s="68"/>
      <c r="U289" s="68"/>
      <c r="V289" s="68"/>
      <c r="W289" s="68"/>
      <c r="X289" s="68"/>
      <c r="Y289" s="68">
        <v>14</v>
      </c>
    </row>
    <row r="290" spans="1:25">
      <c r="A290" s="8">
        <v>41568</v>
      </c>
      <c r="B290" s="68"/>
      <c r="C290" s="68"/>
      <c r="D290" s="68"/>
      <c r="E290" s="68"/>
      <c r="F290" s="68"/>
      <c r="G290" s="68"/>
      <c r="H290" s="68"/>
      <c r="I290" s="68"/>
      <c r="J290" s="68"/>
      <c r="K290" s="68"/>
      <c r="L290" s="68"/>
      <c r="M290" s="68"/>
      <c r="N290" s="68"/>
      <c r="O290" s="68"/>
      <c r="P290" s="68"/>
      <c r="Q290" s="68"/>
      <c r="R290" s="68">
        <v>49</v>
      </c>
      <c r="S290" s="68"/>
      <c r="T290" s="68"/>
      <c r="U290" s="68"/>
      <c r="V290" s="68"/>
      <c r="W290" s="68"/>
      <c r="X290" s="68"/>
      <c r="Y290" s="68">
        <v>49</v>
      </c>
    </row>
    <row r="291" spans="1:25">
      <c r="A291" s="8">
        <v>41569</v>
      </c>
      <c r="B291" s="68"/>
      <c r="C291" s="68"/>
      <c r="D291" s="68"/>
      <c r="E291" s="68"/>
      <c r="F291" s="68"/>
      <c r="G291" s="68"/>
      <c r="H291" s="68"/>
      <c r="I291" s="68"/>
      <c r="J291" s="68"/>
      <c r="K291" s="68"/>
      <c r="L291" s="68"/>
      <c r="M291" s="68"/>
      <c r="N291" s="68"/>
      <c r="O291" s="68"/>
      <c r="P291" s="68"/>
      <c r="Q291" s="68"/>
      <c r="R291" s="68">
        <v>59</v>
      </c>
      <c r="S291" s="68"/>
      <c r="T291" s="68"/>
      <c r="U291" s="68"/>
      <c r="V291" s="68"/>
      <c r="W291" s="68"/>
      <c r="X291" s="68"/>
      <c r="Y291" s="68">
        <v>59</v>
      </c>
    </row>
    <row r="292" spans="1:25">
      <c r="A292" s="8">
        <v>41570</v>
      </c>
      <c r="B292" s="68"/>
      <c r="C292" s="68"/>
      <c r="D292" s="68"/>
      <c r="E292" s="68"/>
      <c r="F292" s="68"/>
      <c r="G292" s="68"/>
      <c r="H292" s="68"/>
      <c r="I292" s="68"/>
      <c r="J292" s="68"/>
      <c r="K292" s="68"/>
      <c r="L292" s="68"/>
      <c r="M292" s="68"/>
      <c r="N292" s="68"/>
      <c r="O292" s="68"/>
      <c r="P292" s="68"/>
      <c r="Q292" s="68"/>
      <c r="R292" s="68">
        <v>32</v>
      </c>
      <c r="S292" s="68"/>
      <c r="T292" s="68"/>
      <c r="U292" s="68"/>
      <c r="V292" s="68"/>
      <c r="W292" s="68"/>
      <c r="X292" s="68"/>
      <c r="Y292" s="68">
        <v>32</v>
      </c>
    </row>
    <row r="293" spans="1:25">
      <c r="A293" s="8">
        <v>41571</v>
      </c>
      <c r="B293" s="68"/>
      <c r="C293" s="68"/>
      <c r="D293" s="68"/>
      <c r="E293" s="68"/>
      <c r="F293" s="68"/>
      <c r="G293" s="68"/>
      <c r="H293" s="68"/>
      <c r="I293" s="68"/>
      <c r="J293" s="68"/>
      <c r="K293" s="68"/>
      <c r="L293" s="68"/>
      <c r="M293" s="68"/>
      <c r="N293" s="68"/>
      <c r="O293" s="68"/>
      <c r="P293" s="68"/>
      <c r="Q293" s="68"/>
      <c r="R293" s="68">
        <v>27</v>
      </c>
      <c r="S293" s="68"/>
      <c r="T293" s="68"/>
      <c r="U293" s="68"/>
      <c r="V293" s="68"/>
      <c r="W293" s="68"/>
      <c r="X293" s="68"/>
      <c r="Y293" s="68">
        <v>27</v>
      </c>
    </row>
    <row r="294" spans="1:25">
      <c r="A294" s="8">
        <v>41572</v>
      </c>
      <c r="B294" s="68"/>
      <c r="C294" s="68"/>
      <c r="D294" s="68"/>
      <c r="E294" s="68"/>
      <c r="F294" s="68"/>
      <c r="G294" s="68"/>
      <c r="H294" s="68"/>
      <c r="I294" s="68"/>
      <c r="J294" s="68"/>
      <c r="K294" s="68"/>
      <c r="L294" s="68"/>
      <c r="M294" s="68"/>
      <c r="N294" s="68"/>
      <c r="O294" s="68"/>
      <c r="P294" s="68"/>
      <c r="Q294" s="68"/>
      <c r="R294" s="68">
        <v>29</v>
      </c>
      <c r="S294" s="68"/>
      <c r="T294" s="68"/>
      <c r="U294" s="68"/>
      <c r="V294" s="68"/>
      <c r="W294" s="68"/>
      <c r="X294" s="68"/>
      <c r="Y294" s="68">
        <v>29</v>
      </c>
    </row>
    <row r="295" spans="1:25">
      <c r="A295" s="8">
        <v>41573</v>
      </c>
      <c r="B295" s="68"/>
      <c r="C295" s="68"/>
      <c r="D295" s="68"/>
      <c r="E295" s="68"/>
      <c r="F295" s="68"/>
      <c r="G295" s="68"/>
      <c r="H295" s="68"/>
      <c r="I295" s="68"/>
      <c r="J295" s="68"/>
      <c r="K295" s="68"/>
      <c r="L295" s="68"/>
      <c r="M295" s="68"/>
      <c r="N295" s="68"/>
      <c r="O295" s="68"/>
      <c r="P295" s="68"/>
      <c r="Q295" s="68"/>
      <c r="R295" s="68">
        <v>37</v>
      </c>
      <c r="S295" s="68"/>
      <c r="T295" s="68"/>
      <c r="U295" s="68"/>
      <c r="V295" s="68"/>
      <c r="W295" s="68"/>
      <c r="X295" s="68"/>
      <c r="Y295" s="68">
        <v>37</v>
      </c>
    </row>
    <row r="296" spans="1:25">
      <c r="A296" s="8">
        <v>41574</v>
      </c>
      <c r="B296" s="68"/>
      <c r="C296" s="68"/>
      <c r="D296" s="68"/>
      <c r="E296" s="68"/>
      <c r="F296" s="68"/>
      <c r="G296" s="68"/>
      <c r="H296" s="68"/>
      <c r="I296" s="68"/>
      <c r="J296" s="68"/>
      <c r="K296" s="68"/>
      <c r="L296" s="68"/>
      <c r="M296" s="68"/>
      <c r="N296" s="68"/>
      <c r="O296" s="68"/>
      <c r="P296" s="68"/>
      <c r="Q296" s="68"/>
      <c r="R296" s="68">
        <v>22</v>
      </c>
      <c r="S296" s="68"/>
      <c r="T296" s="68"/>
      <c r="U296" s="68"/>
      <c r="V296" s="68"/>
      <c r="W296" s="68"/>
      <c r="X296" s="68"/>
      <c r="Y296" s="68">
        <v>22</v>
      </c>
    </row>
    <row r="297" spans="1:25">
      <c r="A297" s="8">
        <v>41575</v>
      </c>
      <c r="B297" s="68"/>
      <c r="C297" s="68"/>
      <c r="D297" s="68"/>
      <c r="E297" s="68"/>
      <c r="F297" s="68"/>
      <c r="G297" s="68"/>
      <c r="H297" s="68"/>
      <c r="I297" s="68"/>
      <c r="J297" s="68"/>
      <c r="K297" s="68"/>
      <c r="L297" s="68"/>
      <c r="M297" s="68"/>
      <c r="N297" s="68"/>
      <c r="O297" s="68"/>
      <c r="P297" s="68"/>
      <c r="Q297" s="68"/>
      <c r="R297" s="68">
        <v>26</v>
      </c>
      <c r="S297" s="68"/>
      <c r="T297" s="68"/>
      <c r="U297" s="68"/>
      <c r="V297" s="68"/>
      <c r="W297" s="68"/>
      <c r="X297" s="68"/>
      <c r="Y297" s="68">
        <v>26</v>
      </c>
    </row>
    <row r="298" spans="1:25">
      <c r="A298" s="8">
        <v>41576</v>
      </c>
      <c r="B298" s="68"/>
      <c r="C298" s="68"/>
      <c r="D298" s="68"/>
      <c r="E298" s="68"/>
      <c r="F298" s="68"/>
      <c r="G298" s="68"/>
      <c r="H298" s="68"/>
      <c r="I298" s="68"/>
      <c r="J298" s="68"/>
      <c r="K298" s="68"/>
      <c r="L298" s="68"/>
      <c r="M298" s="68"/>
      <c r="N298" s="68"/>
      <c r="O298" s="68"/>
      <c r="P298" s="68"/>
      <c r="Q298" s="68"/>
      <c r="R298" s="68">
        <v>19</v>
      </c>
      <c r="S298" s="68"/>
      <c r="T298" s="68"/>
      <c r="U298" s="68"/>
      <c r="V298" s="68"/>
      <c r="W298" s="68"/>
      <c r="X298" s="68"/>
      <c r="Y298" s="68">
        <v>19</v>
      </c>
    </row>
    <row r="299" spans="1:25">
      <c r="A299" s="8">
        <v>41577</v>
      </c>
      <c r="B299" s="68"/>
      <c r="C299" s="68"/>
      <c r="D299" s="68"/>
      <c r="E299" s="68"/>
      <c r="F299" s="68"/>
      <c r="G299" s="68"/>
      <c r="H299" s="68"/>
      <c r="I299" s="68"/>
      <c r="J299" s="68"/>
      <c r="K299" s="68"/>
      <c r="L299" s="68"/>
      <c r="M299" s="68"/>
      <c r="N299" s="68"/>
      <c r="O299" s="68"/>
      <c r="P299" s="68"/>
      <c r="Q299" s="68"/>
      <c r="R299" s="68">
        <v>79</v>
      </c>
      <c r="S299" s="68"/>
      <c r="T299" s="68"/>
      <c r="U299" s="68"/>
      <c r="V299" s="68"/>
      <c r="W299" s="68"/>
      <c r="X299" s="68"/>
      <c r="Y299" s="68">
        <v>79</v>
      </c>
    </row>
    <row r="300" spans="1:25">
      <c r="A300" s="8">
        <v>41578</v>
      </c>
      <c r="B300" s="68"/>
      <c r="C300" s="68"/>
      <c r="D300" s="68"/>
      <c r="E300" s="68"/>
      <c r="F300" s="68"/>
      <c r="G300" s="68"/>
      <c r="H300" s="68"/>
      <c r="I300" s="68"/>
      <c r="J300" s="68"/>
      <c r="K300" s="68"/>
      <c r="L300" s="68"/>
      <c r="M300" s="68"/>
      <c r="N300" s="68"/>
      <c r="O300" s="68"/>
      <c r="P300" s="68"/>
      <c r="Q300" s="68"/>
      <c r="R300" s="68">
        <v>57</v>
      </c>
      <c r="S300" s="68"/>
      <c r="T300" s="68"/>
      <c r="U300" s="68"/>
      <c r="V300" s="68"/>
      <c r="W300" s="68"/>
      <c r="X300" s="68"/>
      <c r="Y300" s="68">
        <v>57</v>
      </c>
    </row>
    <row r="301" spans="1:25">
      <c r="A301" s="8">
        <v>41579</v>
      </c>
      <c r="B301" s="68"/>
      <c r="C301" s="68"/>
      <c r="D301" s="68"/>
      <c r="E301" s="68"/>
      <c r="F301" s="68"/>
      <c r="G301" s="68"/>
      <c r="H301" s="68"/>
      <c r="I301" s="68"/>
      <c r="J301" s="68"/>
      <c r="K301" s="68"/>
      <c r="L301" s="68"/>
      <c r="M301" s="68"/>
      <c r="N301" s="68"/>
      <c r="O301" s="68"/>
      <c r="P301" s="68"/>
      <c r="Q301" s="68"/>
      <c r="R301" s="68">
        <v>26</v>
      </c>
      <c r="S301" s="68"/>
      <c r="T301" s="68"/>
      <c r="U301" s="68"/>
      <c r="V301" s="68"/>
      <c r="W301" s="68"/>
      <c r="X301" s="68"/>
      <c r="Y301" s="68">
        <v>26</v>
      </c>
    </row>
    <row r="302" spans="1:25">
      <c r="A302" s="8">
        <v>41580</v>
      </c>
      <c r="B302" s="68"/>
      <c r="C302" s="68"/>
      <c r="D302" s="68"/>
      <c r="E302" s="68"/>
      <c r="F302" s="68"/>
      <c r="G302" s="68"/>
      <c r="H302" s="68"/>
      <c r="I302" s="68"/>
      <c r="J302" s="68"/>
      <c r="K302" s="68"/>
      <c r="L302" s="68"/>
      <c r="M302" s="68"/>
      <c r="N302" s="68"/>
      <c r="O302" s="68"/>
      <c r="P302" s="68"/>
      <c r="Q302" s="68"/>
      <c r="R302" s="68">
        <v>16</v>
      </c>
      <c r="S302" s="68"/>
      <c r="T302" s="68"/>
      <c r="U302" s="68"/>
      <c r="V302" s="68"/>
      <c r="W302" s="68"/>
      <c r="X302" s="68"/>
      <c r="Y302" s="68">
        <v>16</v>
      </c>
    </row>
    <row r="303" spans="1:25">
      <c r="A303" s="8">
        <v>41581</v>
      </c>
      <c r="B303" s="68"/>
      <c r="C303" s="68"/>
      <c r="D303" s="68"/>
      <c r="E303" s="68"/>
      <c r="F303" s="68"/>
      <c r="G303" s="68"/>
      <c r="H303" s="68"/>
      <c r="I303" s="68"/>
      <c r="J303" s="68"/>
      <c r="K303" s="68"/>
      <c r="L303" s="68"/>
      <c r="M303" s="68"/>
      <c r="N303" s="68"/>
      <c r="O303" s="68"/>
      <c r="P303" s="68"/>
      <c r="Q303" s="68"/>
      <c r="R303" s="68">
        <v>29</v>
      </c>
      <c r="S303" s="68"/>
      <c r="T303" s="68"/>
      <c r="U303" s="68"/>
      <c r="V303" s="68"/>
      <c r="W303" s="68"/>
      <c r="X303" s="68"/>
      <c r="Y303" s="68">
        <v>29</v>
      </c>
    </row>
    <row r="304" spans="1:25">
      <c r="A304" s="8">
        <v>41582</v>
      </c>
      <c r="B304" s="68"/>
      <c r="C304" s="68"/>
      <c r="D304" s="68"/>
      <c r="E304" s="68"/>
      <c r="F304" s="68"/>
      <c r="G304" s="68"/>
      <c r="H304" s="68"/>
      <c r="I304" s="68"/>
      <c r="J304" s="68"/>
      <c r="K304" s="68"/>
      <c r="L304" s="68"/>
      <c r="M304" s="68"/>
      <c r="N304" s="68"/>
      <c r="O304" s="68"/>
      <c r="P304" s="68"/>
      <c r="Q304" s="68"/>
      <c r="R304" s="68">
        <v>20</v>
      </c>
      <c r="S304" s="68"/>
      <c r="T304" s="68"/>
      <c r="U304" s="68"/>
      <c r="V304" s="68"/>
      <c r="W304" s="68"/>
      <c r="X304" s="68"/>
      <c r="Y304" s="68">
        <v>20</v>
      </c>
    </row>
    <row r="305" spans="1:25">
      <c r="A305" s="8">
        <v>41583</v>
      </c>
      <c r="B305" s="68"/>
      <c r="C305" s="68"/>
      <c r="D305" s="68"/>
      <c r="E305" s="68"/>
      <c r="F305" s="68"/>
      <c r="G305" s="68"/>
      <c r="H305" s="68"/>
      <c r="I305" s="68"/>
      <c r="J305" s="68"/>
      <c r="K305" s="68"/>
      <c r="L305" s="68"/>
      <c r="M305" s="68"/>
      <c r="N305" s="68"/>
      <c r="O305" s="68"/>
      <c r="P305" s="68"/>
      <c r="Q305" s="68"/>
      <c r="R305" s="68"/>
      <c r="S305" s="68">
        <v>55</v>
      </c>
      <c r="T305" s="68"/>
      <c r="U305" s="68"/>
      <c r="V305" s="68"/>
      <c r="W305" s="68"/>
      <c r="X305" s="68"/>
      <c r="Y305" s="68">
        <v>55</v>
      </c>
    </row>
    <row r="306" spans="1:25">
      <c r="A306" s="8">
        <v>41584</v>
      </c>
      <c r="B306" s="68"/>
      <c r="C306" s="68"/>
      <c r="D306" s="68"/>
      <c r="E306" s="68"/>
      <c r="F306" s="68"/>
      <c r="G306" s="68"/>
      <c r="H306" s="68"/>
      <c r="I306" s="68"/>
      <c r="J306" s="68"/>
      <c r="K306" s="68"/>
      <c r="L306" s="68"/>
      <c r="M306" s="68"/>
      <c r="N306" s="68"/>
      <c r="O306" s="68"/>
      <c r="P306" s="68"/>
      <c r="Q306" s="68"/>
      <c r="R306" s="68"/>
      <c r="S306" s="68">
        <v>29</v>
      </c>
      <c r="T306" s="68"/>
      <c r="U306" s="68"/>
      <c r="V306" s="68"/>
      <c r="W306" s="68"/>
      <c r="X306" s="68"/>
      <c r="Y306" s="68">
        <v>29</v>
      </c>
    </row>
    <row r="307" spans="1:25">
      <c r="A307" s="8">
        <v>41585</v>
      </c>
      <c r="B307" s="68"/>
      <c r="C307" s="68"/>
      <c r="D307" s="68"/>
      <c r="E307" s="68"/>
      <c r="F307" s="68"/>
      <c r="G307" s="68"/>
      <c r="H307" s="68"/>
      <c r="I307" s="68"/>
      <c r="J307" s="68"/>
      <c r="K307" s="68"/>
      <c r="L307" s="68"/>
      <c r="M307" s="68"/>
      <c r="N307" s="68"/>
      <c r="O307" s="68"/>
      <c r="P307" s="68"/>
      <c r="Q307" s="68"/>
      <c r="R307" s="68"/>
      <c r="S307" s="68">
        <v>17</v>
      </c>
      <c r="T307" s="68"/>
      <c r="U307" s="68"/>
      <c r="V307" s="68"/>
      <c r="W307" s="68"/>
      <c r="X307" s="68"/>
      <c r="Y307" s="68">
        <v>17</v>
      </c>
    </row>
    <row r="308" spans="1:25">
      <c r="A308" s="8">
        <v>41586</v>
      </c>
      <c r="B308" s="68"/>
      <c r="C308" s="68"/>
      <c r="D308" s="68"/>
      <c r="E308" s="68"/>
      <c r="F308" s="68"/>
      <c r="G308" s="68"/>
      <c r="H308" s="68"/>
      <c r="I308" s="68"/>
      <c r="J308" s="68"/>
      <c r="K308" s="68"/>
      <c r="L308" s="68"/>
      <c r="M308" s="68"/>
      <c r="N308" s="68"/>
      <c r="O308" s="68"/>
      <c r="P308" s="68"/>
      <c r="Q308" s="68"/>
      <c r="R308" s="68"/>
      <c r="S308" s="68">
        <v>22</v>
      </c>
      <c r="T308" s="68"/>
      <c r="U308" s="68"/>
      <c r="V308" s="68"/>
      <c r="W308" s="68"/>
      <c r="X308" s="68"/>
      <c r="Y308" s="68">
        <v>22</v>
      </c>
    </row>
    <row r="309" spans="1:25">
      <c r="A309" s="8">
        <v>41587</v>
      </c>
      <c r="B309" s="68"/>
      <c r="C309" s="68"/>
      <c r="D309" s="68"/>
      <c r="E309" s="68"/>
      <c r="F309" s="68"/>
      <c r="G309" s="68"/>
      <c r="H309" s="68"/>
      <c r="I309" s="68"/>
      <c r="J309" s="68"/>
      <c r="K309" s="68"/>
      <c r="L309" s="68"/>
      <c r="M309" s="68"/>
      <c r="N309" s="68"/>
      <c r="O309" s="68"/>
      <c r="P309" s="68"/>
      <c r="Q309" s="68"/>
      <c r="R309" s="68"/>
      <c r="S309" s="68">
        <v>12</v>
      </c>
      <c r="T309" s="68"/>
      <c r="U309" s="68"/>
      <c r="V309" s="68"/>
      <c r="W309" s="68"/>
      <c r="X309" s="68"/>
      <c r="Y309" s="68">
        <v>12</v>
      </c>
    </row>
    <row r="310" spans="1:25">
      <c r="A310" s="8">
        <v>41588</v>
      </c>
      <c r="B310" s="68"/>
      <c r="C310" s="68"/>
      <c r="D310" s="68"/>
      <c r="E310" s="68"/>
      <c r="F310" s="68"/>
      <c r="G310" s="68"/>
      <c r="H310" s="68"/>
      <c r="I310" s="68"/>
      <c r="J310" s="68"/>
      <c r="K310" s="68"/>
      <c r="L310" s="68"/>
      <c r="M310" s="68"/>
      <c r="N310" s="68"/>
      <c r="O310" s="68"/>
      <c r="P310" s="68"/>
      <c r="Q310" s="68"/>
      <c r="R310" s="68"/>
      <c r="S310" s="68">
        <v>20</v>
      </c>
      <c r="T310" s="68"/>
      <c r="U310" s="68"/>
      <c r="V310" s="68"/>
      <c r="W310" s="68"/>
      <c r="X310" s="68"/>
      <c r="Y310" s="68">
        <v>20</v>
      </c>
    </row>
    <row r="311" spans="1:25">
      <c r="A311" s="8">
        <v>41589</v>
      </c>
      <c r="B311" s="68"/>
      <c r="C311" s="68"/>
      <c r="D311" s="68"/>
      <c r="E311" s="68"/>
      <c r="F311" s="68"/>
      <c r="G311" s="68"/>
      <c r="H311" s="68"/>
      <c r="I311" s="68"/>
      <c r="J311" s="68"/>
      <c r="K311" s="68"/>
      <c r="L311" s="68"/>
      <c r="M311" s="68"/>
      <c r="N311" s="68"/>
      <c r="O311" s="68"/>
      <c r="P311" s="68"/>
      <c r="Q311" s="68"/>
      <c r="R311" s="68"/>
      <c r="S311" s="68">
        <v>13</v>
      </c>
      <c r="T311" s="68"/>
      <c r="U311" s="68"/>
      <c r="V311" s="68"/>
      <c r="W311" s="68"/>
      <c r="X311" s="68"/>
      <c r="Y311" s="68">
        <v>13</v>
      </c>
    </row>
    <row r="312" spans="1:25">
      <c r="A312" s="8">
        <v>41590</v>
      </c>
      <c r="B312" s="68"/>
      <c r="C312" s="68"/>
      <c r="D312" s="68"/>
      <c r="E312" s="68"/>
      <c r="F312" s="68"/>
      <c r="G312" s="68"/>
      <c r="H312" s="68"/>
      <c r="I312" s="68"/>
      <c r="J312" s="68"/>
      <c r="K312" s="68"/>
      <c r="L312" s="68"/>
      <c r="M312" s="68"/>
      <c r="N312" s="68"/>
      <c r="O312" s="68"/>
      <c r="P312" s="68"/>
      <c r="Q312" s="68"/>
      <c r="R312" s="68"/>
      <c r="S312" s="68">
        <v>20</v>
      </c>
      <c r="T312" s="68"/>
      <c r="U312" s="68"/>
      <c r="V312" s="68"/>
      <c r="W312" s="68"/>
      <c r="X312" s="68"/>
      <c r="Y312" s="68">
        <v>20</v>
      </c>
    </row>
    <row r="313" spans="1:25">
      <c r="A313" s="8">
        <v>41591</v>
      </c>
      <c r="B313" s="68"/>
      <c r="C313" s="68"/>
      <c r="D313" s="68"/>
      <c r="E313" s="68"/>
      <c r="F313" s="68"/>
      <c r="G313" s="68"/>
      <c r="H313" s="68"/>
      <c r="I313" s="68"/>
      <c r="J313" s="68"/>
      <c r="K313" s="68"/>
      <c r="L313" s="68"/>
      <c r="M313" s="68"/>
      <c r="N313" s="68"/>
      <c r="O313" s="68"/>
      <c r="P313" s="68"/>
      <c r="Q313" s="68"/>
      <c r="R313" s="68"/>
      <c r="S313" s="68">
        <v>15</v>
      </c>
      <c r="T313" s="68"/>
      <c r="U313" s="68"/>
      <c r="V313" s="68"/>
      <c r="W313" s="68"/>
      <c r="X313" s="68"/>
      <c r="Y313" s="68">
        <v>15</v>
      </c>
    </row>
    <row r="314" spans="1:25">
      <c r="A314" s="8">
        <v>41592</v>
      </c>
      <c r="B314" s="68"/>
      <c r="C314" s="68"/>
      <c r="D314" s="68"/>
      <c r="E314" s="68"/>
      <c r="F314" s="68"/>
      <c r="G314" s="68"/>
      <c r="H314" s="68"/>
      <c r="I314" s="68"/>
      <c r="J314" s="68"/>
      <c r="K314" s="68"/>
      <c r="L314" s="68"/>
      <c r="M314" s="68"/>
      <c r="N314" s="68"/>
      <c r="O314" s="68"/>
      <c r="P314" s="68"/>
      <c r="Q314" s="68"/>
      <c r="R314" s="68"/>
      <c r="S314" s="68">
        <v>30</v>
      </c>
      <c r="T314" s="68"/>
      <c r="U314" s="68"/>
      <c r="V314" s="68"/>
      <c r="W314" s="68"/>
      <c r="X314" s="68"/>
      <c r="Y314" s="68">
        <v>30</v>
      </c>
    </row>
    <row r="315" spans="1:25">
      <c r="A315" s="8">
        <v>41593</v>
      </c>
      <c r="B315" s="68"/>
      <c r="C315" s="68"/>
      <c r="D315" s="68"/>
      <c r="E315" s="68"/>
      <c r="F315" s="68"/>
      <c r="G315" s="68"/>
      <c r="H315" s="68"/>
      <c r="I315" s="68"/>
      <c r="J315" s="68"/>
      <c r="K315" s="68"/>
      <c r="L315" s="68"/>
      <c r="M315" s="68"/>
      <c r="N315" s="68"/>
      <c r="O315" s="68"/>
      <c r="P315" s="68"/>
      <c r="Q315" s="68"/>
      <c r="R315" s="68"/>
      <c r="S315" s="68">
        <v>23</v>
      </c>
      <c r="T315" s="68"/>
      <c r="U315" s="68"/>
      <c r="V315" s="68"/>
      <c r="W315" s="68"/>
      <c r="X315" s="68"/>
      <c r="Y315" s="68">
        <v>23</v>
      </c>
    </row>
    <row r="316" spans="1:25">
      <c r="A316" s="8">
        <v>41594</v>
      </c>
      <c r="B316" s="68"/>
      <c r="C316" s="68"/>
      <c r="D316" s="68"/>
      <c r="E316" s="68"/>
      <c r="F316" s="68"/>
      <c r="G316" s="68"/>
      <c r="H316" s="68"/>
      <c r="I316" s="68"/>
      <c r="J316" s="68"/>
      <c r="K316" s="68"/>
      <c r="L316" s="68"/>
      <c r="M316" s="68"/>
      <c r="N316" s="68"/>
      <c r="O316" s="68"/>
      <c r="P316" s="68"/>
      <c r="Q316" s="68"/>
      <c r="R316" s="68"/>
      <c r="S316" s="68">
        <v>12</v>
      </c>
      <c r="T316" s="68"/>
      <c r="U316" s="68"/>
      <c r="V316" s="68"/>
      <c r="W316" s="68"/>
      <c r="X316" s="68"/>
      <c r="Y316" s="68">
        <v>12</v>
      </c>
    </row>
    <row r="317" spans="1:25">
      <c r="A317" s="8">
        <v>41595</v>
      </c>
      <c r="B317" s="68"/>
      <c r="C317" s="68"/>
      <c r="D317" s="68"/>
      <c r="E317" s="68"/>
      <c r="F317" s="68"/>
      <c r="G317" s="68"/>
      <c r="H317" s="68"/>
      <c r="I317" s="68"/>
      <c r="J317" s="68"/>
      <c r="K317" s="68"/>
      <c r="L317" s="68"/>
      <c r="M317" s="68"/>
      <c r="N317" s="68"/>
      <c r="O317" s="68"/>
      <c r="P317" s="68"/>
      <c r="Q317" s="68"/>
      <c r="R317" s="68"/>
      <c r="S317" s="68">
        <v>13</v>
      </c>
      <c r="T317" s="68"/>
      <c r="U317" s="68"/>
      <c r="V317" s="68"/>
      <c r="W317" s="68"/>
      <c r="X317" s="68"/>
      <c r="Y317" s="68">
        <v>13</v>
      </c>
    </row>
    <row r="318" spans="1:25">
      <c r="A318" s="8">
        <v>41596</v>
      </c>
      <c r="B318" s="68"/>
      <c r="C318" s="68"/>
      <c r="D318" s="68"/>
      <c r="E318" s="68"/>
      <c r="F318" s="68"/>
      <c r="G318" s="68"/>
      <c r="H318" s="68"/>
      <c r="I318" s="68"/>
      <c r="J318" s="68"/>
      <c r="K318" s="68"/>
      <c r="L318" s="68"/>
      <c r="M318" s="68"/>
      <c r="N318" s="68"/>
      <c r="O318" s="68"/>
      <c r="P318" s="68"/>
      <c r="Q318" s="68"/>
      <c r="R318" s="68"/>
      <c r="S318" s="68">
        <v>22</v>
      </c>
      <c r="T318" s="68"/>
      <c r="U318" s="68"/>
      <c r="V318" s="68"/>
      <c r="W318" s="68"/>
      <c r="X318" s="68"/>
      <c r="Y318" s="68">
        <v>22</v>
      </c>
    </row>
    <row r="319" spans="1:25">
      <c r="A319" s="8">
        <v>41597</v>
      </c>
      <c r="B319" s="68"/>
      <c r="C319" s="68"/>
      <c r="D319" s="68"/>
      <c r="E319" s="68"/>
      <c r="F319" s="68"/>
      <c r="G319" s="68"/>
      <c r="H319" s="68"/>
      <c r="I319" s="68"/>
      <c r="J319" s="68"/>
      <c r="K319" s="68"/>
      <c r="L319" s="68"/>
      <c r="M319" s="68"/>
      <c r="N319" s="68"/>
      <c r="O319" s="68"/>
      <c r="P319" s="68"/>
      <c r="Q319" s="68"/>
      <c r="R319" s="68"/>
      <c r="S319" s="68">
        <v>33</v>
      </c>
      <c r="T319" s="68"/>
      <c r="U319" s="68"/>
      <c r="V319" s="68"/>
      <c r="W319" s="68"/>
      <c r="X319" s="68"/>
      <c r="Y319" s="68">
        <v>33</v>
      </c>
    </row>
    <row r="320" spans="1:25">
      <c r="A320" s="8">
        <v>41598</v>
      </c>
      <c r="B320" s="68"/>
      <c r="C320" s="68"/>
      <c r="D320" s="68"/>
      <c r="E320" s="68"/>
      <c r="F320" s="68"/>
      <c r="G320" s="68"/>
      <c r="H320" s="68"/>
      <c r="I320" s="68"/>
      <c r="J320" s="68"/>
      <c r="K320" s="68"/>
      <c r="L320" s="68"/>
      <c r="M320" s="68"/>
      <c r="N320" s="68"/>
      <c r="O320" s="68"/>
      <c r="P320" s="68"/>
      <c r="Q320" s="68"/>
      <c r="R320" s="68"/>
      <c r="S320" s="68">
        <v>29</v>
      </c>
      <c r="T320" s="68"/>
      <c r="U320" s="68"/>
      <c r="V320" s="68"/>
      <c r="W320" s="68"/>
      <c r="X320" s="68"/>
      <c r="Y320" s="68">
        <v>29</v>
      </c>
    </row>
    <row r="321" spans="1:25">
      <c r="A321" s="8">
        <v>41599</v>
      </c>
      <c r="B321" s="68"/>
      <c r="C321" s="68"/>
      <c r="D321" s="68"/>
      <c r="E321" s="68"/>
      <c r="F321" s="68"/>
      <c r="G321" s="68"/>
      <c r="H321" s="68"/>
      <c r="I321" s="68"/>
      <c r="J321" s="68"/>
      <c r="K321" s="68"/>
      <c r="L321" s="68"/>
      <c r="M321" s="68"/>
      <c r="N321" s="68"/>
      <c r="O321" s="68"/>
      <c r="P321" s="68"/>
      <c r="Q321" s="68"/>
      <c r="R321" s="68"/>
      <c r="S321" s="68">
        <v>49</v>
      </c>
      <c r="T321" s="68"/>
      <c r="U321" s="68"/>
      <c r="V321" s="68"/>
      <c r="W321" s="68"/>
      <c r="X321" s="68"/>
      <c r="Y321" s="68">
        <v>49</v>
      </c>
    </row>
    <row r="322" spans="1:25">
      <c r="A322" s="8">
        <v>41600</v>
      </c>
      <c r="B322" s="68"/>
      <c r="C322" s="68"/>
      <c r="D322" s="68"/>
      <c r="E322" s="68"/>
      <c r="F322" s="68"/>
      <c r="G322" s="68"/>
      <c r="H322" s="68"/>
      <c r="I322" s="68"/>
      <c r="J322" s="68"/>
      <c r="K322" s="68"/>
      <c r="L322" s="68"/>
      <c r="M322" s="68"/>
      <c r="N322" s="68"/>
      <c r="O322" s="68"/>
      <c r="P322" s="68"/>
      <c r="Q322" s="68"/>
      <c r="R322" s="68"/>
      <c r="S322" s="68">
        <v>25</v>
      </c>
      <c r="T322" s="68"/>
      <c r="U322" s="68"/>
      <c r="V322" s="68"/>
      <c r="W322" s="68"/>
      <c r="X322" s="68"/>
      <c r="Y322" s="68">
        <v>25</v>
      </c>
    </row>
    <row r="323" spans="1:25">
      <c r="A323" s="8">
        <v>41601</v>
      </c>
      <c r="B323" s="68"/>
      <c r="C323" s="68"/>
      <c r="D323" s="68"/>
      <c r="E323" s="68"/>
      <c r="F323" s="68"/>
      <c r="G323" s="68"/>
      <c r="H323" s="68"/>
      <c r="I323" s="68"/>
      <c r="J323" s="68"/>
      <c r="K323" s="68"/>
      <c r="L323" s="68"/>
      <c r="M323" s="68"/>
      <c r="N323" s="68"/>
      <c r="O323" s="68"/>
      <c r="P323" s="68"/>
      <c r="Q323" s="68"/>
      <c r="R323" s="68"/>
      <c r="S323" s="68">
        <v>21</v>
      </c>
      <c r="T323" s="68"/>
      <c r="U323" s="68"/>
      <c r="V323" s="68"/>
      <c r="W323" s="68"/>
      <c r="X323" s="68"/>
      <c r="Y323" s="68">
        <v>21</v>
      </c>
    </row>
    <row r="324" spans="1:25">
      <c r="A324" s="8">
        <v>41602</v>
      </c>
      <c r="B324" s="68"/>
      <c r="C324" s="68"/>
      <c r="D324" s="68"/>
      <c r="E324" s="68"/>
      <c r="F324" s="68"/>
      <c r="G324" s="68"/>
      <c r="H324" s="68"/>
      <c r="I324" s="68"/>
      <c r="J324" s="68"/>
      <c r="K324" s="68"/>
      <c r="L324" s="68"/>
      <c r="M324" s="68"/>
      <c r="N324" s="68"/>
      <c r="O324" s="68"/>
      <c r="P324" s="68"/>
      <c r="Q324" s="68"/>
      <c r="R324" s="68"/>
      <c r="S324" s="68">
        <v>23</v>
      </c>
      <c r="T324" s="68"/>
      <c r="U324" s="68"/>
      <c r="V324" s="68"/>
      <c r="W324" s="68"/>
      <c r="X324" s="68"/>
      <c r="Y324" s="68">
        <v>23</v>
      </c>
    </row>
    <row r="325" spans="1:25">
      <c r="A325" s="8">
        <v>41603</v>
      </c>
      <c r="B325" s="68"/>
      <c r="C325" s="68"/>
      <c r="D325" s="68"/>
      <c r="E325" s="68"/>
      <c r="F325" s="68"/>
      <c r="G325" s="68"/>
      <c r="H325" s="68"/>
      <c r="I325" s="68"/>
      <c r="J325" s="68"/>
      <c r="K325" s="68"/>
      <c r="L325" s="68"/>
      <c r="M325" s="68"/>
      <c r="N325" s="68"/>
      <c r="O325" s="68"/>
      <c r="P325" s="68"/>
      <c r="Q325" s="68"/>
      <c r="R325" s="68"/>
      <c r="S325" s="68">
        <v>13</v>
      </c>
      <c r="T325" s="68"/>
      <c r="U325" s="68"/>
      <c r="V325" s="68"/>
      <c r="W325" s="68"/>
      <c r="X325" s="68"/>
      <c r="Y325" s="68">
        <v>13</v>
      </c>
    </row>
    <row r="326" spans="1:25">
      <c r="A326" s="8">
        <v>41604</v>
      </c>
      <c r="B326" s="68"/>
      <c r="C326" s="68"/>
      <c r="D326" s="68"/>
      <c r="E326" s="68"/>
      <c r="F326" s="68"/>
      <c r="G326" s="68"/>
      <c r="H326" s="68"/>
      <c r="I326" s="68"/>
      <c r="J326" s="68"/>
      <c r="K326" s="68"/>
      <c r="L326" s="68"/>
      <c r="M326" s="68"/>
      <c r="N326" s="68"/>
      <c r="O326" s="68"/>
      <c r="P326" s="68"/>
      <c r="Q326" s="68"/>
      <c r="R326" s="68"/>
      <c r="S326" s="68">
        <v>64</v>
      </c>
      <c r="T326" s="68"/>
      <c r="U326" s="68"/>
      <c r="V326" s="68"/>
      <c r="W326" s="68"/>
      <c r="X326" s="68"/>
      <c r="Y326" s="68">
        <v>64</v>
      </c>
    </row>
    <row r="327" spans="1:25">
      <c r="A327" s="8">
        <v>41605</v>
      </c>
      <c r="B327" s="68"/>
      <c r="C327" s="68"/>
      <c r="D327" s="68"/>
      <c r="E327" s="68"/>
      <c r="F327" s="68"/>
      <c r="G327" s="68"/>
      <c r="H327" s="68"/>
      <c r="I327" s="68"/>
      <c r="J327" s="68"/>
      <c r="K327" s="68"/>
      <c r="L327" s="68"/>
      <c r="M327" s="68"/>
      <c r="N327" s="68"/>
      <c r="O327" s="68"/>
      <c r="P327" s="68"/>
      <c r="Q327" s="68"/>
      <c r="R327" s="68"/>
      <c r="S327" s="68">
        <v>22</v>
      </c>
      <c r="T327" s="68"/>
      <c r="U327" s="68"/>
      <c r="V327" s="68"/>
      <c r="W327" s="68"/>
      <c r="X327" s="68"/>
      <c r="Y327" s="68">
        <v>22</v>
      </c>
    </row>
    <row r="328" spans="1:25">
      <c r="A328" s="8">
        <v>41606</v>
      </c>
      <c r="B328" s="68"/>
      <c r="C328" s="68"/>
      <c r="D328" s="68"/>
      <c r="E328" s="68"/>
      <c r="F328" s="68"/>
      <c r="G328" s="68"/>
      <c r="H328" s="68"/>
      <c r="I328" s="68"/>
      <c r="J328" s="68"/>
      <c r="K328" s="68"/>
      <c r="L328" s="68"/>
      <c r="M328" s="68"/>
      <c r="N328" s="68"/>
      <c r="O328" s="68"/>
      <c r="P328" s="68"/>
      <c r="Q328" s="68"/>
      <c r="R328" s="68"/>
      <c r="S328" s="68">
        <v>107</v>
      </c>
      <c r="T328" s="68"/>
      <c r="U328" s="68"/>
      <c r="V328" s="68"/>
      <c r="W328" s="68"/>
      <c r="X328" s="68"/>
      <c r="Y328" s="68">
        <v>107</v>
      </c>
    </row>
    <row r="329" spans="1:25">
      <c r="A329" s="8">
        <v>41607</v>
      </c>
      <c r="B329" s="68"/>
      <c r="C329" s="68"/>
      <c r="D329" s="68"/>
      <c r="E329" s="68"/>
      <c r="F329" s="68"/>
      <c r="G329" s="68"/>
      <c r="H329" s="68"/>
      <c r="I329" s="68"/>
      <c r="J329" s="68"/>
      <c r="K329" s="68"/>
      <c r="L329" s="68"/>
      <c r="M329" s="68"/>
      <c r="N329" s="68"/>
      <c r="O329" s="68"/>
      <c r="P329" s="68"/>
      <c r="Q329" s="68"/>
      <c r="R329" s="68"/>
      <c r="S329" s="68">
        <v>316</v>
      </c>
      <c r="T329" s="68"/>
      <c r="U329" s="68"/>
      <c r="V329" s="68"/>
      <c r="W329" s="68"/>
      <c r="X329" s="68"/>
      <c r="Y329" s="68">
        <v>316</v>
      </c>
    </row>
    <row r="330" spans="1:25">
      <c r="A330" s="8">
        <v>41608</v>
      </c>
      <c r="B330" s="68"/>
      <c r="C330" s="68"/>
      <c r="D330" s="68"/>
      <c r="E330" s="68"/>
      <c r="F330" s="68"/>
      <c r="G330" s="68"/>
      <c r="H330" s="68"/>
      <c r="I330" s="68"/>
      <c r="J330" s="68"/>
      <c r="K330" s="68"/>
      <c r="L330" s="68"/>
      <c r="M330" s="68"/>
      <c r="N330" s="68"/>
      <c r="O330" s="68"/>
      <c r="P330" s="68"/>
      <c r="Q330" s="68"/>
      <c r="R330" s="68"/>
      <c r="S330" s="68">
        <v>77</v>
      </c>
      <c r="T330" s="68"/>
      <c r="U330" s="68"/>
      <c r="V330" s="68"/>
      <c r="W330" s="68"/>
      <c r="X330" s="68"/>
      <c r="Y330" s="68">
        <v>77</v>
      </c>
    </row>
    <row r="331" spans="1:25">
      <c r="A331" s="8">
        <v>41609</v>
      </c>
      <c r="B331" s="68"/>
      <c r="C331" s="68"/>
      <c r="D331" s="68"/>
      <c r="E331" s="68"/>
      <c r="F331" s="68"/>
      <c r="G331" s="68"/>
      <c r="H331" s="68"/>
      <c r="I331" s="68"/>
      <c r="J331" s="68"/>
      <c r="K331" s="68"/>
      <c r="L331" s="68"/>
      <c r="M331" s="68"/>
      <c r="N331" s="68"/>
      <c r="O331" s="68"/>
      <c r="P331" s="68"/>
      <c r="Q331" s="68"/>
      <c r="R331" s="68"/>
      <c r="S331" s="68">
        <v>36</v>
      </c>
      <c r="T331" s="68"/>
      <c r="U331" s="68"/>
      <c r="V331" s="68"/>
      <c r="W331" s="68"/>
      <c r="X331" s="68"/>
      <c r="Y331" s="68">
        <v>36</v>
      </c>
    </row>
    <row r="332" spans="1:25">
      <c r="A332" s="8">
        <v>41610</v>
      </c>
      <c r="B332" s="68"/>
      <c r="C332" s="68"/>
      <c r="D332" s="68"/>
      <c r="E332" s="68"/>
      <c r="F332" s="68"/>
      <c r="G332" s="68"/>
      <c r="H332" s="68"/>
      <c r="I332" s="68"/>
      <c r="J332" s="68"/>
      <c r="K332" s="68"/>
      <c r="L332" s="68"/>
      <c r="M332" s="68"/>
      <c r="N332" s="68"/>
      <c r="O332" s="68"/>
      <c r="P332" s="68"/>
      <c r="Q332" s="68"/>
      <c r="R332" s="68"/>
      <c r="S332" s="68">
        <v>58</v>
      </c>
      <c r="T332" s="68"/>
      <c r="U332" s="68"/>
      <c r="V332" s="68"/>
      <c r="W332" s="68"/>
      <c r="X332" s="68"/>
      <c r="Y332" s="68">
        <v>58</v>
      </c>
    </row>
    <row r="333" spans="1:25">
      <c r="A333" s="8">
        <v>41611</v>
      </c>
      <c r="B333" s="68"/>
      <c r="C333" s="68"/>
      <c r="D333" s="68"/>
      <c r="E333" s="68"/>
      <c r="F333" s="68"/>
      <c r="G333" s="68"/>
      <c r="H333" s="68"/>
      <c r="I333" s="68"/>
      <c r="J333" s="68"/>
      <c r="K333" s="68"/>
      <c r="L333" s="68"/>
      <c r="M333" s="68"/>
      <c r="N333" s="68"/>
      <c r="O333" s="68"/>
      <c r="P333" s="68"/>
      <c r="Q333" s="68"/>
      <c r="R333" s="68"/>
      <c r="S333" s="68">
        <v>13</v>
      </c>
      <c r="T333" s="68"/>
      <c r="U333" s="68"/>
      <c r="V333" s="68"/>
      <c r="W333" s="68"/>
      <c r="X333" s="68"/>
      <c r="Y333" s="68">
        <v>13</v>
      </c>
    </row>
    <row r="334" spans="1:25">
      <c r="A334" s="8">
        <v>41612</v>
      </c>
      <c r="B334" s="68"/>
      <c r="C334" s="68"/>
      <c r="D334" s="68"/>
      <c r="E334" s="68"/>
      <c r="F334" s="68"/>
      <c r="G334" s="68"/>
      <c r="H334" s="68"/>
      <c r="I334" s="68"/>
      <c r="J334" s="68"/>
      <c r="K334" s="68"/>
      <c r="L334" s="68"/>
      <c r="M334" s="68"/>
      <c r="N334" s="68"/>
      <c r="O334" s="68"/>
      <c r="P334" s="68"/>
      <c r="Q334" s="68"/>
      <c r="R334" s="68"/>
      <c r="S334" s="68">
        <v>5</v>
      </c>
      <c r="T334" s="68"/>
      <c r="U334" s="68"/>
      <c r="V334" s="68"/>
      <c r="W334" s="68"/>
      <c r="X334" s="68"/>
      <c r="Y334" s="68">
        <v>5</v>
      </c>
    </row>
    <row r="335" spans="1:25">
      <c r="A335" s="8">
        <v>41613</v>
      </c>
      <c r="B335" s="68"/>
      <c r="C335" s="68"/>
      <c r="D335" s="68"/>
      <c r="E335" s="68"/>
      <c r="F335" s="68"/>
      <c r="G335" s="68"/>
      <c r="H335" s="68"/>
      <c r="I335" s="68"/>
      <c r="J335" s="68"/>
      <c r="K335" s="68"/>
      <c r="L335" s="68"/>
      <c r="M335" s="68"/>
      <c r="N335" s="68"/>
      <c r="O335" s="68"/>
      <c r="P335" s="68"/>
      <c r="Q335" s="68"/>
      <c r="R335" s="68"/>
      <c r="S335" s="68">
        <v>6</v>
      </c>
      <c r="T335" s="68"/>
      <c r="U335" s="68"/>
      <c r="V335" s="68"/>
      <c r="W335" s="68"/>
      <c r="X335" s="68"/>
      <c r="Y335" s="68">
        <v>6</v>
      </c>
    </row>
    <row r="336" spans="1:25">
      <c r="A336" s="8">
        <v>41614</v>
      </c>
      <c r="B336" s="68"/>
      <c r="C336" s="68"/>
      <c r="D336" s="68"/>
      <c r="E336" s="68"/>
      <c r="F336" s="68"/>
      <c r="G336" s="68"/>
      <c r="H336" s="68"/>
      <c r="I336" s="68"/>
      <c r="J336" s="68"/>
      <c r="K336" s="68"/>
      <c r="L336" s="68"/>
      <c r="M336" s="68"/>
      <c r="N336" s="68"/>
      <c r="O336" s="68"/>
      <c r="P336" s="68"/>
      <c r="Q336" s="68"/>
      <c r="R336" s="68"/>
      <c r="S336" s="68">
        <v>15</v>
      </c>
      <c r="T336" s="68"/>
      <c r="U336" s="68"/>
      <c r="V336" s="68"/>
      <c r="W336" s="68"/>
      <c r="X336" s="68"/>
      <c r="Y336" s="68">
        <v>15</v>
      </c>
    </row>
    <row r="337" spans="1:25">
      <c r="A337" s="8">
        <v>41615</v>
      </c>
      <c r="B337" s="68"/>
      <c r="C337" s="68"/>
      <c r="D337" s="68"/>
      <c r="E337" s="68"/>
      <c r="F337" s="68"/>
      <c r="G337" s="68"/>
      <c r="H337" s="68"/>
      <c r="I337" s="68"/>
      <c r="J337" s="68"/>
      <c r="K337" s="68"/>
      <c r="L337" s="68"/>
      <c r="M337" s="68"/>
      <c r="N337" s="68"/>
      <c r="O337" s="68"/>
      <c r="P337" s="68"/>
      <c r="Q337" s="68"/>
      <c r="R337" s="68"/>
      <c r="S337" s="68">
        <v>12</v>
      </c>
      <c r="T337" s="68"/>
      <c r="U337" s="68"/>
      <c r="V337" s="68"/>
      <c r="W337" s="68"/>
      <c r="X337" s="68"/>
      <c r="Y337" s="68">
        <v>12</v>
      </c>
    </row>
    <row r="338" spans="1:25">
      <c r="A338" s="8">
        <v>41616</v>
      </c>
      <c r="B338" s="68"/>
      <c r="C338" s="68"/>
      <c r="D338" s="68"/>
      <c r="E338" s="68"/>
      <c r="F338" s="68"/>
      <c r="G338" s="68"/>
      <c r="H338" s="68"/>
      <c r="I338" s="68"/>
      <c r="J338" s="68"/>
      <c r="K338" s="68"/>
      <c r="L338" s="68"/>
      <c r="M338" s="68"/>
      <c r="N338" s="68"/>
      <c r="O338" s="68"/>
      <c r="P338" s="68"/>
      <c r="Q338" s="68"/>
      <c r="R338" s="68"/>
      <c r="S338" s="68">
        <v>7</v>
      </c>
      <c r="T338" s="68"/>
      <c r="U338" s="68"/>
      <c r="V338" s="68"/>
      <c r="W338" s="68"/>
      <c r="X338" s="68"/>
      <c r="Y338" s="68">
        <v>7</v>
      </c>
    </row>
    <row r="339" spans="1:25">
      <c r="A339" s="8">
        <v>41617</v>
      </c>
      <c r="B339" s="68"/>
      <c r="C339" s="68"/>
      <c r="D339" s="68"/>
      <c r="E339" s="68"/>
      <c r="F339" s="68"/>
      <c r="G339" s="68"/>
      <c r="H339" s="68"/>
      <c r="I339" s="68"/>
      <c r="J339" s="68"/>
      <c r="K339" s="68"/>
      <c r="L339" s="68"/>
      <c r="M339" s="68"/>
      <c r="N339" s="68"/>
      <c r="O339" s="68"/>
      <c r="P339" s="68"/>
      <c r="Q339" s="68"/>
      <c r="R339" s="68"/>
      <c r="S339" s="68">
        <v>10</v>
      </c>
      <c r="T339" s="68"/>
      <c r="U339" s="68"/>
      <c r="V339" s="68"/>
      <c r="W339" s="68"/>
      <c r="X339" s="68"/>
      <c r="Y339" s="68">
        <v>10</v>
      </c>
    </row>
    <row r="340" spans="1:25">
      <c r="A340" s="8">
        <v>41618</v>
      </c>
      <c r="B340" s="68"/>
      <c r="C340" s="68"/>
      <c r="D340" s="68"/>
      <c r="E340" s="68"/>
      <c r="F340" s="68"/>
      <c r="G340" s="68"/>
      <c r="H340" s="68"/>
      <c r="I340" s="68"/>
      <c r="J340" s="68"/>
      <c r="K340" s="68"/>
      <c r="L340" s="68"/>
      <c r="M340" s="68"/>
      <c r="N340" s="68"/>
      <c r="O340" s="68"/>
      <c r="P340" s="68"/>
      <c r="Q340" s="68"/>
      <c r="R340" s="68"/>
      <c r="S340" s="68"/>
      <c r="T340" s="68">
        <v>31</v>
      </c>
      <c r="U340" s="68"/>
      <c r="V340" s="68"/>
      <c r="W340" s="68"/>
      <c r="X340" s="68"/>
      <c r="Y340" s="68">
        <v>31</v>
      </c>
    </row>
    <row r="341" spans="1:25">
      <c r="A341" s="8">
        <v>41619</v>
      </c>
      <c r="B341" s="68"/>
      <c r="C341" s="68"/>
      <c r="D341" s="68"/>
      <c r="E341" s="68"/>
      <c r="F341" s="68"/>
      <c r="G341" s="68"/>
      <c r="H341" s="68"/>
      <c r="I341" s="68"/>
      <c r="J341" s="68"/>
      <c r="K341" s="68"/>
      <c r="L341" s="68"/>
      <c r="M341" s="68"/>
      <c r="N341" s="68"/>
      <c r="O341" s="68"/>
      <c r="P341" s="68"/>
      <c r="Q341" s="68"/>
      <c r="R341" s="68"/>
      <c r="S341" s="68"/>
      <c r="T341" s="68">
        <v>23</v>
      </c>
      <c r="U341" s="68"/>
      <c r="V341" s="68"/>
      <c r="W341" s="68"/>
      <c r="X341" s="68"/>
      <c r="Y341" s="68">
        <v>23</v>
      </c>
    </row>
    <row r="342" spans="1:25">
      <c r="A342" s="8">
        <v>41620</v>
      </c>
      <c r="B342" s="68"/>
      <c r="C342" s="68"/>
      <c r="D342" s="68"/>
      <c r="E342" s="68"/>
      <c r="F342" s="68"/>
      <c r="G342" s="68"/>
      <c r="H342" s="68"/>
      <c r="I342" s="68"/>
      <c r="J342" s="68"/>
      <c r="K342" s="68"/>
      <c r="L342" s="68"/>
      <c r="M342" s="68"/>
      <c r="N342" s="68"/>
      <c r="O342" s="68"/>
      <c r="P342" s="68"/>
      <c r="Q342" s="68"/>
      <c r="R342" s="68"/>
      <c r="S342" s="68"/>
      <c r="T342" s="68">
        <v>30</v>
      </c>
      <c r="U342" s="68"/>
      <c r="V342" s="68"/>
      <c r="W342" s="68"/>
      <c r="X342" s="68"/>
      <c r="Y342" s="68">
        <v>30</v>
      </c>
    </row>
    <row r="343" spans="1:25">
      <c r="A343" s="8">
        <v>41621</v>
      </c>
      <c r="B343" s="68"/>
      <c r="C343" s="68"/>
      <c r="D343" s="68"/>
      <c r="E343" s="68"/>
      <c r="F343" s="68"/>
      <c r="G343" s="68"/>
      <c r="H343" s="68"/>
      <c r="I343" s="68"/>
      <c r="J343" s="68"/>
      <c r="K343" s="68"/>
      <c r="L343" s="68"/>
      <c r="M343" s="68"/>
      <c r="N343" s="68"/>
      <c r="O343" s="68"/>
      <c r="P343" s="68"/>
      <c r="Q343" s="68"/>
      <c r="R343" s="68"/>
      <c r="S343" s="68"/>
      <c r="T343" s="68">
        <v>40</v>
      </c>
      <c r="U343" s="68"/>
      <c r="V343" s="68"/>
      <c r="W343" s="68"/>
      <c r="X343" s="68"/>
      <c r="Y343" s="68">
        <v>40</v>
      </c>
    </row>
    <row r="344" spans="1:25">
      <c r="A344" s="8">
        <v>41622</v>
      </c>
      <c r="B344" s="68"/>
      <c r="C344" s="68"/>
      <c r="D344" s="68"/>
      <c r="E344" s="68"/>
      <c r="F344" s="68"/>
      <c r="G344" s="68"/>
      <c r="H344" s="68"/>
      <c r="I344" s="68"/>
      <c r="J344" s="68"/>
      <c r="K344" s="68"/>
      <c r="L344" s="68"/>
      <c r="M344" s="68"/>
      <c r="N344" s="68"/>
      <c r="O344" s="68"/>
      <c r="P344" s="68"/>
      <c r="Q344" s="68"/>
      <c r="R344" s="68"/>
      <c r="S344" s="68"/>
      <c r="T344" s="68">
        <v>41</v>
      </c>
      <c r="U344" s="68"/>
      <c r="V344" s="68"/>
      <c r="W344" s="68"/>
      <c r="X344" s="68"/>
      <c r="Y344" s="68">
        <v>41</v>
      </c>
    </row>
    <row r="345" spans="1:25">
      <c r="A345" s="8">
        <v>41623</v>
      </c>
      <c r="B345" s="68"/>
      <c r="C345" s="68"/>
      <c r="D345" s="68"/>
      <c r="E345" s="68"/>
      <c r="F345" s="68"/>
      <c r="G345" s="68"/>
      <c r="H345" s="68"/>
      <c r="I345" s="68"/>
      <c r="J345" s="68"/>
      <c r="K345" s="68"/>
      <c r="L345" s="68"/>
      <c r="M345" s="68"/>
      <c r="N345" s="68"/>
      <c r="O345" s="68"/>
      <c r="P345" s="68"/>
      <c r="Q345" s="68"/>
      <c r="R345" s="68"/>
      <c r="S345" s="68"/>
      <c r="T345" s="68">
        <v>16</v>
      </c>
      <c r="U345" s="68"/>
      <c r="V345" s="68"/>
      <c r="W345" s="68"/>
      <c r="X345" s="68"/>
      <c r="Y345" s="68">
        <v>16</v>
      </c>
    </row>
    <row r="346" spans="1:25">
      <c r="A346" s="8">
        <v>41624</v>
      </c>
      <c r="B346" s="68"/>
      <c r="C346" s="68"/>
      <c r="D346" s="68"/>
      <c r="E346" s="68"/>
      <c r="F346" s="68"/>
      <c r="G346" s="68"/>
      <c r="H346" s="68"/>
      <c r="I346" s="68"/>
      <c r="J346" s="68"/>
      <c r="K346" s="68"/>
      <c r="L346" s="68"/>
      <c r="M346" s="68"/>
      <c r="N346" s="68"/>
      <c r="O346" s="68"/>
      <c r="P346" s="68"/>
      <c r="Q346" s="68"/>
      <c r="R346" s="68"/>
      <c r="S346" s="68"/>
      <c r="T346" s="68">
        <v>51</v>
      </c>
      <c r="U346" s="68"/>
      <c r="V346" s="68"/>
      <c r="W346" s="68"/>
      <c r="X346" s="68"/>
      <c r="Y346" s="68">
        <v>51</v>
      </c>
    </row>
    <row r="347" spans="1:25">
      <c r="A347" s="8">
        <v>41625</v>
      </c>
      <c r="B347" s="68"/>
      <c r="C347" s="68"/>
      <c r="D347" s="68"/>
      <c r="E347" s="68"/>
      <c r="F347" s="68"/>
      <c r="G347" s="68"/>
      <c r="H347" s="68"/>
      <c r="I347" s="68"/>
      <c r="J347" s="68"/>
      <c r="K347" s="68"/>
      <c r="L347" s="68"/>
      <c r="M347" s="68"/>
      <c r="N347" s="68"/>
      <c r="O347" s="68"/>
      <c r="P347" s="68"/>
      <c r="Q347" s="68"/>
      <c r="R347" s="68"/>
      <c r="S347" s="68"/>
      <c r="T347" s="68">
        <v>15</v>
      </c>
      <c r="U347" s="68"/>
      <c r="V347" s="68"/>
      <c r="W347" s="68"/>
      <c r="X347" s="68"/>
      <c r="Y347" s="68">
        <v>15</v>
      </c>
    </row>
    <row r="348" spans="1:25">
      <c r="A348" s="8">
        <v>41626</v>
      </c>
      <c r="B348" s="68"/>
      <c r="C348" s="68"/>
      <c r="D348" s="68"/>
      <c r="E348" s="68"/>
      <c r="F348" s="68"/>
      <c r="G348" s="68"/>
      <c r="H348" s="68"/>
      <c r="I348" s="68"/>
      <c r="J348" s="68"/>
      <c r="K348" s="68"/>
      <c r="L348" s="68"/>
      <c r="M348" s="68"/>
      <c r="N348" s="68"/>
      <c r="O348" s="68"/>
      <c r="P348" s="68"/>
      <c r="Q348" s="68"/>
      <c r="R348" s="68"/>
      <c r="S348" s="68"/>
      <c r="T348" s="68">
        <v>71</v>
      </c>
      <c r="U348" s="68"/>
      <c r="V348" s="68"/>
      <c r="W348" s="68"/>
      <c r="X348" s="68"/>
      <c r="Y348" s="68">
        <v>71</v>
      </c>
    </row>
    <row r="349" spans="1:25">
      <c r="A349" s="8">
        <v>41627</v>
      </c>
      <c r="B349" s="68"/>
      <c r="C349" s="68"/>
      <c r="D349" s="68"/>
      <c r="E349" s="68"/>
      <c r="F349" s="68"/>
      <c r="G349" s="68"/>
      <c r="H349" s="68"/>
      <c r="I349" s="68"/>
      <c r="J349" s="68"/>
      <c r="K349" s="68"/>
      <c r="L349" s="68"/>
      <c r="M349" s="68"/>
      <c r="N349" s="68"/>
      <c r="O349" s="68"/>
      <c r="P349" s="68"/>
      <c r="Q349" s="68"/>
      <c r="R349" s="68"/>
      <c r="S349" s="68"/>
      <c r="T349" s="68">
        <v>44</v>
      </c>
      <c r="U349" s="68"/>
      <c r="V349" s="68"/>
      <c r="W349" s="68"/>
      <c r="X349" s="68"/>
      <c r="Y349" s="68">
        <v>44</v>
      </c>
    </row>
    <row r="350" spans="1:25">
      <c r="A350" s="8">
        <v>41628</v>
      </c>
      <c r="B350" s="68"/>
      <c r="C350" s="68"/>
      <c r="D350" s="68"/>
      <c r="E350" s="68"/>
      <c r="F350" s="68"/>
      <c r="G350" s="68"/>
      <c r="H350" s="68"/>
      <c r="I350" s="68"/>
      <c r="J350" s="68"/>
      <c r="K350" s="68"/>
      <c r="L350" s="68"/>
      <c r="M350" s="68"/>
      <c r="N350" s="68"/>
      <c r="O350" s="68"/>
      <c r="P350" s="68"/>
      <c r="Q350" s="68"/>
      <c r="R350" s="68"/>
      <c r="S350" s="68"/>
      <c r="T350" s="68">
        <v>19</v>
      </c>
      <c r="U350" s="68"/>
      <c r="V350" s="68"/>
      <c r="W350" s="68"/>
      <c r="X350" s="68"/>
      <c r="Y350" s="68">
        <v>19</v>
      </c>
    </row>
    <row r="351" spans="1:25">
      <c r="A351" s="8">
        <v>41629</v>
      </c>
      <c r="B351" s="68"/>
      <c r="C351" s="68"/>
      <c r="D351" s="68"/>
      <c r="E351" s="68"/>
      <c r="F351" s="68"/>
      <c r="G351" s="68"/>
      <c r="H351" s="68"/>
      <c r="I351" s="68"/>
      <c r="J351" s="68"/>
      <c r="K351" s="68"/>
      <c r="L351" s="68"/>
      <c r="M351" s="68"/>
      <c r="N351" s="68"/>
      <c r="O351" s="68"/>
      <c r="P351" s="68"/>
      <c r="Q351" s="68"/>
      <c r="R351" s="68"/>
      <c r="S351" s="68"/>
      <c r="T351" s="68">
        <v>18</v>
      </c>
      <c r="U351" s="68"/>
      <c r="V351" s="68"/>
      <c r="W351" s="68"/>
      <c r="X351" s="68"/>
      <c r="Y351" s="68">
        <v>18</v>
      </c>
    </row>
    <row r="352" spans="1:25">
      <c r="A352" s="8">
        <v>41630</v>
      </c>
      <c r="B352" s="68"/>
      <c r="C352" s="68"/>
      <c r="D352" s="68"/>
      <c r="E352" s="68"/>
      <c r="F352" s="68"/>
      <c r="G352" s="68"/>
      <c r="H352" s="68"/>
      <c r="I352" s="68"/>
      <c r="J352" s="68"/>
      <c r="K352" s="68"/>
      <c r="L352" s="68"/>
      <c r="M352" s="68"/>
      <c r="N352" s="68"/>
      <c r="O352" s="68"/>
      <c r="P352" s="68"/>
      <c r="Q352" s="68"/>
      <c r="R352" s="68"/>
      <c r="S352" s="68"/>
      <c r="T352" s="68">
        <v>11</v>
      </c>
      <c r="U352" s="68"/>
      <c r="V352" s="68"/>
      <c r="W352" s="68"/>
      <c r="X352" s="68"/>
      <c r="Y352" s="68">
        <v>11</v>
      </c>
    </row>
    <row r="353" spans="1:25">
      <c r="A353" s="8">
        <v>41631</v>
      </c>
      <c r="B353" s="68"/>
      <c r="C353" s="68"/>
      <c r="D353" s="68"/>
      <c r="E353" s="68"/>
      <c r="F353" s="68"/>
      <c r="G353" s="68"/>
      <c r="H353" s="68"/>
      <c r="I353" s="68"/>
      <c r="J353" s="68"/>
      <c r="K353" s="68"/>
      <c r="L353" s="68"/>
      <c r="M353" s="68"/>
      <c r="N353" s="68"/>
      <c r="O353" s="68"/>
      <c r="P353" s="68"/>
      <c r="Q353" s="68"/>
      <c r="R353" s="68"/>
      <c r="S353" s="68"/>
      <c r="T353" s="68">
        <v>30</v>
      </c>
      <c r="U353" s="68"/>
      <c r="V353" s="68"/>
      <c r="W353" s="68"/>
      <c r="X353" s="68"/>
      <c r="Y353" s="68">
        <v>30</v>
      </c>
    </row>
    <row r="354" spans="1:25">
      <c r="A354" s="8">
        <v>41632</v>
      </c>
      <c r="B354" s="68"/>
      <c r="C354" s="68"/>
      <c r="D354" s="68"/>
      <c r="E354" s="68"/>
      <c r="F354" s="68"/>
      <c r="G354" s="68"/>
      <c r="H354" s="68"/>
      <c r="I354" s="68"/>
      <c r="J354" s="68"/>
      <c r="K354" s="68"/>
      <c r="L354" s="68"/>
      <c r="M354" s="68"/>
      <c r="N354" s="68"/>
      <c r="O354" s="68"/>
      <c r="P354" s="68"/>
      <c r="Q354" s="68"/>
      <c r="R354" s="68"/>
      <c r="S354" s="68"/>
      <c r="T354" s="68">
        <v>18</v>
      </c>
      <c r="U354" s="68"/>
      <c r="V354" s="68"/>
      <c r="W354" s="68"/>
      <c r="X354" s="68"/>
      <c r="Y354" s="68">
        <v>18</v>
      </c>
    </row>
    <row r="355" spans="1:25">
      <c r="A355" s="8">
        <v>41633</v>
      </c>
      <c r="B355" s="68"/>
      <c r="C355" s="68"/>
      <c r="D355" s="68"/>
      <c r="E355" s="68"/>
      <c r="F355" s="68"/>
      <c r="G355" s="68"/>
      <c r="H355" s="68"/>
      <c r="I355" s="68"/>
      <c r="J355" s="68"/>
      <c r="K355" s="68"/>
      <c r="L355" s="68"/>
      <c r="M355" s="68"/>
      <c r="N355" s="68"/>
      <c r="O355" s="68"/>
      <c r="P355" s="68"/>
      <c r="Q355" s="68"/>
      <c r="R355" s="68"/>
      <c r="S355" s="68"/>
      <c r="T355" s="68">
        <v>24</v>
      </c>
      <c r="U355" s="68"/>
      <c r="V355" s="68"/>
      <c r="W355" s="68"/>
      <c r="X355" s="68"/>
      <c r="Y355" s="68">
        <v>24</v>
      </c>
    </row>
    <row r="356" spans="1:25">
      <c r="A356" s="8">
        <v>41634</v>
      </c>
      <c r="B356" s="68"/>
      <c r="C356" s="68"/>
      <c r="D356" s="68"/>
      <c r="E356" s="68"/>
      <c r="F356" s="68"/>
      <c r="G356" s="68"/>
      <c r="H356" s="68"/>
      <c r="I356" s="68"/>
      <c r="J356" s="68"/>
      <c r="K356" s="68"/>
      <c r="L356" s="68"/>
      <c r="M356" s="68"/>
      <c r="N356" s="68"/>
      <c r="O356" s="68"/>
      <c r="P356" s="68"/>
      <c r="Q356" s="68"/>
      <c r="R356" s="68"/>
      <c r="S356" s="68"/>
      <c r="T356" s="68">
        <v>130</v>
      </c>
      <c r="U356" s="68"/>
      <c r="V356" s="68"/>
      <c r="W356" s="68"/>
      <c r="X356" s="68"/>
      <c r="Y356" s="68">
        <v>130</v>
      </c>
    </row>
    <row r="357" spans="1:25">
      <c r="A357" s="8">
        <v>41635</v>
      </c>
      <c r="B357" s="68"/>
      <c r="C357" s="68"/>
      <c r="D357" s="68"/>
      <c r="E357" s="68"/>
      <c r="F357" s="68"/>
      <c r="G357" s="68"/>
      <c r="H357" s="68"/>
      <c r="I357" s="68"/>
      <c r="J357" s="68"/>
      <c r="K357" s="68"/>
      <c r="L357" s="68"/>
      <c r="M357" s="68"/>
      <c r="N357" s="68"/>
      <c r="O357" s="68"/>
      <c r="P357" s="68"/>
      <c r="Q357" s="68"/>
      <c r="R357" s="68"/>
      <c r="S357" s="68"/>
      <c r="T357" s="68">
        <v>47</v>
      </c>
      <c r="U357" s="68"/>
      <c r="V357" s="68"/>
      <c r="W357" s="68"/>
      <c r="X357" s="68"/>
      <c r="Y357" s="68">
        <v>47</v>
      </c>
    </row>
    <row r="358" spans="1:25">
      <c r="A358" s="8">
        <v>41636</v>
      </c>
      <c r="B358" s="68"/>
      <c r="C358" s="68"/>
      <c r="D358" s="68"/>
      <c r="E358" s="68"/>
      <c r="F358" s="68"/>
      <c r="G358" s="68"/>
      <c r="H358" s="68"/>
      <c r="I358" s="68"/>
      <c r="J358" s="68"/>
      <c r="K358" s="68"/>
      <c r="L358" s="68"/>
      <c r="M358" s="68"/>
      <c r="N358" s="68"/>
      <c r="O358" s="68"/>
      <c r="P358" s="68"/>
      <c r="Q358" s="68"/>
      <c r="R358" s="68"/>
      <c r="S358" s="68"/>
      <c r="T358" s="68">
        <v>30</v>
      </c>
      <c r="U358" s="68"/>
      <c r="V358" s="68"/>
      <c r="W358" s="68"/>
      <c r="X358" s="68"/>
      <c r="Y358" s="68">
        <v>30</v>
      </c>
    </row>
    <row r="359" spans="1:25">
      <c r="A359" s="8">
        <v>41637</v>
      </c>
      <c r="B359" s="68"/>
      <c r="C359" s="68"/>
      <c r="D359" s="68"/>
      <c r="E359" s="68"/>
      <c r="F359" s="68"/>
      <c r="G359" s="68"/>
      <c r="H359" s="68"/>
      <c r="I359" s="68"/>
      <c r="J359" s="68"/>
      <c r="K359" s="68"/>
      <c r="L359" s="68"/>
      <c r="M359" s="68"/>
      <c r="N359" s="68"/>
      <c r="O359" s="68"/>
      <c r="P359" s="68"/>
      <c r="Q359" s="68"/>
      <c r="R359" s="68"/>
      <c r="S359" s="68"/>
      <c r="T359" s="68">
        <v>13</v>
      </c>
      <c r="U359" s="68"/>
      <c r="V359" s="68"/>
      <c r="W359" s="68"/>
      <c r="X359" s="68"/>
      <c r="Y359" s="68">
        <v>13</v>
      </c>
    </row>
    <row r="360" spans="1:25">
      <c r="A360" s="8">
        <v>41638</v>
      </c>
      <c r="B360" s="68"/>
      <c r="C360" s="68"/>
      <c r="D360" s="68"/>
      <c r="E360" s="68"/>
      <c r="F360" s="68"/>
      <c r="G360" s="68"/>
      <c r="H360" s="68"/>
      <c r="I360" s="68"/>
      <c r="J360" s="68"/>
      <c r="K360" s="68"/>
      <c r="L360" s="68"/>
      <c r="M360" s="68"/>
      <c r="N360" s="68"/>
      <c r="O360" s="68"/>
      <c r="P360" s="68"/>
      <c r="Q360" s="68"/>
      <c r="R360" s="68"/>
      <c r="S360" s="68"/>
      <c r="T360" s="68">
        <v>7</v>
      </c>
      <c r="U360" s="68"/>
      <c r="V360" s="68"/>
      <c r="W360" s="68"/>
      <c r="X360" s="68"/>
      <c r="Y360" s="68">
        <v>7</v>
      </c>
    </row>
    <row r="361" spans="1:25">
      <c r="A361" s="8">
        <v>41639</v>
      </c>
      <c r="B361" s="68"/>
      <c r="C361" s="68"/>
      <c r="D361" s="68"/>
      <c r="E361" s="68"/>
      <c r="F361" s="68"/>
      <c r="G361" s="68"/>
      <c r="H361" s="68"/>
      <c r="I361" s="68"/>
      <c r="J361" s="68"/>
      <c r="K361" s="68"/>
      <c r="L361" s="68"/>
      <c r="M361" s="68"/>
      <c r="N361" s="68"/>
      <c r="O361" s="68"/>
      <c r="P361" s="68"/>
      <c r="Q361" s="68"/>
      <c r="R361" s="68"/>
      <c r="S361" s="68"/>
      <c r="T361" s="68">
        <v>18</v>
      </c>
      <c r="U361" s="68"/>
      <c r="V361" s="68"/>
      <c r="W361" s="68"/>
      <c r="X361" s="68"/>
      <c r="Y361" s="68">
        <v>18</v>
      </c>
    </row>
    <row r="362" spans="1:25">
      <c r="A362" s="8">
        <v>41640</v>
      </c>
      <c r="B362" s="68"/>
      <c r="C362" s="68"/>
      <c r="D362" s="68"/>
      <c r="E362" s="68"/>
      <c r="F362" s="68"/>
      <c r="G362" s="68"/>
      <c r="H362" s="68"/>
      <c r="I362" s="68"/>
      <c r="J362" s="68"/>
      <c r="K362" s="68"/>
      <c r="L362" s="68"/>
      <c r="M362" s="68"/>
      <c r="N362" s="68"/>
      <c r="O362" s="68"/>
      <c r="P362" s="68"/>
      <c r="Q362" s="68"/>
      <c r="R362" s="68"/>
      <c r="S362" s="68"/>
      <c r="T362" s="68">
        <v>21</v>
      </c>
      <c r="U362" s="68"/>
      <c r="V362" s="68"/>
      <c r="W362" s="68"/>
      <c r="X362" s="68"/>
      <c r="Y362" s="68">
        <v>21</v>
      </c>
    </row>
    <row r="363" spans="1:25">
      <c r="A363" s="8">
        <v>41641</v>
      </c>
      <c r="B363" s="68"/>
      <c r="C363" s="68"/>
      <c r="D363" s="68"/>
      <c r="E363" s="68"/>
      <c r="F363" s="68"/>
      <c r="G363" s="68"/>
      <c r="H363" s="68"/>
      <c r="I363" s="68"/>
      <c r="J363" s="68"/>
      <c r="K363" s="68"/>
      <c r="L363" s="68"/>
      <c r="M363" s="68"/>
      <c r="N363" s="68"/>
      <c r="O363" s="68"/>
      <c r="P363" s="68"/>
      <c r="Q363" s="68"/>
      <c r="R363" s="68"/>
      <c r="S363" s="68"/>
      <c r="T363" s="68">
        <v>12</v>
      </c>
      <c r="U363" s="68"/>
      <c r="V363" s="68"/>
      <c r="W363" s="68"/>
      <c r="X363" s="68"/>
      <c r="Y363" s="68">
        <v>12</v>
      </c>
    </row>
    <row r="364" spans="1:25">
      <c r="A364" s="8">
        <v>41642</v>
      </c>
      <c r="B364" s="68"/>
      <c r="C364" s="68"/>
      <c r="D364" s="68"/>
      <c r="E364" s="68"/>
      <c r="F364" s="68"/>
      <c r="G364" s="68"/>
      <c r="H364" s="68"/>
      <c r="I364" s="68"/>
      <c r="J364" s="68"/>
      <c r="K364" s="68"/>
      <c r="L364" s="68"/>
      <c r="M364" s="68"/>
      <c r="N364" s="68"/>
      <c r="O364" s="68"/>
      <c r="P364" s="68"/>
      <c r="Q364" s="68"/>
      <c r="R364" s="68"/>
      <c r="S364" s="68"/>
      <c r="T364" s="68">
        <v>26</v>
      </c>
      <c r="U364" s="68"/>
      <c r="V364" s="68"/>
      <c r="W364" s="68"/>
      <c r="X364" s="68"/>
      <c r="Y364" s="68">
        <v>26</v>
      </c>
    </row>
    <row r="365" spans="1:25">
      <c r="A365" s="8">
        <v>41643</v>
      </c>
      <c r="B365" s="68"/>
      <c r="C365" s="68"/>
      <c r="D365" s="68"/>
      <c r="E365" s="68"/>
      <c r="F365" s="68"/>
      <c r="G365" s="68"/>
      <c r="H365" s="68"/>
      <c r="I365" s="68"/>
      <c r="J365" s="68"/>
      <c r="K365" s="68"/>
      <c r="L365" s="68"/>
      <c r="M365" s="68"/>
      <c r="N365" s="68"/>
      <c r="O365" s="68"/>
      <c r="P365" s="68"/>
      <c r="Q365" s="68"/>
      <c r="R365" s="68"/>
      <c r="S365" s="68"/>
      <c r="T365" s="68">
        <v>13</v>
      </c>
      <c r="U365" s="68"/>
      <c r="V365" s="68"/>
      <c r="W365" s="68"/>
      <c r="X365" s="68"/>
      <c r="Y365" s="68">
        <v>13</v>
      </c>
    </row>
    <row r="366" spans="1:25">
      <c r="A366" s="8">
        <v>41644</v>
      </c>
      <c r="B366" s="68"/>
      <c r="C366" s="68"/>
      <c r="D366" s="68"/>
      <c r="E366" s="68"/>
      <c r="F366" s="68"/>
      <c r="G366" s="68"/>
      <c r="H366" s="68"/>
      <c r="I366" s="68"/>
      <c r="J366" s="68"/>
      <c r="K366" s="68"/>
      <c r="L366" s="68"/>
      <c r="M366" s="68"/>
      <c r="N366" s="68"/>
      <c r="O366" s="68"/>
      <c r="P366" s="68"/>
      <c r="Q366" s="68"/>
      <c r="R366" s="68"/>
      <c r="S366" s="68"/>
      <c r="T366" s="68">
        <v>45</v>
      </c>
      <c r="U366" s="68"/>
      <c r="V366" s="68"/>
      <c r="W366" s="68"/>
      <c r="X366" s="68"/>
      <c r="Y366" s="68">
        <v>45</v>
      </c>
    </row>
    <row r="367" spans="1:25">
      <c r="A367" s="8">
        <v>41645</v>
      </c>
      <c r="B367" s="68"/>
      <c r="C367" s="68"/>
      <c r="D367" s="68"/>
      <c r="E367" s="68"/>
      <c r="F367" s="68"/>
      <c r="G367" s="68"/>
      <c r="H367" s="68"/>
      <c r="I367" s="68"/>
      <c r="J367" s="68"/>
      <c r="K367" s="68"/>
      <c r="L367" s="68"/>
      <c r="M367" s="68"/>
      <c r="N367" s="68"/>
      <c r="O367" s="68"/>
      <c r="P367" s="68"/>
      <c r="Q367" s="68"/>
      <c r="R367" s="68"/>
      <c r="S367" s="68"/>
      <c r="T367" s="68">
        <v>11</v>
      </c>
      <c r="U367" s="68"/>
      <c r="V367" s="68"/>
      <c r="W367" s="68"/>
      <c r="X367" s="68"/>
      <c r="Y367" s="68">
        <v>11</v>
      </c>
    </row>
    <row r="368" spans="1:25">
      <c r="A368" s="8">
        <v>41646</v>
      </c>
      <c r="B368" s="68"/>
      <c r="C368" s="68"/>
      <c r="D368" s="68"/>
      <c r="E368" s="68"/>
      <c r="F368" s="68"/>
      <c r="G368" s="68"/>
      <c r="H368" s="68"/>
      <c r="I368" s="68"/>
      <c r="J368" s="68"/>
      <c r="K368" s="68"/>
      <c r="L368" s="68"/>
      <c r="M368" s="68"/>
      <c r="N368" s="68"/>
      <c r="O368" s="68"/>
      <c r="P368" s="68"/>
      <c r="Q368" s="68"/>
      <c r="R368" s="68"/>
      <c r="S368" s="68"/>
      <c r="T368" s="68"/>
      <c r="U368" s="68">
        <v>50</v>
      </c>
      <c r="V368" s="68"/>
      <c r="W368" s="68"/>
      <c r="X368" s="68"/>
      <c r="Y368" s="68">
        <v>50</v>
      </c>
    </row>
    <row r="369" spans="1:25">
      <c r="A369" s="8">
        <v>41647</v>
      </c>
      <c r="B369" s="68"/>
      <c r="C369" s="68"/>
      <c r="D369" s="68"/>
      <c r="E369" s="68"/>
      <c r="F369" s="68"/>
      <c r="G369" s="68"/>
      <c r="H369" s="68"/>
      <c r="I369" s="68"/>
      <c r="J369" s="68"/>
      <c r="K369" s="68"/>
      <c r="L369" s="68"/>
      <c r="M369" s="68"/>
      <c r="N369" s="68"/>
      <c r="O369" s="68"/>
      <c r="P369" s="68"/>
      <c r="Q369" s="68"/>
      <c r="R369" s="68"/>
      <c r="S369" s="68"/>
      <c r="T369" s="68"/>
      <c r="U369" s="68">
        <v>10</v>
      </c>
      <c r="V369" s="68"/>
      <c r="W369" s="68"/>
      <c r="X369" s="68"/>
      <c r="Y369" s="68">
        <v>10</v>
      </c>
    </row>
    <row r="370" spans="1:25">
      <c r="A370" s="8">
        <v>41648</v>
      </c>
      <c r="B370" s="68"/>
      <c r="C370" s="68"/>
      <c r="D370" s="68"/>
      <c r="E370" s="68"/>
      <c r="F370" s="68"/>
      <c r="G370" s="68"/>
      <c r="H370" s="68"/>
      <c r="I370" s="68"/>
      <c r="J370" s="68"/>
      <c r="K370" s="68"/>
      <c r="L370" s="68"/>
      <c r="M370" s="68"/>
      <c r="N370" s="68"/>
      <c r="O370" s="68"/>
      <c r="P370" s="68"/>
      <c r="Q370" s="68"/>
      <c r="R370" s="68"/>
      <c r="S370" s="68"/>
      <c r="T370" s="68"/>
      <c r="U370" s="68">
        <v>14</v>
      </c>
      <c r="V370" s="68"/>
      <c r="W370" s="68"/>
      <c r="X370" s="68"/>
      <c r="Y370" s="68">
        <v>14</v>
      </c>
    </row>
    <row r="371" spans="1:25">
      <c r="A371" s="8">
        <v>41649</v>
      </c>
      <c r="B371" s="68"/>
      <c r="C371" s="68"/>
      <c r="D371" s="68"/>
      <c r="E371" s="68"/>
      <c r="F371" s="68"/>
      <c r="G371" s="68"/>
      <c r="H371" s="68"/>
      <c r="I371" s="68"/>
      <c r="J371" s="68"/>
      <c r="K371" s="68"/>
      <c r="L371" s="68"/>
      <c r="M371" s="68"/>
      <c r="N371" s="68"/>
      <c r="O371" s="68"/>
      <c r="P371" s="68"/>
      <c r="Q371" s="68"/>
      <c r="R371" s="68"/>
      <c r="S371" s="68"/>
      <c r="T371" s="68"/>
      <c r="U371" s="68">
        <v>108</v>
      </c>
      <c r="V371" s="68"/>
      <c r="W371" s="68"/>
      <c r="X371" s="68"/>
      <c r="Y371" s="68">
        <v>108</v>
      </c>
    </row>
    <row r="372" spans="1:25">
      <c r="A372" s="8">
        <v>41650</v>
      </c>
      <c r="B372" s="68"/>
      <c r="C372" s="68"/>
      <c r="D372" s="68"/>
      <c r="E372" s="68"/>
      <c r="F372" s="68"/>
      <c r="G372" s="68"/>
      <c r="H372" s="68"/>
      <c r="I372" s="68"/>
      <c r="J372" s="68"/>
      <c r="K372" s="68"/>
      <c r="L372" s="68"/>
      <c r="M372" s="68"/>
      <c r="N372" s="68"/>
      <c r="O372" s="68"/>
      <c r="P372" s="68"/>
      <c r="Q372" s="68"/>
      <c r="R372" s="68"/>
      <c r="S372" s="68"/>
      <c r="T372" s="68"/>
      <c r="U372" s="68">
        <v>13</v>
      </c>
      <c r="V372" s="68"/>
      <c r="W372" s="68"/>
      <c r="X372" s="68"/>
      <c r="Y372" s="68">
        <v>13</v>
      </c>
    </row>
    <row r="373" spans="1:25">
      <c r="A373" s="8">
        <v>41651</v>
      </c>
      <c r="B373" s="68"/>
      <c r="C373" s="68"/>
      <c r="D373" s="68"/>
      <c r="E373" s="68"/>
      <c r="F373" s="68"/>
      <c r="G373" s="68"/>
      <c r="H373" s="68"/>
      <c r="I373" s="68"/>
      <c r="J373" s="68"/>
      <c r="K373" s="68"/>
      <c r="L373" s="68"/>
      <c r="M373" s="68"/>
      <c r="N373" s="68"/>
      <c r="O373" s="68"/>
      <c r="P373" s="68"/>
      <c r="Q373" s="68"/>
      <c r="R373" s="68"/>
      <c r="S373" s="68"/>
      <c r="T373" s="68"/>
      <c r="U373" s="68">
        <v>6</v>
      </c>
      <c r="V373" s="68"/>
      <c r="W373" s="68"/>
      <c r="X373" s="68"/>
      <c r="Y373" s="68">
        <v>6</v>
      </c>
    </row>
    <row r="374" spans="1:25">
      <c r="A374" s="8">
        <v>41652</v>
      </c>
      <c r="B374" s="68"/>
      <c r="C374" s="68"/>
      <c r="D374" s="68"/>
      <c r="E374" s="68"/>
      <c r="F374" s="68"/>
      <c r="G374" s="68"/>
      <c r="H374" s="68"/>
      <c r="I374" s="68"/>
      <c r="J374" s="68"/>
      <c r="K374" s="68"/>
      <c r="L374" s="68"/>
      <c r="M374" s="68"/>
      <c r="N374" s="68"/>
      <c r="O374" s="68"/>
      <c r="P374" s="68"/>
      <c r="Q374" s="68"/>
      <c r="R374" s="68"/>
      <c r="S374" s="68"/>
      <c r="T374" s="68"/>
      <c r="U374" s="68">
        <v>5</v>
      </c>
      <c r="V374" s="68"/>
      <c r="W374" s="68"/>
      <c r="X374" s="68"/>
      <c r="Y374" s="68">
        <v>5</v>
      </c>
    </row>
    <row r="375" spans="1:25">
      <c r="A375" s="8">
        <v>41653</v>
      </c>
      <c r="B375" s="68"/>
      <c r="C375" s="68"/>
      <c r="D375" s="68"/>
      <c r="E375" s="68"/>
      <c r="F375" s="68"/>
      <c r="G375" s="68"/>
      <c r="H375" s="68"/>
      <c r="I375" s="68"/>
      <c r="J375" s="68"/>
      <c r="K375" s="68"/>
      <c r="L375" s="68"/>
      <c r="M375" s="68"/>
      <c r="N375" s="68"/>
      <c r="O375" s="68"/>
      <c r="P375" s="68"/>
      <c r="Q375" s="68"/>
      <c r="R375" s="68"/>
      <c r="S375" s="68"/>
      <c r="T375" s="68"/>
      <c r="U375" s="68">
        <v>4</v>
      </c>
      <c r="V375" s="68"/>
      <c r="W375" s="68"/>
      <c r="X375" s="68"/>
      <c r="Y375" s="68">
        <v>4</v>
      </c>
    </row>
    <row r="376" spans="1:25">
      <c r="A376" s="8">
        <v>41654</v>
      </c>
      <c r="B376" s="68"/>
      <c r="C376" s="68"/>
      <c r="D376" s="68"/>
      <c r="E376" s="68"/>
      <c r="F376" s="68"/>
      <c r="G376" s="68"/>
      <c r="H376" s="68"/>
      <c r="I376" s="68"/>
      <c r="J376" s="68"/>
      <c r="K376" s="68"/>
      <c r="L376" s="68"/>
      <c r="M376" s="68"/>
      <c r="N376" s="68"/>
      <c r="O376" s="68"/>
      <c r="P376" s="68"/>
      <c r="Q376" s="68"/>
      <c r="R376" s="68"/>
      <c r="S376" s="68"/>
      <c r="T376" s="68"/>
      <c r="U376" s="68">
        <v>5</v>
      </c>
      <c r="V376" s="68"/>
      <c r="W376" s="68"/>
      <c r="X376" s="68"/>
      <c r="Y376" s="68">
        <v>5</v>
      </c>
    </row>
    <row r="377" spans="1:25">
      <c r="A377" s="8">
        <v>41655</v>
      </c>
      <c r="B377" s="68"/>
      <c r="C377" s="68"/>
      <c r="D377" s="68"/>
      <c r="E377" s="68"/>
      <c r="F377" s="68"/>
      <c r="G377" s="68"/>
      <c r="H377" s="68"/>
      <c r="I377" s="68"/>
      <c r="J377" s="68"/>
      <c r="K377" s="68"/>
      <c r="L377" s="68"/>
      <c r="M377" s="68"/>
      <c r="N377" s="68"/>
      <c r="O377" s="68"/>
      <c r="P377" s="68"/>
      <c r="Q377" s="68"/>
      <c r="R377" s="68"/>
      <c r="S377" s="68"/>
      <c r="T377" s="68"/>
      <c r="U377" s="68">
        <v>9</v>
      </c>
      <c r="V377" s="68"/>
      <c r="W377" s="68"/>
      <c r="X377" s="68"/>
      <c r="Y377" s="68">
        <v>9</v>
      </c>
    </row>
    <row r="378" spans="1:25">
      <c r="A378" s="8">
        <v>41656</v>
      </c>
      <c r="B378" s="68"/>
      <c r="C378" s="68"/>
      <c r="D378" s="68"/>
      <c r="E378" s="68"/>
      <c r="F378" s="68"/>
      <c r="G378" s="68"/>
      <c r="H378" s="68"/>
      <c r="I378" s="68"/>
      <c r="J378" s="68"/>
      <c r="K378" s="68"/>
      <c r="L378" s="68"/>
      <c r="M378" s="68"/>
      <c r="N378" s="68"/>
      <c r="O378" s="68"/>
      <c r="P378" s="68"/>
      <c r="Q378" s="68"/>
      <c r="R378" s="68"/>
      <c r="S378" s="68"/>
      <c r="T378" s="68"/>
      <c r="U378" s="68">
        <v>20</v>
      </c>
      <c r="V378" s="68"/>
      <c r="W378" s="68"/>
      <c r="X378" s="68"/>
      <c r="Y378" s="68">
        <v>20</v>
      </c>
    </row>
    <row r="379" spans="1:25">
      <c r="A379" s="8">
        <v>41657</v>
      </c>
      <c r="B379" s="68"/>
      <c r="C379" s="68"/>
      <c r="D379" s="68"/>
      <c r="E379" s="68"/>
      <c r="F379" s="68"/>
      <c r="G379" s="68"/>
      <c r="H379" s="68"/>
      <c r="I379" s="68"/>
      <c r="J379" s="68"/>
      <c r="K379" s="68"/>
      <c r="L379" s="68"/>
      <c r="M379" s="68"/>
      <c r="N379" s="68"/>
      <c r="O379" s="68"/>
      <c r="P379" s="68"/>
      <c r="Q379" s="68"/>
      <c r="R379" s="68"/>
      <c r="S379" s="68"/>
      <c r="T379" s="68"/>
      <c r="U379" s="68">
        <v>5</v>
      </c>
      <c r="V379" s="68"/>
      <c r="W379" s="68"/>
      <c r="X379" s="68"/>
      <c r="Y379" s="68">
        <v>5</v>
      </c>
    </row>
    <row r="380" spans="1:25">
      <c r="A380" s="8">
        <v>41658</v>
      </c>
      <c r="B380" s="68"/>
      <c r="C380" s="68"/>
      <c r="D380" s="68"/>
      <c r="E380" s="68"/>
      <c r="F380" s="68"/>
      <c r="G380" s="68"/>
      <c r="H380" s="68"/>
      <c r="I380" s="68"/>
      <c r="J380" s="68"/>
      <c r="K380" s="68"/>
      <c r="L380" s="68"/>
      <c r="M380" s="68"/>
      <c r="N380" s="68"/>
      <c r="O380" s="68"/>
      <c r="P380" s="68"/>
      <c r="Q380" s="68"/>
      <c r="R380" s="68"/>
      <c r="S380" s="68"/>
      <c r="T380" s="68"/>
      <c r="U380" s="68">
        <v>3</v>
      </c>
      <c r="V380" s="68"/>
      <c r="W380" s="68"/>
      <c r="X380" s="68"/>
      <c r="Y380" s="68">
        <v>3</v>
      </c>
    </row>
    <row r="381" spans="1:25">
      <c r="A381" s="8">
        <v>41659</v>
      </c>
      <c r="B381" s="68"/>
      <c r="C381" s="68"/>
      <c r="D381" s="68"/>
      <c r="E381" s="68"/>
      <c r="F381" s="68"/>
      <c r="G381" s="68"/>
      <c r="H381" s="68"/>
      <c r="I381" s="68"/>
      <c r="J381" s="68"/>
      <c r="K381" s="68"/>
      <c r="L381" s="68"/>
      <c r="M381" s="68"/>
      <c r="N381" s="68"/>
      <c r="O381" s="68"/>
      <c r="P381" s="68"/>
      <c r="Q381" s="68"/>
      <c r="R381" s="68"/>
      <c r="S381" s="68"/>
      <c r="T381" s="68"/>
      <c r="U381" s="68">
        <v>12</v>
      </c>
      <c r="V381" s="68"/>
      <c r="W381" s="68"/>
      <c r="X381" s="68"/>
      <c r="Y381" s="68">
        <v>12</v>
      </c>
    </row>
    <row r="382" spans="1:25">
      <c r="A382" s="8">
        <v>41660</v>
      </c>
      <c r="B382" s="68"/>
      <c r="C382" s="68"/>
      <c r="D382" s="68"/>
      <c r="E382" s="68"/>
      <c r="F382" s="68"/>
      <c r="G382" s="68"/>
      <c r="H382" s="68"/>
      <c r="I382" s="68"/>
      <c r="J382" s="68"/>
      <c r="K382" s="68"/>
      <c r="L382" s="68"/>
      <c r="M382" s="68"/>
      <c r="N382" s="68"/>
      <c r="O382" s="68"/>
      <c r="P382" s="68"/>
      <c r="Q382" s="68"/>
      <c r="R382" s="68"/>
      <c r="S382" s="68"/>
      <c r="T382" s="68"/>
      <c r="U382" s="68">
        <v>10</v>
      </c>
      <c r="V382" s="68"/>
      <c r="W382" s="68"/>
      <c r="X382" s="68"/>
      <c r="Y382" s="68">
        <v>10</v>
      </c>
    </row>
    <row r="383" spans="1:25">
      <c r="A383" s="8">
        <v>41661</v>
      </c>
      <c r="B383" s="68"/>
      <c r="C383" s="68"/>
      <c r="D383" s="68"/>
      <c r="E383" s="68"/>
      <c r="F383" s="68"/>
      <c r="G383" s="68"/>
      <c r="H383" s="68"/>
      <c r="I383" s="68"/>
      <c r="J383" s="68"/>
      <c r="K383" s="68"/>
      <c r="L383" s="68"/>
      <c r="M383" s="68"/>
      <c r="N383" s="68"/>
      <c r="O383" s="68"/>
      <c r="P383" s="68"/>
      <c r="Q383" s="68"/>
      <c r="R383" s="68"/>
      <c r="S383" s="68"/>
      <c r="T383" s="68"/>
      <c r="U383" s="68">
        <v>11</v>
      </c>
      <c r="V383" s="68"/>
      <c r="W383" s="68"/>
      <c r="X383" s="68"/>
      <c r="Y383" s="68">
        <v>11</v>
      </c>
    </row>
    <row r="384" spans="1:25">
      <c r="A384" s="8">
        <v>41662</v>
      </c>
      <c r="B384" s="68"/>
      <c r="C384" s="68"/>
      <c r="D384" s="68"/>
      <c r="E384" s="68"/>
      <c r="F384" s="68"/>
      <c r="G384" s="68"/>
      <c r="H384" s="68"/>
      <c r="I384" s="68"/>
      <c r="J384" s="68"/>
      <c r="K384" s="68"/>
      <c r="L384" s="68"/>
      <c r="M384" s="68"/>
      <c r="N384" s="68"/>
      <c r="O384" s="68"/>
      <c r="P384" s="68"/>
      <c r="Q384" s="68"/>
      <c r="R384" s="68"/>
      <c r="S384" s="68"/>
      <c r="T384" s="68"/>
      <c r="U384" s="68">
        <v>6</v>
      </c>
      <c r="V384" s="68"/>
      <c r="W384" s="68"/>
      <c r="X384" s="68"/>
      <c r="Y384" s="68">
        <v>6</v>
      </c>
    </row>
    <row r="385" spans="1:25">
      <c r="A385" s="8">
        <v>41663</v>
      </c>
      <c r="B385" s="68"/>
      <c r="C385" s="68"/>
      <c r="D385" s="68"/>
      <c r="E385" s="68"/>
      <c r="F385" s="68"/>
      <c r="G385" s="68"/>
      <c r="H385" s="68"/>
      <c r="I385" s="68"/>
      <c r="J385" s="68"/>
      <c r="K385" s="68"/>
      <c r="L385" s="68"/>
      <c r="M385" s="68"/>
      <c r="N385" s="68"/>
      <c r="O385" s="68"/>
      <c r="P385" s="68"/>
      <c r="Q385" s="68"/>
      <c r="R385" s="68"/>
      <c r="S385" s="68"/>
      <c r="T385" s="68"/>
      <c r="U385" s="68"/>
      <c r="V385" s="68">
        <v>39</v>
      </c>
      <c r="W385" s="68"/>
      <c r="X385" s="68"/>
      <c r="Y385" s="68">
        <v>39</v>
      </c>
    </row>
    <row r="386" spans="1:25">
      <c r="A386" s="8">
        <v>41664</v>
      </c>
      <c r="B386" s="68"/>
      <c r="C386" s="68"/>
      <c r="D386" s="68"/>
      <c r="E386" s="68"/>
      <c r="F386" s="68"/>
      <c r="G386" s="68"/>
      <c r="H386" s="68"/>
      <c r="I386" s="68"/>
      <c r="J386" s="68"/>
      <c r="K386" s="68"/>
      <c r="L386" s="68"/>
      <c r="M386" s="68"/>
      <c r="N386" s="68"/>
      <c r="O386" s="68"/>
      <c r="P386" s="68"/>
      <c r="Q386" s="68"/>
      <c r="R386" s="68"/>
      <c r="S386" s="68"/>
      <c r="T386" s="68"/>
      <c r="U386" s="68"/>
      <c r="V386" s="68">
        <v>13</v>
      </c>
      <c r="W386" s="68"/>
      <c r="X386" s="68"/>
      <c r="Y386" s="68">
        <v>13</v>
      </c>
    </row>
    <row r="387" spans="1:25">
      <c r="A387" s="8">
        <v>41665</v>
      </c>
      <c r="B387" s="68"/>
      <c r="C387" s="68"/>
      <c r="D387" s="68"/>
      <c r="E387" s="68"/>
      <c r="F387" s="68"/>
      <c r="G387" s="68"/>
      <c r="H387" s="68"/>
      <c r="I387" s="68"/>
      <c r="J387" s="68"/>
      <c r="K387" s="68"/>
      <c r="L387" s="68"/>
      <c r="M387" s="68"/>
      <c r="N387" s="68"/>
      <c r="O387" s="68"/>
      <c r="P387" s="68"/>
      <c r="Q387" s="68"/>
      <c r="R387" s="68"/>
      <c r="S387" s="68"/>
      <c r="T387" s="68"/>
      <c r="U387" s="68"/>
      <c r="V387" s="68">
        <v>11</v>
      </c>
      <c r="W387" s="68"/>
      <c r="X387" s="68"/>
      <c r="Y387" s="68">
        <v>11</v>
      </c>
    </row>
    <row r="388" spans="1:25">
      <c r="A388" s="8">
        <v>41666</v>
      </c>
      <c r="B388" s="68"/>
      <c r="C388" s="68"/>
      <c r="D388" s="68"/>
      <c r="E388" s="68"/>
      <c r="F388" s="68"/>
      <c r="G388" s="68"/>
      <c r="H388" s="68"/>
      <c r="I388" s="68"/>
      <c r="J388" s="68"/>
      <c r="K388" s="68"/>
      <c r="L388" s="68"/>
      <c r="M388" s="68"/>
      <c r="N388" s="68"/>
      <c r="O388" s="68"/>
      <c r="P388" s="68"/>
      <c r="Q388" s="68"/>
      <c r="R388" s="68"/>
      <c r="S388" s="68"/>
      <c r="T388" s="68"/>
      <c r="U388" s="68"/>
      <c r="V388" s="68">
        <v>11</v>
      </c>
      <c r="W388" s="68"/>
      <c r="X388" s="68"/>
      <c r="Y388" s="68">
        <v>11</v>
      </c>
    </row>
    <row r="389" spans="1:25">
      <c r="A389" s="8">
        <v>41667</v>
      </c>
      <c r="B389" s="68"/>
      <c r="C389" s="68"/>
      <c r="D389" s="68"/>
      <c r="E389" s="68"/>
      <c r="F389" s="68"/>
      <c r="G389" s="68"/>
      <c r="H389" s="68"/>
      <c r="I389" s="68"/>
      <c r="J389" s="68"/>
      <c r="K389" s="68"/>
      <c r="L389" s="68"/>
      <c r="M389" s="68"/>
      <c r="N389" s="68"/>
      <c r="O389" s="68"/>
      <c r="P389" s="68"/>
      <c r="Q389" s="68"/>
      <c r="R389" s="68"/>
      <c r="S389" s="68"/>
      <c r="T389" s="68"/>
      <c r="U389" s="68"/>
      <c r="V389" s="68">
        <v>20</v>
      </c>
      <c r="W389" s="68"/>
      <c r="X389" s="68"/>
      <c r="Y389" s="68">
        <v>20</v>
      </c>
    </row>
    <row r="390" spans="1:25">
      <c r="A390" s="8">
        <v>41668</v>
      </c>
      <c r="B390" s="68"/>
      <c r="C390" s="68"/>
      <c r="D390" s="68"/>
      <c r="E390" s="68"/>
      <c r="F390" s="68"/>
      <c r="G390" s="68"/>
      <c r="H390" s="68"/>
      <c r="I390" s="68"/>
      <c r="J390" s="68"/>
      <c r="K390" s="68"/>
      <c r="L390" s="68"/>
      <c r="M390" s="68"/>
      <c r="N390" s="68"/>
      <c r="O390" s="68"/>
      <c r="P390" s="68"/>
      <c r="Q390" s="68"/>
      <c r="R390" s="68"/>
      <c r="S390" s="68"/>
      <c r="T390" s="68"/>
      <c r="U390" s="68"/>
      <c r="V390" s="68">
        <v>2</v>
      </c>
      <c r="W390" s="68"/>
      <c r="X390" s="68"/>
      <c r="Y390" s="68">
        <v>2</v>
      </c>
    </row>
    <row r="391" spans="1:25">
      <c r="A391" s="8">
        <v>41669</v>
      </c>
      <c r="B391" s="68"/>
      <c r="C391" s="68"/>
      <c r="D391" s="68"/>
      <c r="E391" s="68"/>
      <c r="F391" s="68"/>
      <c r="G391" s="68"/>
      <c r="H391" s="68"/>
      <c r="I391" s="68"/>
      <c r="J391" s="68"/>
      <c r="K391" s="68"/>
      <c r="L391" s="68"/>
      <c r="M391" s="68"/>
      <c r="N391" s="68"/>
      <c r="O391" s="68"/>
      <c r="P391" s="68"/>
      <c r="Q391" s="68"/>
      <c r="R391" s="68"/>
      <c r="S391" s="68"/>
      <c r="T391" s="68"/>
      <c r="U391" s="68"/>
      <c r="V391" s="68">
        <v>8</v>
      </c>
      <c r="W391" s="68"/>
      <c r="X391" s="68"/>
      <c r="Y391" s="68">
        <v>8</v>
      </c>
    </row>
    <row r="392" spans="1:25">
      <c r="A392" s="8">
        <v>41670</v>
      </c>
      <c r="B392" s="68"/>
      <c r="C392" s="68"/>
      <c r="D392" s="68"/>
      <c r="E392" s="68"/>
      <c r="F392" s="68"/>
      <c r="G392" s="68"/>
      <c r="H392" s="68"/>
      <c r="I392" s="68"/>
      <c r="J392" s="68"/>
      <c r="K392" s="68"/>
      <c r="L392" s="68"/>
      <c r="M392" s="68"/>
      <c r="N392" s="68"/>
      <c r="O392" s="68"/>
      <c r="P392" s="68"/>
      <c r="Q392" s="68"/>
      <c r="R392" s="68"/>
      <c r="S392" s="68"/>
      <c r="T392" s="68"/>
      <c r="U392" s="68"/>
      <c r="V392" s="68">
        <v>6</v>
      </c>
      <c r="W392" s="68"/>
      <c r="X392" s="68"/>
      <c r="Y392" s="68">
        <v>6</v>
      </c>
    </row>
    <row r="393" spans="1:25">
      <c r="A393" s="8">
        <v>41671</v>
      </c>
      <c r="B393" s="68"/>
      <c r="C393" s="68"/>
      <c r="D393" s="68"/>
      <c r="E393" s="68"/>
      <c r="F393" s="68"/>
      <c r="G393" s="68"/>
      <c r="H393" s="68"/>
      <c r="I393" s="68"/>
      <c r="J393" s="68"/>
      <c r="K393" s="68"/>
      <c r="L393" s="68"/>
      <c r="M393" s="68"/>
      <c r="N393" s="68"/>
      <c r="O393" s="68"/>
      <c r="P393" s="68"/>
      <c r="Q393" s="68"/>
      <c r="R393" s="68"/>
      <c r="S393" s="68"/>
      <c r="T393" s="68"/>
      <c r="U393" s="68"/>
      <c r="V393" s="68">
        <v>15</v>
      </c>
      <c r="W393" s="68"/>
      <c r="X393" s="68"/>
      <c r="Y393" s="68">
        <v>15</v>
      </c>
    </row>
    <row r="394" spans="1:25">
      <c r="A394" s="8">
        <v>41672</v>
      </c>
      <c r="B394" s="68"/>
      <c r="C394" s="68"/>
      <c r="D394" s="68"/>
      <c r="E394" s="68"/>
      <c r="F394" s="68"/>
      <c r="G394" s="68"/>
      <c r="H394" s="68"/>
      <c r="I394" s="68"/>
      <c r="J394" s="68"/>
      <c r="K394" s="68"/>
      <c r="L394" s="68"/>
      <c r="M394" s="68"/>
      <c r="N394" s="68"/>
      <c r="O394" s="68"/>
      <c r="P394" s="68"/>
      <c r="Q394" s="68"/>
      <c r="R394" s="68"/>
      <c r="S394" s="68"/>
      <c r="T394" s="68"/>
      <c r="U394" s="68"/>
      <c r="V394" s="68">
        <v>6</v>
      </c>
      <c r="W394" s="68"/>
      <c r="X394" s="68"/>
      <c r="Y394" s="68">
        <v>6</v>
      </c>
    </row>
    <row r="395" spans="1:25">
      <c r="A395" s="8">
        <v>41673</v>
      </c>
      <c r="B395" s="68"/>
      <c r="C395" s="68"/>
      <c r="D395" s="68"/>
      <c r="E395" s="68"/>
      <c r="F395" s="68"/>
      <c r="G395" s="68"/>
      <c r="H395" s="68"/>
      <c r="I395" s="68"/>
      <c r="J395" s="68"/>
      <c r="K395" s="68"/>
      <c r="L395" s="68"/>
      <c r="M395" s="68"/>
      <c r="N395" s="68"/>
      <c r="O395" s="68"/>
      <c r="P395" s="68"/>
      <c r="Q395" s="68"/>
      <c r="R395" s="68"/>
      <c r="S395" s="68"/>
      <c r="T395" s="68"/>
      <c r="U395" s="68"/>
      <c r="V395" s="68">
        <v>12</v>
      </c>
      <c r="W395" s="68"/>
      <c r="X395" s="68"/>
      <c r="Y395" s="68">
        <v>12</v>
      </c>
    </row>
    <row r="396" spans="1:25">
      <c r="A396" s="8">
        <v>41674</v>
      </c>
      <c r="B396" s="68"/>
      <c r="C396" s="68"/>
      <c r="D396" s="68"/>
      <c r="E396" s="68"/>
      <c r="F396" s="68"/>
      <c r="G396" s="68"/>
      <c r="H396" s="68"/>
      <c r="I396" s="68"/>
      <c r="J396" s="68"/>
      <c r="K396" s="68"/>
      <c r="L396" s="68"/>
      <c r="M396" s="68"/>
      <c r="N396" s="68"/>
      <c r="O396" s="68"/>
      <c r="P396" s="68"/>
      <c r="Q396" s="68"/>
      <c r="R396" s="68"/>
      <c r="S396" s="68"/>
      <c r="T396" s="68"/>
      <c r="U396" s="68"/>
      <c r="V396" s="68"/>
      <c r="W396" s="68">
        <v>37</v>
      </c>
      <c r="X396" s="68"/>
      <c r="Y396" s="68">
        <v>37</v>
      </c>
    </row>
    <row r="397" spans="1:25">
      <c r="A397" s="8">
        <v>41675</v>
      </c>
      <c r="B397" s="68"/>
      <c r="C397" s="68"/>
      <c r="D397" s="68"/>
      <c r="E397" s="68"/>
      <c r="F397" s="68"/>
      <c r="G397" s="68"/>
      <c r="H397" s="68"/>
      <c r="I397" s="68"/>
      <c r="J397" s="68"/>
      <c r="K397" s="68"/>
      <c r="L397" s="68"/>
      <c r="M397" s="68"/>
      <c r="N397" s="68"/>
      <c r="O397" s="68"/>
      <c r="P397" s="68"/>
      <c r="Q397" s="68"/>
      <c r="R397" s="68"/>
      <c r="S397" s="68"/>
      <c r="T397" s="68"/>
      <c r="U397" s="68"/>
      <c r="V397" s="68"/>
      <c r="W397" s="68">
        <v>13</v>
      </c>
      <c r="X397" s="68"/>
      <c r="Y397" s="68">
        <v>13</v>
      </c>
    </row>
    <row r="398" spans="1:25">
      <c r="A398" s="8">
        <v>41676</v>
      </c>
      <c r="B398" s="68"/>
      <c r="C398" s="68"/>
      <c r="D398" s="68"/>
      <c r="E398" s="68"/>
      <c r="F398" s="68"/>
      <c r="G398" s="68"/>
      <c r="H398" s="68"/>
      <c r="I398" s="68"/>
      <c r="J398" s="68"/>
      <c r="K398" s="68"/>
      <c r="L398" s="68"/>
      <c r="M398" s="68"/>
      <c r="N398" s="68"/>
      <c r="O398" s="68"/>
      <c r="P398" s="68"/>
      <c r="Q398" s="68"/>
      <c r="R398" s="68"/>
      <c r="S398" s="68"/>
      <c r="T398" s="68"/>
      <c r="U398" s="68"/>
      <c r="V398" s="68"/>
      <c r="W398" s="68">
        <v>2</v>
      </c>
      <c r="X398" s="68"/>
      <c r="Y398" s="68">
        <v>2</v>
      </c>
    </row>
    <row r="399" spans="1:25">
      <c r="A399" s="8">
        <v>41677</v>
      </c>
      <c r="B399" s="68"/>
      <c r="C399" s="68"/>
      <c r="D399" s="68"/>
      <c r="E399" s="68"/>
      <c r="F399" s="68"/>
      <c r="G399" s="68"/>
      <c r="H399" s="68"/>
      <c r="I399" s="68"/>
      <c r="J399" s="68"/>
      <c r="K399" s="68"/>
      <c r="L399" s="68"/>
      <c r="M399" s="68"/>
      <c r="N399" s="68"/>
      <c r="O399" s="68"/>
      <c r="P399" s="68"/>
      <c r="Q399" s="68"/>
      <c r="R399" s="68"/>
      <c r="S399" s="68"/>
      <c r="T399" s="68"/>
      <c r="U399" s="68"/>
      <c r="V399" s="68"/>
      <c r="W399" s="68">
        <v>24</v>
      </c>
      <c r="X399" s="68"/>
      <c r="Y399" s="68">
        <v>24</v>
      </c>
    </row>
    <row r="400" spans="1:25">
      <c r="A400" s="8">
        <v>41678</v>
      </c>
      <c r="B400" s="68"/>
      <c r="C400" s="68"/>
      <c r="D400" s="68"/>
      <c r="E400" s="68"/>
      <c r="F400" s="68"/>
      <c r="G400" s="68"/>
      <c r="H400" s="68"/>
      <c r="I400" s="68"/>
      <c r="J400" s="68"/>
      <c r="K400" s="68"/>
      <c r="L400" s="68"/>
      <c r="M400" s="68"/>
      <c r="N400" s="68"/>
      <c r="O400" s="68"/>
      <c r="P400" s="68"/>
      <c r="Q400" s="68"/>
      <c r="R400" s="68"/>
      <c r="S400" s="68"/>
      <c r="T400" s="68"/>
      <c r="U400" s="68"/>
      <c r="V400" s="68"/>
      <c r="W400" s="68">
        <v>10</v>
      </c>
      <c r="X400" s="68"/>
      <c r="Y400" s="68">
        <v>10</v>
      </c>
    </row>
    <row r="401" spans="1:25">
      <c r="A401" s="8">
        <v>41679</v>
      </c>
      <c r="B401" s="68"/>
      <c r="C401" s="68"/>
      <c r="D401" s="68"/>
      <c r="E401" s="68"/>
      <c r="F401" s="68"/>
      <c r="G401" s="68"/>
      <c r="H401" s="68"/>
      <c r="I401" s="68"/>
      <c r="J401" s="68"/>
      <c r="K401" s="68"/>
      <c r="L401" s="68"/>
      <c r="M401" s="68"/>
      <c r="N401" s="68"/>
      <c r="O401" s="68"/>
      <c r="P401" s="68"/>
      <c r="Q401" s="68"/>
      <c r="R401" s="68"/>
      <c r="S401" s="68"/>
      <c r="T401" s="68"/>
      <c r="U401" s="68"/>
      <c r="V401" s="68"/>
      <c r="W401" s="68">
        <v>11</v>
      </c>
      <c r="X401" s="68"/>
      <c r="Y401" s="68">
        <v>11</v>
      </c>
    </row>
    <row r="402" spans="1:25">
      <c r="A402" s="8">
        <v>41680</v>
      </c>
      <c r="B402" s="68"/>
      <c r="C402" s="68"/>
      <c r="D402" s="68"/>
      <c r="E402" s="68"/>
      <c r="F402" s="68"/>
      <c r="G402" s="68"/>
      <c r="H402" s="68"/>
      <c r="I402" s="68"/>
      <c r="J402" s="68"/>
      <c r="K402" s="68"/>
      <c r="L402" s="68"/>
      <c r="M402" s="68"/>
      <c r="N402" s="68"/>
      <c r="O402" s="68"/>
      <c r="P402" s="68"/>
      <c r="Q402" s="68"/>
      <c r="R402" s="68"/>
      <c r="S402" s="68"/>
      <c r="T402" s="68"/>
      <c r="U402" s="68"/>
      <c r="V402" s="68"/>
      <c r="W402" s="68">
        <v>20</v>
      </c>
      <c r="X402" s="68"/>
      <c r="Y402" s="68">
        <v>20</v>
      </c>
    </row>
    <row r="403" spans="1:25">
      <c r="A403" s="8">
        <v>41681</v>
      </c>
      <c r="B403" s="68"/>
      <c r="C403" s="68"/>
      <c r="D403" s="68"/>
      <c r="E403" s="68"/>
      <c r="F403" s="68"/>
      <c r="G403" s="68"/>
      <c r="H403" s="68"/>
      <c r="I403" s="68"/>
      <c r="J403" s="68"/>
      <c r="K403" s="68"/>
      <c r="L403" s="68"/>
      <c r="M403" s="68"/>
      <c r="N403" s="68"/>
      <c r="O403" s="68"/>
      <c r="P403" s="68"/>
      <c r="Q403" s="68"/>
      <c r="R403" s="68"/>
      <c r="S403" s="68"/>
      <c r="T403" s="68"/>
      <c r="U403" s="68"/>
      <c r="V403" s="68"/>
      <c r="W403" s="68">
        <v>38</v>
      </c>
      <c r="X403" s="68"/>
      <c r="Y403" s="68">
        <v>38</v>
      </c>
    </row>
    <row r="404" spans="1:25">
      <c r="A404" s="8">
        <v>41682</v>
      </c>
      <c r="B404" s="68"/>
      <c r="C404" s="68"/>
      <c r="D404" s="68"/>
      <c r="E404" s="68"/>
      <c r="F404" s="68"/>
      <c r="G404" s="68"/>
      <c r="H404" s="68"/>
      <c r="I404" s="68"/>
      <c r="J404" s="68"/>
      <c r="K404" s="68"/>
      <c r="L404" s="68"/>
      <c r="M404" s="68"/>
      <c r="N404" s="68"/>
      <c r="O404" s="68"/>
      <c r="P404" s="68"/>
      <c r="Q404" s="68"/>
      <c r="R404" s="68"/>
      <c r="S404" s="68"/>
      <c r="T404" s="68"/>
      <c r="U404" s="68"/>
      <c r="V404" s="68"/>
      <c r="W404" s="68">
        <v>25</v>
      </c>
      <c r="X404" s="68"/>
      <c r="Y404" s="68">
        <v>25</v>
      </c>
    </row>
    <row r="405" spans="1:25">
      <c r="A405" s="8">
        <v>41683</v>
      </c>
      <c r="B405" s="68"/>
      <c r="C405" s="68"/>
      <c r="D405" s="68"/>
      <c r="E405" s="68"/>
      <c r="F405" s="68"/>
      <c r="G405" s="68"/>
      <c r="H405" s="68"/>
      <c r="I405" s="68"/>
      <c r="J405" s="68"/>
      <c r="K405" s="68"/>
      <c r="L405" s="68"/>
      <c r="M405" s="68"/>
      <c r="N405" s="68"/>
      <c r="O405" s="68"/>
      <c r="P405" s="68"/>
      <c r="Q405" s="68"/>
      <c r="R405" s="68"/>
      <c r="S405" s="68"/>
      <c r="T405" s="68"/>
      <c r="U405" s="68"/>
      <c r="V405" s="68"/>
      <c r="W405" s="68">
        <v>13</v>
      </c>
      <c r="X405" s="68"/>
      <c r="Y405" s="68">
        <v>13</v>
      </c>
    </row>
    <row r="406" spans="1:25">
      <c r="A406" s="8">
        <v>41684</v>
      </c>
      <c r="B406" s="68"/>
      <c r="C406" s="68"/>
      <c r="D406" s="68"/>
      <c r="E406" s="68"/>
      <c r="F406" s="68"/>
      <c r="G406" s="68"/>
      <c r="H406" s="68"/>
      <c r="I406" s="68"/>
      <c r="J406" s="68"/>
      <c r="K406" s="68"/>
      <c r="L406" s="68"/>
      <c r="M406" s="68"/>
      <c r="N406" s="68"/>
      <c r="O406" s="68"/>
      <c r="P406" s="68"/>
      <c r="Q406" s="68"/>
      <c r="R406" s="68"/>
      <c r="S406" s="68"/>
      <c r="T406" s="68"/>
      <c r="U406" s="68"/>
      <c r="V406" s="68"/>
      <c r="W406" s="68">
        <v>21</v>
      </c>
      <c r="X406" s="68"/>
      <c r="Y406" s="68">
        <v>21</v>
      </c>
    </row>
    <row r="407" spans="1:25">
      <c r="A407" s="8">
        <v>41685</v>
      </c>
      <c r="B407" s="68"/>
      <c r="C407" s="68"/>
      <c r="D407" s="68"/>
      <c r="E407" s="68"/>
      <c r="F407" s="68"/>
      <c r="G407" s="68"/>
      <c r="H407" s="68"/>
      <c r="I407" s="68"/>
      <c r="J407" s="68"/>
      <c r="K407" s="68"/>
      <c r="L407" s="68"/>
      <c r="M407" s="68"/>
      <c r="N407" s="68"/>
      <c r="O407" s="68"/>
      <c r="P407" s="68"/>
      <c r="Q407" s="68"/>
      <c r="R407" s="68"/>
      <c r="S407" s="68"/>
      <c r="T407" s="68"/>
      <c r="U407" s="68"/>
      <c r="V407" s="68"/>
      <c r="W407" s="68">
        <v>11</v>
      </c>
      <c r="X407" s="68"/>
      <c r="Y407" s="68">
        <v>11</v>
      </c>
    </row>
    <row r="408" spans="1:25">
      <c r="A408" s="8">
        <v>41686</v>
      </c>
      <c r="B408" s="68"/>
      <c r="C408" s="68"/>
      <c r="D408" s="68"/>
      <c r="E408" s="68"/>
      <c r="F408" s="68"/>
      <c r="G408" s="68"/>
      <c r="H408" s="68"/>
      <c r="I408" s="68"/>
      <c r="J408" s="68"/>
      <c r="K408" s="68"/>
      <c r="L408" s="68"/>
      <c r="M408" s="68"/>
      <c r="N408" s="68"/>
      <c r="O408" s="68"/>
      <c r="P408" s="68"/>
      <c r="Q408" s="68"/>
      <c r="R408" s="68"/>
      <c r="S408" s="68"/>
      <c r="T408" s="68"/>
      <c r="U408" s="68"/>
      <c r="V408" s="68"/>
      <c r="W408" s="68">
        <v>15</v>
      </c>
      <c r="X408" s="68"/>
      <c r="Y408" s="68">
        <v>15</v>
      </c>
    </row>
    <row r="409" spans="1:25">
      <c r="A409" s="8">
        <v>41687</v>
      </c>
      <c r="B409" s="68"/>
      <c r="C409" s="68"/>
      <c r="D409" s="68"/>
      <c r="E409" s="68"/>
      <c r="F409" s="68"/>
      <c r="G409" s="68"/>
      <c r="H409" s="68"/>
      <c r="I409" s="68"/>
      <c r="J409" s="68"/>
      <c r="K409" s="68"/>
      <c r="L409" s="68"/>
      <c r="M409" s="68"/>
      <c r="N409" s="68"/>
      <c r="O409" s="68"/>
      <c r="P409" s="68"/>
      <c r="Q409" s="68"/>
      <c r="R409" s="68"/>
      <c r="S409" s="68"/>
      <c r="T409" s="68"/>
      <c r="U409" s="68"/>
      <c r="V409" s="68"/>
      <c r="W409" s="68">
        <v>13</v>
      </c>
      <c r="X409" s="68"/>
      <c r="Y409" s="68">
        <v>13</v>
      </c>
    </row>
    <row r="410" spans="1:25">
      <c r="A410" s="8">
        <v>41688</v>
      </c>
      <c r="B410" s="68"/>
      <c r="C410" s="68"/>
      <c r="D410" s="68"/>
      <c r="E410" s="68"/>
      <c r="F410" s="68"/>
      <c r="G410" s="68"/>
      <c r="H410" s="68"/>
      <c r="I410" s="68"/>
      <c r="J410" s="68"/>
      <c r="K410" s="68"/>
      <c r="L410" s="68"/>
      <c r="M410" s="68"/>
      <c r="N410" s="68"/>
      <c r="O410" s="68"/>
      <c r="P410" s="68"/>
      <c r="Q410" s="68"/>
      <c r="R410" s="68"/>
      <c r="S410" s="68"/>
      <c r="T410" s="68"/>
      <c r="U410" s="68"/>
      <c r="V410" s="68"/>
      <c r="W410" s="68"/>
      <c r="X410" s="68">
        <v>27</v>
      </c>
      <c r="Y410" s="68">
        <v>27</v>
      </c>
    </row>
    <row r="411" spans="1:25">
      <c r="A411" s="8">
        <v>41689</v>
      </c>
      <c r="B411" s="68"/>
      <c r="C411" s="68"/>
      <c r="D411" s="68"/>
      <c r="E411" s="68"/>
      <c r="F411" s="68"/>
      <c r="G411" s="68"/>
      <c r="H411" s="68"/>
      <c r="I411" s="68"/>
      <c r="J411" s="68"/>
      <c r="K411" s="68"/>
      <c r="L411" s="68"/>
      <c r="M411" s="68"/>
      <c r="N411" s="68"/>
      <c r="O411" s="68"/>
      <c r="P411" s="68"/>
      <c r="Q411" s="68"/>
      <c r="R411" s="68"/>
      <c r="S411" s="68"/>
      <c r="T411" s="68"/>
      <c r="U411" s="68"/>
      <c r="V411" s="68"/>
      <c r="W411" s="68"/>
      <c r="X411" s="68">
        <v>16</v>
      </c>
      <c r="Y411" s="68">
        <v>16</v>
      </c>
    </row>
    <row r="412" spans="1:25">
      <c r="A412" s="8">
        <v>41690</v>
      </c>
      <c r="B412" s="68"/>
      <c r="C412" s="68"/>
      <c r="D412" s="68"/>
      <c r="E412" s="68"/>
      <c r="F412" s="68"/>
      <c r="G412" s="68"/>
      <c r="H412" s="68"/>
      <c r="I412" s="68"/>
      <c r="J412" s="68"/>
      <c r="K412" s="68"/>
      <c r="L412" s="68"/>
      <c r="M412" s="68"/>
      <c r="N412" s="68"/>
      <c r="O412" s="68"/>
      <c r="P412" s="68"/>
      <c r="Q412" s="68"/>
      <c r="R412" s="68"/>
      <c r="S412" s="68"/>
      <c r="T412" s="68"/>
      <c r="U412" s="68"/>
      <c r="V412" s="68"/>
      <c r="W412" s="68"/>
      <c r="X412" s="68">
        <v>21</v>
      </c>
      <c r="Y412" s="68">
        <v>21</v>
      </c>
    </row>
    <row r="413" spans="1:25">
      <c r="A413" s="8">
        <v>41691</v>
      </c>
      <c r="B413" s="68"/>
      <c r="C413" s="68"/>
      <c r="D413" s="68"/>
      <c r="E413" s="68"/>
      <c r="F413" s="68"/>
      <c r="G413" s="68"/>
      <c r="H413" s="68"/>
      <c r="I413" s="68"/>
      <c r="J413" s="68"/>
      <c r="K413" s="68"/>
      <c r="L413" s="68"/>
      <c r="M413" s="68"/>
      <c r="N413" s="68"/>
      <c r="O413" s="68"/>
      <c r="P413" s="68"/>
      <c r="Q413" s="68"/>
      <c r="R413" s="68"/>
      <c r="S413" s="68"/>
      <c r="T413" s="68"/>
      <c r="U413" s="68"/>
      <c r="V413" s="68"/>
      <c r="W413" s="68"/>
      <c r="X413" s="68">
        <v>47</v>
      </c>
      <c r="Y413" s="68">
        <v>47</v>
      </c>
    </row>
    <row r="414" spans="1:25">
      <c r="A414" s="8">
        <v>41692</v>
      </c>
      <c r="B414" s="68"/>
      <c r="C414" s="68"/>
      <c r="D414" s="68"/>
      <c r="E414" s="68"/>
      <c r="F414" s="68"/>
      <c r="G414" s="68"/>
      <c r="H414" s="68"/>
      <c r="I414" s="68"/>
      <c r="J414" s="68"/>
      <c r="K414" s="68"/>
      <c r="L414" s="68"/>
      <c r="M414" s="68"/>
      <c r="N414" s="68"/>
      <c r="O414" s="68"/>
      <c r="P414" s="68"/>
      <c r="Q414" s="68"/>
      <c r="R414" s="68"/>
      <c r="S414" s="68"/>
      <c r="T414" s="68"/>
      <c r="U414" s="68"/>
      <c r="V414" s="68"/>
      <c r="W414" s="68"/>
      <c r="X414" s="68">
        <v>20</v>
      </c>
      <c r="Y414" s="68">
        <v>20</v>
      </c>
    </row>
    <row r="415" spans="1:25">
      <c r="A415" s="8">
        <v>41693</v>
      </c>
      <c r="B415" s="68"/>
      <c r="C415" s="68"/>
      <c r="D415" s="68"/>
      <c r="E415" s="68"/>
      <c r="F415" s="68"/>
      <c r="G415" s="68"/>
      <c r="H415" s="68"/>
      <c r="I415" s="68"/>
      <c r="J415" s="68"/>
      <c r="K415" s="68"/>
      <c r="L415" s="68"/>
      <c r="M415" s="68"/>
      <c r="N415" s="68"/>
      <c r="O415" s="68"/>
      <c r="P415" s="68"/>
      <c r="Q415" s="68"/>
      <c r="R415" s="68"/>
      <c r="S415" s="68"/>
      <c r="T415" s="68"/>
      <c r="U415" s="68"/>
      <c r="V415" s="68"/>
      <c r="W415" s="68"/>
      <c r="X415" s="68">
        <v>28</v>
      </c>
      <c r="Y415" s="68">
        <v>28</v>
      </c>
    </row>
    <row r="416" spans="1:25">
      <c r="A416" s="8">
        <v>41694</v>
      </c>
      <c r="B416" s="68"/>
      <c r="C416" s="68"/>
      <c r="D416" s="68"/>
      <c r="E416" s="68"/>
      <c r="F416" s="68"/>
      <c r="G416" s="68"/>
      <c r="H416" s="68"/>
      <c r="I416" s="68"/>
      <c r="J416" s="68"/>
      <c r="K416" s="68"/>
      <c r="L416" s="68"/>
      <c r="M416" s="68"/>
      <c r="N416" s="68"/>
      <c r="O416" s="68"/>
      <c r="P416" s="68"/>
      <c r="Q416" s="68"/>
      <c r="R416" s="68"/>
      <c r="S416" s="68"/>
      <c r="T416" s="68"/>
      <c r="U416" s="68"/>
      <c r="V416" s="68"/>
      <c r="W416" s="68"/>
      <c r="X416" s="68">
        <v>12</v>
      </c>
      <c r="Y416" s="68">
        <v>12</v>
      </c>
    </row>
    <row r="417" spans="1:25">
      <c r="A417" s="8">
        <v>41695</v>
      </c>
      <c r="B417" s="68"/>
      <c r="C417" s="68"/>
      <c r="D417" s="68"/>
      <c r="E417" s="68"/>
      <c r="F417" s="68"/>
      <c r="G417" s="68"/>
      <c r="H417" s="68"/>
      <c r="I417" s="68"/>
      <c r="J417" s="68"/>
      <c r="K417" s="68"/>
      <c r="L417" s="68"/>
      <c r="M417" s="68"/>
      <c r="N417" s="68"/>
      <c r="O417" s="68"/>
      <c r="P417" s="68"/>
      <c r="Q417" s="68"/>
      <c r="R417" s="68"/>
      <c r="S417" s="68"/>
      <c r="T417" s="68"/>
      <c r="U417" s="68"/>
      <c r="V417" s="68"/>
      <c r="W417" s="68"/>
      <c r="X417" s="68">
        <v>36</v>
      </c>
      <c r="Y417" s="68">
        <v>36</v>
      </c>
    </row>
    <row r="418" spans="1:25">
      <c r="A418" s="8">
        <v>41696</v>
      </c>
      <c r="B418" s="68"/>
      <c r="C418" s="68"/>
      <c r="D418" s="68"/>
      <c r="E418" s="68"/>
      <c r="F418" s="68"/>
      <c r="G418" s="68"/>
      <c r="H418" s="68"/>
      <c r="I418" s="68"/>
      <c r="J418" s="68"/>
      <c r="K418" s="68"/>
      <c r="L418" s="68"/>
      <c r="M418" s="68"/>
      <c r="N418" s="68"/>
      <c r="O418" s="68"/>
      <c r="P418" s="68"/>
      <c r="Q418" s="68"/>
      <c r="R418" s="68"/>
      <c r="S418" s="68"/>
      <c r="T418" s="68"/>
      <c r="U418" s="68"/>
      <c r="V418" s="68"/>
      <c r="W418" s="68"/>
      <c r="X418" s="68">
        <v>13</v>
      </c>
      <c r="Y418" s="68">
        <v>13</v>
      </c>
    </row>
    <row r="419" spans="1:25">
      <c r="A419" s="8">
        <v>41697</v>
      </c>
      <c r="B419" s="68"/>
      <c r="C419" s="68"/>
      <c r="D419" s="68"/>
      <c r="E419" s="68"/>
      <c r="F419" s="68"/>
      <c r="G419" s="68"/>
      <c r="H419" s="68"/>
      <c r="I419" s="68"/>
      <c r="J419" s="68"/>
      <c r="K419" s="68"/>
      <c r="L419" s="68"/>
      <c r="M419" s="68"/>
      <c r="N419" s="68"/>
      <c r="O419" s="68"/>
      <c r="P419" s="68"/>
      <c r="Q419" s="68"/>
      <c r="R419" s="68"/>
      <c r="S419" s="68"/>
      <c r="T419" s="68"/>
      <c r="U419" s="68"/>
      <c r="V419" s="68"/>
      <c r="W419" s="68"/>
      <c r="X419" s="68">
        <v>23</v>
      </c>
      <c r="Y419" s="68">
        <v>23</v>
      </c>
    </row>
    <row r="420" spans="1:25">
      <c r="A420" s="8">
        <v>41698</v>
      </c>
      <c r="B420" s="68"/>
      <c r="C420" s="68"/>
      <c r="D420" s="68"/>
      <c r="E420" s="68"/>
      <c r="F420" s="68"/>
      <c r="G420" s="68"/>
      <c r="H420" s="68"/>
      <c r="I420" s="68"/>
      <c r="J420" s="68"/>
      <c r="K420" s="68"/>
      <c r="L420" s="68"/>
      <c r="M420" s="68"/>
      <c r="N420" s="68"/>
      <c r="O420" s="68"/>
      <c r="P420" s="68"/>
      <c r="Q420" s="68"/>
      <c r="R420" s="68"/>
      <c r="S420" s="68"/>
      <c r="T420" s="68"/>
      <c r="U420" s="68"/>
      <c r="V420" s="68"/>
      <c r="W420" s="68"/>
      <c r="X420" s="68">
        <v>56</v>
      </c>
      <c r="Y420" s="68">
        <v>56</v>
      </c>
    </row>
    <row r="421" spans="1:25">
      <c r="A421" s="8">
        <v>41699</v>
      </c>
      <c r="B421" s="68"/>
      <c r="C421" s="68"/>
      <c r="D421" s="68"/>
      <c r="E421" s="68"/>
      <c r="F421" s="68"/>
      <c r="G421" s="68"/>
      <c r="H421" s="68"/>
      <c r="I421" s="68"/>
      <c r="J421" s="68"/>
      <c r="K421" s="68"/>
      <c r="L421" s="68"/>
      <c r="M421" s="68"/>
      <c r="N421" s="68"/>
      <c r="O421" s="68"/>
      <c r="P421" s="68"/>
      <c r="Q421" s="68"/>
      <c r="R421" s="68"/>
      <c r="S421" s="68"/>
      <c r="T421" s="68"/>
      <c r="U421" s="68"/>
      <c r="V421" s="68"/>
      <c r="W421" s="68"/>
      <c r="X421" s="68">
        <v>37</v>
      </c>
      <c r="Y421" s="68">
        <v>37</v>
      </c>
    </row>
    <row r="422" spans="1:25">
      <c r="A422" s="8">
        <v>41700</v>
      </c>
      <c r="B422" s="68"/>
      <c r="C422" s="68"/>
      <c r="D422" s="68"/>
      <c r="E422" s="68"/>
      <c r="F422" s="68"/>
      <c r="G422" s="68"/>
      <c r="H422" s="68"/>
      <c r="I422" s="68"/>
      <c r="J422" s="68"/>
      <c r="K422" s="68"/>
      <c r="L422" s="68"/>
      <c r="M422" s="68"/>
      <c r="N422" s="68"/>
      <c r="O422" s="68"/>
      <c r="P422" s="68"/>
      <c r="Q422" s="68"/>
      <c r="R422" s="68"/>
      <c r="S422" s="68"/>
      <c r="T422" s="68"/>
      <c r="U422" s="68"/>
      <c r="V422" s="68"/>
      <c r="W422" s="68"/>
      <c r="X422" s="68">
        <v>49</v>
      </c>
      <c r="Y422" s="68">
        <v>49</v>
      </c>
    </row>
    <row r="423" spans="1:25">
      <c r="A423" s="8" t="s">
        <v>12</v>
      </c>
      <c r="B423" s="68">
        <v>173</v>
      </c>
      <c r="C423" s="68">
        <v>196</v>
      </c>
      <c r="D423" s="68">
        <v>195</v>
      </c>
      <c r="E423" s="68">
        <v>210</v>
      </c>
      <c r="F423" s="68">
        <v>291</v>
      </c>
      <c r="G423" s="68">
        <v>170</v>
      </c>
      <c r="H423" s="68">
        <v>252</v>
      </c>
      <c r="I423" s="68">
        <v>520</v>
      </c>
      <c r="J423" s="68">
        <v>164</v>
      </c>
      <c r="K423" s="68">
        <v>135</v>
      </c>
      <c r="L423" s="68">
        <v>153</v>
      </c>
      <c r="M423" s="68">
        <v>322</v>
      </c>
      <c r="N423" s="68">
        <v>298</v>
      </c>
      <c r="O423" s="68">
        <v>133</v>
      </c>
      <c r="P423" s="68">
        <v>192</v>
      </c>
      <c r="Q423" s="68">
        <v>198</v>
      </c>
      <c r="R423" s="68">
        <v>991</v>
      </c>
      <c r="S423" s="68">
        <v>1244</v>
      </c>
      <c r="T423" s="68">
        <v>855</v>
      </c>
      <c r="U423" s="68">
        <v>291</v>
      </c>
      <c r="V423" s="68">
        <v>143</v>
      </c>
      <c r="W423" s="68">
        <v>253</v>
      </c>
      <c r="X423" s="68">
        <v>385</v>
      </c>
      <c r="Y423" s="68">
        <v>7764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30027-BDDD-9C47-8F49-874DADA755AD}">
  <dimension ref="A1:P27"/>
  <sheetViews>
    <sheetView topLeftCell="A17" zoomScale="125" zoomScaleNormal="64" workbookViewId="0">
      <selection activeCell="O30" sqref="O30"/>
    </sheetView>
  </sheetViews>
  <sheetFormatPr baseColWidth="10" defaultRowHeight="15"/>
  <cols>
    <col min="1" max="1" width="14" customWidth="1"/>
    <col min="3" max="3" width="16.5" customWidth="1"/>
    <col min="4" max="4" width="17.6640625" customWidth="1"/>
    <col min="5" max="5" width="13.6640625" customWidth="1"/>
    <col min="9" max="11" width="11" bestFit="1" customWidth="1"/>
    <col min="12" max="12" width="11.83203125" bestFit="1" customWidth="1"/>
    <col min="13" max="16" width="11" bestFit="1" customWidth="1"/>
  </cols>
  <sheetData>
    <row r="1" spans="1:16">
      <c r="A1" s="13" t="s">
        <v>0</v>
      </c>
      <c r="B1" s="14" t="s">
        <v>14</v>
      </c>
      <c r="C1" s="10" t="s">
        <v>66</v>
      </c>
      <c r="D1" s="10" t="s">
        <v>70</v>
      </c>
      <c r="E1" s="14" t="s">
        <v>67</v>
      </c>
      <c r="F1" s="14" t="s">
        <v>15</v>
      </c>
      <c r="H1" s="12"/>
      <c r="I1" s="12"/>
      <c r="J1" s="12"/>
      <c r="K1" s="12"/>
      <c r="L1" s="12"/>
      <c r="M1" s="12"/>
      <c r="N1" s="12"/>
      <c r="O1" s="12"/>
      <c r="P1" s="12"/>
    </row>
    <row r="2" spans="1:16">
      <c r="A2" s="15">
        <v>1</v>
      </c>
      <c r="B2" s="16">
        <v>21</v>
      </c>
      <c r="C2" s="11">
        <f t="shared" ref="C2:C24" si="0">LN(B2)</f>
        <v>3.044522437723423</v>
      </c>
      <c r="D2" s="11">
        <f t="shared" ref="D2:D24" si="1">(C2-$B$26)/$B$27</f>
        <v>0.61827230815016543</v>
      </c>
      <c r="E2" s="16">
        <v>0</v>
      </c>
      <c r="F2" s="16">
        <v>173</v>
      </c>
      <c r="H2" s="12"/>
      <c r="I2" s="12"/>
      <c r="J2" s="12"/>
      <c r="K2" s="12"/>
      <c r="L2" s="12"/>
      <c r="M2" s="12"/>
      <c r="N2" s="12"/>
      <c r="O2" s="12"/>
      <c r="P2" s="12"/>
    </row>
    <row r="3" spans="1:16">
      <c r="A3" s="15">
        <v>2</v>
      </c>
      <c r="B3" s="16">
        <v>20</v>
      </c>
      <c r="C3" s="11">
        <f t="shared" si="0"/>
        <v>2.9957322735539909</v>
      </c>
      <c r="D3" s="11">
        <f t="shared" si="1"/>
        <v>0.46738262275944936</v>
      </c>
      <c r="E3" s="16">
        <v>0</v>
      </c>
      <c r="F3" s="16">
        <v>196</v>
      </c>
      <c r="H3" s="12"/>
      <c r="I3" s="12"/>
      <c r="J3" s="12"/>
      <c r="K3" s="12"/>
      <c r="L3" s="12"/>
      <c r="M3" s="12"/>
      <c r="N3" s="12"/>
      <c r="O3" s="12"/>
      <c r="P3" s="12"/>
    </row>
    <row r="4" spans="1:16">
      <c r="A4" s="15">
        <v>3</v>
      </c>
      <c r="B4" s="16">
        <v>13</v>
      </c>
      <c r="C4" s="11">
        <f t="shared" si="0"/>
        <v>2.5649493574615367</v>
      </c>
      <c r="D4" s="11">
        <f t="shared" si="1"/>
        <v>-0.86486742778679715</v>
      </c>
      <c r="E4" s="16">
        <v>0</v>
      </c>
      <c r="F4" s="16">
        <v>195</v>
      </c>
      <c r="H4" t="s">
        <v>73</v>
      </c>
    </row>
    <row r="5" spans="1:16" ht="16" thickBot="1">
      <c r="A5" s="15">
        <v>4</v>
      </c>
      <c r="B5" s="16">
        <v>15</v>
      </c>
      <c r="C5" s="11">
        <f t="shared" si="0"/>
        <v>2.7080502011022101</v>
      </c>
      <c r="D5" s="11">
        <f t="shared" si="1"/>
        <v>-0.42231016970699592</v>
      </c>
      <c r="E5" s="16">
        <v>0</v>
      </c>
      <c r="F5" s="16">
        <v>210</v>
      </c>
    </row>
    <row r="6" spans="1:16">
      <c r="A6" s="15">
        <v>5</v>
      </c>
      <c r="B6" s="16">
        <v>13</v>
      </c>
      <c r="C6" s="11">
        <f t="shared" si="0"/>
        <v>2.5649493574615367</v>
      </c>
      <c r="D6" s="11">
        <f t="shared" si="1"/>
        <v>-0.86486742778679715</v>
      </c>
      <c r="E6" s="16">
        <v>0</v>
      </c>
      <c r="F6" s="16">
        <v>291</v>
      </c>
      <c r="H6" s="26" t="s">
        <v>16</v>
      </c>
      <c r="I6" s="26"/>
    </row>
    <row r="7" spans="1:16">
      <c r="A7" s="15">
        <v>6</v>
      </c>
      <c r="B7" s="16">
        <v>14</v>
      </c>
      <c r="C7" s="11">
        <f t="shared" si="0"/>
        <v>2.6390573296152584</v>
      </c>
      <c r="D7" s="11">
        <f t="shared" si="1"/>
        <v>-0.63567925444130136</v>
      </c>
      <c r="E7" s="16">
        <v>0</v>
      </c>
      <c r="F7" s="16">
        <v>170</v>
      </c>
      <c r="H7" t="s">
        <v>17</v>
      </c>
      <c r="I7">
        <v>0.93935472927333274</v>
      </c>
    </row>
    <row r="8" spans="1:16">
      <c r="A8" s="15">
        <v>7</v>
      </c>
      <c r="B8" s="16">
        <v>15</v>
      </c>
      <c r="C8" s="11">
        <f t="shared" si="0"/>
        <v>2.7080502011022101</v>
      </c>
      <c r="D8" s="11">
        <f t="shared" si="1"/>
        <v>-0.42231016970699592</v>
      </c>
      <c r="E8" s="16">
        <v>0</v>
      </c>
      <c r="F8" s="16">
        <v>252</v>
      </c>
      <c r="H8" t="s">
        <v>18</v>
      </c>
      <c r="I8">
        <v>0.88238730740817628</v>
      </c>
    </row>
    <row r="9" spans="1:16">
      <c r="A9" s="15">
        <v>8</v>
      </c>
      <c r="B9" s="16">
        <v>21</v>
      </c>
      <c r="C9" s="11">
        <f t="shared" si="0"/>
        <v>3.044522437723423</v>
      </c>
      <c r="D9" s="11">
        <f t="shared" si="1"/>
        <v>0.61827230815016543</v>
      </c>
      <c r="E9" s="16">
        <v>0</v>
      </c>
      <c r="F9" s="16">
        <v>520</v>
      </c>
      <c r="H9" t="s">
        <v>19</v>
      </c>
      <c r="I9">
        <v>0.87062603814899386</v>
      </c>
    </row>
    <row r="10" spans="1:16">
      <c r="A10" s="15">
        <v>9</v>
      </c>
      <c r="B10" s="16">
        <v>14</v>
      </c>
      <c r="C10" s="11">
        <f t="shared" si="0"/>
        <v>2.6390573296152584</v>
      </c>
      <c r="D10" s="11">
        <f t="shared" si="1"/>
        <v>-0.63567925444130136</v>
      </c>
      <c r="E10" s="16">
        <v>0</v>
      </c>
      <c r="F10" s="16">
        <v>164</v>
      </c>
      <c r="H10" t="s">
        <v>20</v>
      </c>
      <c r="I10">
        <v>105.97784872757833</v>
      </c>
    </row>
    <row r="11" spans="1:16" ht="16" thickBot="1">
      <c r="A11" s="15">
        <v>10</v>
      </c>
      <c r="B11" s="16">
        <v>14</v>
      </c>
      <c r="C11" s="11">
        <f t="shared" si="0"/>
        <v>2.6390573296152584</v>
      </c>
      <c r="D11" s="11">
        <f t="shared" si="1"/>
        <v>-0.63567925444130136</v>
      </c>
      <c r="E11" s="16">
        <v>0</v>
      </c>
      <c r="F11" s="16">
        <v>135</v>
      </c>
      <c r="H11" s="24" t="s">
        <v>21</v>
      </c>
      <c r="I11" s="24">
        <v>23</v>
      </c>
    </row>
    <row r="12" spans="1:16">
      <c r="A12" s="15">
        <v>11</v>
      </c>
      <c r="B12" s="16">
        <v>14</v>
      </c>
      <c r="C12" s="11">
        <f t="shared" si="0"/>
        <v>2.6390573296152584</v>
      </c>
      <c r="D12" s="11">
        <f t="shared" si="1"/>
        <v>-0.63567925444130136</v>
      </c>
      <c r="E12" s="16">
        <v>0</v>
      </c>
      <c r="F12" s="16">
        <v>153</v>
      </c>
    </row>
    <row r="13" spans="1:16" ht="16" thickBot="1">
      <c r="A13" s="15">
        <v>12</v>
      </c>
      <c r="B13" s="16">
        <v>16</v>
      </c>
      <c r="C13" s="11">
        <f t="shared" si="0"/>
        <v>2.7725887222397811</v>
      </c>
      <c r="D13" s="11">
        <f t="shared" si="1"/>
        <v>-0.2227167205803926</v>
      </c>
      <c r="E13" s="16">
        <v>0</v>
      </c>
      <c r="F13" s="16">
        <v>322</v>
      </c>
      <c r="H13" t="s">
        <v>22</v>
      </c>
    </row>
    <row r="14" spans="1:16">
      <c r="A14" s="15">
        <v>13</v>
      </c>
      <c r="B14" s="16">
        <v>26</v>
      </c>
      <c r="C14" s="11">
        <f t="shared" si="0"/>
        <v>3.2580965380214821</v>
      </c>
      <c r="D14" s="11">
        <f t="shared" si="1"/>
        <v>1.2787769272711149</v>
      </c>
      <c r="E14" s="16">
        <v>0</v>
      </c>
      <c r="F14" s="16">
        <v>298</v>
      </c>
      <c r="H14" s="25"/>
      <c r="I14" s="25" t="s">
        <v>27</v>
      </c>
      <c r="J14" s="25" t="s">
        <v>28</v>
      </c>
      <c r="K14" s="25" t="s">
        <v>29</v>
      </c>
      <c r="L14" s="25" t="s">
        <v>30</v>
      </c>
      <c r="M14" s="25" t="s">
        <v>31</v>
      </c>
    </row>
    <row r="15" spans="1:16">
      <c r="A15" s="15">
        <v>14</v>
      </c>
      <c r="B15" s="16">
        <v>16</v>
      </c>
      <c r="C15" s="11">
        <f t="shared" si="0"/>
        <v>2.7725887222397811</v>
      </c>
      <c r="D15" s="11">
        <f t="shared" si="1"/>
        <v>-0.2227167205803926</v>
      </c>
      <c r="E15" s="16">
        <v>0</v>
      </c>
      <c r="F15" s="16">
        <v>133</v>
      </c>
      <c r="H15" t="s">
        <v>23</v>
      </c>
      <c r="I15">
        <v>2</v>
      </c>
      <c r="J15">
        <v>1685253.5637554035</v>
      </c>
      <c r="K15">
        <v>842626.78187770175</v>
      </c>
      <c r="L15">
        <v>75.024836857575622</v>
      </c>
      <c r="M15">
        <v>5.0645624072046669E-10</v>
      </c>
    </row>
    <row r="16" spans="1:16">
      <c r="A16" s="15">
        <v>15</v>
      </c>
      <c r="B16" s="16">
        <v>18</v>
      </c>
      <c r="C16" s="11">
        <f t="shared" si="0"/>
        <v>2.8903717578961645</v>
      </c>
      <c r="D16" s="11">
        <f t="shared" si="1"/>
        <v>0.14154204954462757</v>
      </c>
      <c r="E16" s="16">
        <v>0</v>
      </c>
      <c r="F16" s="16">
        <v>192</v>
      </c>
      <c r="H16" t="s">
        <v>24</v>
      </c>
      <c r="I16">
        <v>20</v>
      </c>
      <c r="J16">
        <v>224626.08841850952</v>
      </c>
      <c r="K16">
        <v>11231.304420925477</v>
      </c>
    </row>
    <row r="17" spans="1:16" ht="16" thickBot="1">
      <c r="A17" s="15">
        <v>16</v>
      </c>
      <c r="B17" s="16">
        <v>14</v>
      </c>
      <c r="C17" s="11">
        <f t="shared" si="0"/>
        <v>2.6390573296152584</v>
      </c>
      <c r="D17" s="11">
        <f t="shared" si="1"/>
        <v>-0.63567925444130136</v>
      </c>
      <c r="E17" s="16">
        <v>0</v>
      </c>
      <c r="F17" s="16">
        <v>198</v>
      </c>
      <c r="H17" s="24" t="s">
        <v>25</v>
      </c>
      <c r="I17" s="24">
        <v>22</v>
      </c>
      <c r="J17" s="24">
        <v>1909879.6521739131</v>
      </c>
      <c r="K17" s="24"/>
      <c r="L17" s="24"/>
      <c r="M17" s="24"/>
    </row>
    <row r="18" spans="1:16" ht="16" thickBot="1">
      <c r="A18" s="15">
        <v>17</v>
      </c>
      <c r="B18" s="16">
        <v>36</v>
      </c>
      <c r="C18" s="11">
        <f t="shared" si="0"/>
        <v>3.5835189384561099</v>
      </c>
      <c r="D18" s="11">
        <f t="shared" si="1"/>
        <v>2.2851864046025399</v>
      </c>
      <c r="E18" s="16">
        <v>1</v>
      </c>
      <c r="F18" s="16">
        <v>991</v>
      </c>
    </row>
    <row r="19" spans="1:16">
      <c r="A19" s="15">
        <v>18</v>
      </c>
      <c r="B19" s="16">
        <v>35</v>
      </c>
      <c r="C19" s="11">
        <f t="shared" si="0"/>
        <v>3.5553480614894135</v>
      </c>
      <c r="D19" s="11">
        <f t="shared" si="1"/>
        <v>2.1980644439564525</v>
      </c>
      <c r="E19" s="16">
        <v>1</v>
      </c>
      <c r="F19" s="16">
        <v>1244</v>
      </c>
      <c r="H19" s="25"/>
      <c r="I19" s="25" t="s">
        <v>32</v>
      </c>
      <c r="J19" s="25" t="s">
        <v>20</v>
      </c>
      <c r="K19" s="25" t="s">
        <v>33</v>
      </c>
      <c r="L19" s="25" t="s">
        <v>34</v>
      </c>
      <c r="M19" s="25" t="s">
        <v>35</v>
      </c>
      <c r="N19" s="25" t="s">
        <v>36</v>
      </c>
      <c r="O19" s="25" t="s">
        <v>37</v>
      </c>
      <c r="P19" s="25" t="s">
        <v>38</v>
      </c>
    </row>
    <row r="20" spans="1:16">
      <c r="A20" s="15">
        <v>19</v>
      </c>
      <c r="B20" s="16">
        <v>28</v>
      </c>
      <c r="C20" s="11">
        <f t="shared" si="0"/>
        <v>3.3322045101752038</v>
      </c>
      <c r="D20" s="11">
        <f t="shared" si="1"/>
        <v>1.5079651006166108</v>
      </c>
      <c r="E20" s="16">
        <v>1</v>
      </c>
      <c r="F20" s="16">
        <v>855</v>
      </c>
      <c r="H20" t="s">
        <v>26</v>
      </c>
      <c r="I20">
        <v>252.10197680424028</v>
      </c>
      <c r="J20">
        <v>26.150960132400428</v>
      </c>
      <c r="K20">
        <v>9.6402570126628664</v>
      </c>
      <c r="L20">
        <v>5.8370928228186972E-9</v>
      </c>
      <c r="M20">
        <v>197.5520298571461</v>
      </c>
      <c r="N20">
        <v>306.65192375133449</v>
      </c>
      <c r="O20">
        <v>197.5520298571461</v>
      </c>
      <c r="P20">
        <v>306.65192375133449</v>
      </c>
    </row>
    <row r="21" spans="1:16">
      <c r="A21" s="15">
        <v>20</v>
      </c>
      <c r="B21" s="16">
        <v>17</v>
      </c>
      <c r="C21" s="11">
        <f t="shared" si="0"/>
        <v>2.8332133440562162</v>
      </c>
      <c r="D21" s="11">
        <f t="shared" si="1"/>
        <v>-3.5227494656775708E-2</v>
      </c>
      <c r="E21" s="16">
        <v>0</v>
      </c>
      <c r="F21" s="16">
        <v>291</v>
      </c>
      <c r="H21" t="s">
        <v>71</v>
      </c>
      <c r="I21">
        <v>61.429856511089234</v>
      </c>
      <c r="J21">
        <v>36.918288329694349</v>
      </c>
      <c r="K21">
        <v>1.6639410788088891</v>
      </c>
      <c r="L21">
        <v>0.1117149364588275</v>
      </c>
      <c r="M21">
        <v>-15.580343480275136</v>
      </c>
      <c r="N21">
        <v>138.44005650245361</v>
      </c>
      <c r="O21">
        <v>-15.580343480275136</v>
      </c>
      <c r="P21">
        <v>138.44005650245361</v>
      </c>
    </row>
    <row r="22" spans="1:16" ht="16" thickBot="1">
      <c r="A22" s="15">
        <v>21</v>
      </c>
      <c r="B22" s="16">
        <v>11</v>
      </c>
      <c r="C22" s="11">
        <f t="shared" si="0"/>
        <v>2.3978952727983707</v>
      </c>
      <c r="D22" s="11">
        <f t="shared" si="1"/>
        <v>-1.3815030798113421</v>
      </c>
      <c r="E22" s="16">
        <v>0</v>
      </c>
      <c r="F22" s="16">
        <v>143</v>
      </c>
      <c r="H22" s="24" t="s">
        <v>72</v>
      </c>
      <c r="I22" s="24">
        <v>655.21817783415747</v>
      </c>
      <c r="J22" s="24">
        <v>107.2114551308448</v>
      </c>
      <c r="K22" s="24">
        <v>6.1114568124693873</v>
      </c>
      <c r="L22" s="24">
        <v>5.676105227172047E-6</v>
      </c>
      <c r="M22" s="24">
        <v>431.57900130303085</v>
      </c>
      <c r="N22" s="24">
        <v>878.8573543652841</v>
      </c>
      <c r="O22" s="24">
        <v>431.57900130303085</v>
      </c>
      <c r="P22" s="24">
        <v>878.8573543652841</v>
      </c>
    </row>
    <row r="23" spans="1:16">
      <c r="A23" s="15">
        <v>22</v>
      </c>
      <c r="B23" s="16">
        <v>14</v>
      </c>
      <c r="C23" s="11">
        <f t="shared" si="0"/>
        <v>2.6390573296152584</v>
      </c>
      <c r="D23" s="11">
        <f t="shared" si="1"/>
        <v>-0.63567925444130136</v>
      </c>
      <c r="E23" s="16">
        <v>0</v>
      </c>
      <c r="F23" s="16">
        <v>253</v>
      </c>
      <c r="H23" s="12"/>
    </row>
    <row r="24" spans="1:16">
      <c r="A24" s="15">
        <v>23</v>
      </c>
      <c r="B24" s="16">
        <v>13</v>
      </c>
      <c r="C24" s="11">
        <f t="shared" si="0"/>
        <v>2.5649493574615367</v>
      </c>
      <c r="D24" s="11">
        <f t="shared" si="1"/>
        <v>-0.86486742778679715</v>
      </c>
      <c r="E24" s="16">
        <v>0</v>
      </c>
      <c r="F24" s="16">
        <v>385</v>
      </c>
      <c r="H24" s="12"/>
    </row>
    <row r="25" spans="1:16">
      <c r="G25" s="12"/>
      <c r="H25" s="12"/>
    </row>
    <row r="26" spans="1:16">
      <c r="A26" s="10" t="s">
        <v>69</v>
      </c>
      <c r="B26" s="11">
        <f>AVERAGE(C2:C24)</f>
        <v>2.8446041508110405</v>
      </c>
      <c r="G26" s="12"/>
      <c r="H26" s="12"/>
    </row>
    <row r="27" spans="1:16">
      <c r="A27" s="10" t="s">
        <v>68</v>
      </c>
      <c r="B27" s="11">
        <f>_xlfn.STDEV.S(C2:C24)</f>
        <v>0.32334989660223723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BB3F-586F-D542-B053-D2C314B09D89}">
  <dimension ref="A1:O1000"/>
  <sheetViews>
    <sheetView topLeftCell="A2" zoomScale="142" workbookViewId="0">
      <selection activeCell="H11" sqref="H11"/>
    </sheetView>
  </sheetViews>
  <sheetFormatPr baseColWidth="10" defaultRowHeight="15"/>
  <cols>
    <col min="1" max="2" width="13.5" customWidth="1"/>
    <col min="3" max="3" width="18.5" customWidth="1"/>
    <col min="4" max="4" width="18" customWidth="1"/>
    <col min="5" max="5" width="13" customWidth="1"/>
    <col min="6" max="6" width="11.6640625" customWidth="1"/>
    <col min="8" max="8" width="13.1640625" customWidth="1"/>
    <col min="11" max="11" width="13.6640625" bestFit="1" customWidth="1"/>
    <col min="13" max="13" width="16" customWidth="1"/>
    <col min="14" max="14" width="18.6640625" customWidth="1"/>
    <col min="15" max="15" width="14.33203125" customWidth="1"/>
  </cols>
  <sheetData>
    <row r="1" spans="1:15">
      <c r="A1" s="10" t="s">
        <v>0</v>
      </c>
      <c r="B1" s="10" t="s">
        <v>14</v>
      </c>
      <c r="C1" s="10" t="s">
        <v>74</v>
      </c>
      <c r="D1" s="10" t="s">
        <v>67</v>
      </c>
      <c r="E1" s="10" t="s">
        <v>39</v>
      </c>
      <c r="F1" s="18" t="s">
        <v>44</v>
      </c>
    </row>
    <row r="2" spans="1:15">
      <c r="A2" s="11">
        <v>24</v>
      </c>
      <c r="B2" s="11">
        <v>21</v>
      </c>
      <c r="C2" s="11">
        <f>(LN(B2)-Regression!B26)/Regression!B27</f>
        <v>0.61827230815016543</v>
      </c>
      <c r="D2" s="11">
        <v>0</v>
      </c>
      <c r="E2" s="11">
        <f>Regression!I20+'Task 3'!C2*Regression!I21+'Task 3'!D2*Regression!I22</f>
        <v>290.08235597868486</v>
      </c>
    </row>
    <row r="4" spans="1:15">
      <c r="A4" s="10" t="s">
        <v>81</v>
      </c>
      <c r="B4" s="17">
        <v>65</v>
      </c>
      <c r="E4" s="9"/>
    </row>
    <row r="5" spans="1:15">
      <c r="A5" s="10" t="s">
        <v>82</v>
      </c>
      <c r="B5" s="17">
        <v>135</v>
      </c>
      <c r="C5" s="9"/>
      <c r="N5" s="33"/>
    </row>
    <row r="6" spans="1:15">
      <c r="A6" s="10" t="s">
        <v>75</v>
      </c>
      <c r="B6" s="11">
        <f>E2</f>
        <v>290.08235597868486</v>
      </c>
      <c r="N6" s="12"/>
      <c r="O6" s="33"/>
    </row>
    <row r="7" spans="1:15">
      <c r="A7" s="10" t="s">
        <v>42</v>
      </c>
      <c r="B7" s="11">
        <f>Regression!I10</f>
        <v>105.97784872757833</v>
      </c>
      <c r="N7" s="12"/>
      <c r="O7" s="33"/>
    </row>
    <row r="8" spans="1:15">
      <c r="N8" s="12"/>
      <c r="O8" s="33"/>
    </row>
    <row r="9" spans="1:15">
      <c r="A9" s="10" t="s">
        <v>78</v>
      </c>
      <c r="B9" s="11">
        <f>_xlfn.FLOOR.MATH(E2)</f>
        <v>290</v>
      </c>
      <c r="N9" s="12"/>
      <c r="O9" s="33"/>
    </row>
    <row r="10" spans="1:15">
      <c r="A10" s="10" t="s">
        <v>84</v>
      </c>
      <c r="B10" s="29">
        <f ca="1">AVERAGE(H16:H1000)</f>
        <v>14336.426395939086</v>
      </c>
      <c r="N10" s="12"/>
      <c r="O10" s="33"/>
    </row>
    <row r="11" spans="1:15">
      <c r="N11" s="12"/>
      <c r="O11" s="33"/>
    </row>
    <row r="12" spans="1:15">
      <c r="A12" s="10" t="s">
        <v>79</v>
      </c>
      <c r="B12" s="17">
        <f>MAX(K15:K415)</f>
        <v>15013.177664974619</v>
      </c>
      <c r="N12" s="12"/>
      <c r="O12" s="33"/>
    </row>
    <row r="13" spans="1:15">
      <c r="A13" s="10" t="s">
        <v>43</v>
      </c>
      <c r="B13" s="11">
        <f>_xlfn.XLOOKUP(B12,K15:K415,J15:J415,0,0,1)</f>
        <v>287</v>
      </c>
      <c r="J13" s="10" t="s">
        <v>78</v>
      </c>
      <c r="K13" s="10" t="s">
        <v>85</v>
      </c>
      <c r="N13" s="12"/>
      <c r="O13" s="33"/>
    </row>
    <row r="14" spans="1:15">
      <c r="J14" s="23"/>
      <c r="K14" s="28">
        <f ca="1">B10</f>
        <v>14336.426395939086</v>
      </c>
      <c r="N14" s="12"/>
      <c r="O14" s="33"/>
    </row>
    <row r="15" spans="1:15">
      <c r="B15" s="10" t="s">
        <v>76</v>
      </c>
      <c r="C15" s="10" t="s">
        <v>58</v>
      </c>
      <c r="D15" s="10" t="s">
        <v>77</v>
      </c>
      <c r="E15" s="10" t="s">
        <v>83</v>
      </c>
      <c r="F15" s="10" t="s">
        <v>41</v>
      </c>
      <c r="G15" s="10" t="s">
        <v>40</v>
      </c>
      <c r="H15" s="10" t="s">
        <v>80</v>
      </c>
      <c r="J15" s="23">
        <v>100</v>
      </c>
      <c r="K15" s="30">
        <f t="dataTable" ref="K15:K415" dt2D="0" dtr="0" r1="B9" ca="1"/>
        <v>6821.0050761421317</v>
      </c>
      <c r="N15" s="12"/>
      <c r="O15" s="33"/>
    </row>
    <row r="16" spans="1:15">
      <c r="B16" s="23">
        <f ca="1">RAND()</f>
        <v>0.295817418441913</v>
      </c>
      <c r="C16" s="23">
        <f ca="1">_xlfn.FLOOR.MATH(_xlfn.NORM.INV(B16,$B$6,$B$7))</f>
        <v>233</v>
      </c>
      <c r="D16" s="23">
        <f>$B$9</f>
        <v>290</v>
      </c>
      <c r="E16" s="23">
        <f ca="1">_xlfn.FLOOR.MATH(MIN(C16,D16))</f>
        <v>233</v>
      </c>
      <c r="F16" s="27">
        <v>65</v>
      </c>
      <c r="G16" s="27">
        <v>135</v>
      </c>
      <c r="H16" s="28">
        <f ca="1">E16*G16-D16*F16</f>
        <v>12605</v>
      </c>
      <c r="J16" s="23">
        <v>101</v>
      </c>
      <c r="K16" s="30">
        <v>6752.8527918781729</v>
      </c>
      <c r="N16" s="12"/>
      <c r="O16" s="33"/>
    </row>
    <row r="17" spans="2:15">
      <c r="B17" s="23">
        <f t="shared" ref="B17:B80" ca="1" si="0">RAND()</f>
        <v>0.10797112285241806</v>
      </c>
      <c r="C17" s="23">
        <f ca="1">_xlfn.FLOOR.MATH(_xlfn.NORM.INV(B17,$B$6,$B$7))</f>
        <v>158</v>
      </c>
      <c r="D17" s="23">
        <f t="shared" ref="D17:D80" si="1">$B$9</f>
        <v>290</v>
      </c>
      <c r="E17" s="23">
        <f ca="1">_xlfn.FLOOR.MATH(MIN(C17,D17))</f>
        <v>158</v>
      </c>
      <c r="F17" s="27">
        <v>65</v>
      </c>
      <c r="G17" s="27">
        <v>135</v>
      </c>
      <c r="H17" s="28">
        <f t="shared" ref="H17:H80" ca="1" si="2">E17*G17-D17*F17</f>
        <v>2480</v>
      </c>
      <c r="J17" s="23">
        <v>102</v>
      </c>
      <c r="K17" s="30">
        <v>6928.6598984771572</v>
      </c>
      <c r="N17" s="12"/>
      <c r="O17" s="33"/>
    </row>
    <row r="18" spans="2:15">
      <c r="B18" s="23">
        <f t="shared" ca="1" si="0"/>
        <v>0.94984565661207088</v>
      </c>
      <c r="C18" s="23">
        <f t="shared" ref="C18:C81" ca="1" si="3">_xlfn.FLOOR.MATH(_xlfn.NORM.INV(B18,$B$6,$B$7))</f>
        <v>464</v>
      </c>
      <c r="D18" s="23">
        <f t="shared" si="1"/>
        <v>290</v>
      </c>
      <c r="E18" s="23">
        <f t="shared" ref="E18:E80" ca="1" si="4">_xlfn.FLOOR.MATH(MIN(C18,D18))</f>
        <v>290</v>
      </c>
      <c r="F18" s="27">
        <v>65</v>
      </c>
      <c r="G18" s="27">
        <v>135</v>
      </c>
      <c r="H18" s="28">
        <f t="shared" ca="1" si="2"/>
        <v>20300</v>
      </c>
      <c r="J18" s="23">
        <v>103</v>
      </c>
      <c r="K18" s="30">
        <v>7024.7005076142132</v>
      </c>
      <c r="N18" s="12"/>
      <c r="O18" s="33"/>
    </row>
    <row r="19" spans="2:15">
      <c r="B19" s="23">
        <f t="shared" ca="1" si="0"/>
        <v>0.43773530112831649</v>
      </c>
      <c r="C19" s="23">
        <f t="shared" ca="1" si="3"/>
        <v>273</v>
      </c>
      <c r="D19" s="23">
        <f t="shared" si="1"/>
        <v>290</v>
      </c>
      <c r="E19" s="23">
        <f t="shared" ca="1" si="4"/>
        <v>273</v>
      </c>
      <c r="F19" s="27">
        <v>65</v>
      </c>
      <c r="G19" s="27">
        <v>135</v>
      </c>
      <c r="H19" s="28">
        <f t="shared" ca="1" si="2"/>
        <v>18005</v>
      </c>
      <c r="J19" s="23">
        <v>104</v>
      </c>
      <c r="K19" s="30">
        <v>7093.0558375634519</v>
      </c>
    </row>
    <row r="20" spans="2:15">
      <c r="B20" s="23">
        <f t="shared" ca="1" si="0"/>
        <v>0.33999596784957054</v>
      </c>
      <c r="C20" s="23">
        <f t="shared" ca="1" si="3"/>
        <v>246</v>
      </c>
      <c r="D20" s="23">
        <f t="shared" si="1"/>
        <v>290</v>
      </c>
      <c r="E20" s="23">
        <f t="shared" ca="1" si="4"/>
        <v>246</v>
      </c>
      <c r="F20" s="27">
        <v>65</v>
      </c>
      <c r="G20" s="27">
        <v>135</v>
      </c>
      <c r="H20" s="28">
        <f t="shared" ca="1" si="2"/>
        <v>14360</v>
      </c>
      <c r="J20" s="23">
        <v>105</v>
      </c>
      <c r="K20" s="30">
        <v>7173.8832487309646</v>
      </c>
    </row>
    <row r="21" spans="2:15">
      <c r="B21" s="23">
        <f t="shared" ca="1" si="0"/>
        <v>7.7042824344052963E-2</v>
      </c>
      <c r="C21" s="23">
        <f t="shared" ca="1" si="3"/>
        <v>139</v>
      </c>
      <c r="D21" s="23">
        <f t="shared" si="1"/>
        <v>290</v>
      </c>
      <c r="E21" s="23">
        <f t="shared" ca="1" si="4"/>
        <v>139</v>
      </c>
      <c r="F21" s="27">
        <v>65</v>
      </c>
      <c r="G21" s="27">
        <v>135</v>
      </c>
      <c r="H21" s="28">
        <f t="shared" ca="1" si="2"/>
        <v>-85</v>
      </c>
      <c r="J21" s="23">
        <v>106</v>
      </c>
      <c r="K21" s="30">
        <v>7106.9644670050766</v>
      </c>
    </row>
    <row r="22" spans="2:15">
      <c r="B22" s="23">
        <f t="shared" ca="1" si="0"/>
        <v>0.54508749302075632</v>
      </c>
      <c r="C22" s="23">
        <f t="shared" ca="1" si="3"/>
        <v>302</v>
      </c>
      <c r="D22" s="23">
        <f t="shared" si="1"/>
        <v>290</v>
      </c>
      <c r="E22" s="23">
        <f t="shared" ca="1" si="4"/>
        <v>290</v>
      </c>
      <c r="F22" s="27">
        <v>65</v>
      </c>
      <c r="G22" s="27">
        <v>135</v>
      </c>
      <c r="H22" s="28">
        <f t="shared" ca="1" si="2"/>
        <v>20300</v>
      </c>
      <c r="J22" s="23">
        <v>107</v>
      </c>
      <c r="K22" s="30">
        <v>7209.7208121827407</v>
      </c>
    </row>
    <row r="23" spans="2:15">
      <c r="B23" s="23">
        <f t="shared" ca="1" si="0"/>
        <v>0.93735624450612121</v>
      </c>
      <c r="C23" s="23">
        <f t="shared" ca="1" si="3"/>
        <v>452</v>
      </c>
      <c r="D23" s="23">
        <f t="shared" si="1"/>
        <v>290</v>
      </c>
      <c r="E23" s="23">
        <f t="shared" ca="1" si="4"/>
        <v>290</v>
      </c>
      <c r="F23" s="27">
        <v>65</v>
      </c>
      <c r="G23" s="27">
        <v>135</v>
      </c>
      <c r="H23" s="28">
        <f t="shared" ca="1" si="2"/>
        <v>20300</v>
      </c>
      <c r="J23" s="23">
        <v>108</v>
      </c>
      <c r="K23" s="30">
        <v>7236</v>
      </c>
    </row>
    <row r="24" spans="2:15">
      <c r="B24" s="23">
        <f t="shared" ca="1" si="0"/>
        <v>0.53101049334906869</v>
      </c>
      <c r="C24" s="23">
        <f t="shared" ca="1" si="3"/>
        <v>298</v>
      </c>
      <c r="D24" s="23">
        <f t="shared" si="1"/>
        <v>290</v>
      </c>
      <c r="E24" s="23">
        <f t="shared" ca="1" si="4"/>
        <v>290</v>
      </c>
      <c r="F24" s="27">
        <v>65</v>
      </c>
      <c r="G24" s="27">
        <v>135</v>
      </c>
      <c r="H24" s="28">
        <f t="shared" ca="1" si="2"/>
        <v>20300</v>
      </c>
      <c r="J24" s="23">
        <v>109</v>
      </c>
      <c r="K24" s="30">
        <v>7396.0456852791876</v>
      </c>
    </row>
    <row r="25" spans="2:15">
      <c r="B25" s="23">
        <f t="shared" ca="1" si="0"/>
        <v>0.8124027613247643</v>
      </c>
      <c r="C25" s="23">
        <f t="shared" ca="1" si="3"/>
        <v>384</v>
      </c>
      <c r="D25" s="23">
        <f t="shared" si="1"/>
        <v>290</v>
      </c>
      <c r="E25" s="23">
        <f t="shared" ca="1" si="4"/>
        <v>290</v>
      </c>
      <c r="F25" s="27">
        <v>65</v>
      </c>
      <c r="G25" s="27">
        <v>135</v>
      </c>
      <c r="H25" s="28">
        <f t="shared" ca="1" si="2"/>
        <v>20300</v>
      </c>
      <c r="J25" s="23">
        <v>110</v>
      </c>
      <c r="K25" s="30">
        <v>7439.0456852791876</v>
      </c>
    </row>
    <row r="26" spans="2:15">
      <c r="B26" s="23">
        <f t="shared" ca="1" si="0"/>
        <v>5.1240126283241039E-2</v>
      </c>
      <c r="C26" s="23">
        <f t="shared" ca="1" si="3"/>
        <v>117</v>
      </c>
      <c r="D26" s="23">
        <f t="shared" si="1"/>
        <v>290</v>
      </c>
      <c r="E26" s="23">
        <f t="shared" ca="1" si="4"/>
        <v>117</v>
      </c>
      <c r="F26" s="27">
        <v>65</v>
      </c>
      <c r="G26" s="27">
        <v>135</v>
      </c>
      <c r="H26" s="28">
        <f t="shared" ca="1" si="2"/>
        <v>-3055</v>
      </c>
      <c r="J26" s="23">
        <v>111</v>
      </c>
      <c r="K26" s="30">
        <v>7645.1421319796955</v>
      </c>
    </row>
    <row r="27" spans="2:15">
      <c r="B27" s="23">
        <f t="shared" ca="1" si="0"/>
        <v>0.35639854007711191</v>
      </c>
      <c r="C27" s="23">
        <f t="shared" ca="1" si="3"/>
        <v>251</v>
      </c>
      <c r="D27" s="23">
        <f t="shared" si="1"/>
        <v>290</v>
      </c>
      <c r="E27" s="23">
        <f t="shared" ca="1" si="4"/>
        <v>251</v>
      </c>
      <c r="F27" s="27">
        <v>65</v>
      </c>
      <c r="G27" s="27">
        <v>135</v>
      </c>
      <c r="H27" s="28">
        <f t="shared" ca="1" si="2"/>
        <v>15035</v>
      </c>
      <c r="J27" s="23">
        <v>112</v>
      </c>
      <c r="K27" s="30">
        <v>7618.3807106598988</v>
      </c>
    </row>
    <row r="28" spans="2:15">
      <c r="B28" s="23">
        <f t="shared" ca="1" si="0"/>
        <v>0.31499934655677919</v>
      </c>
      <c r="C28" s="23">
        <f t="shared" ca="1" si="3"/>
        <v>239</v>
      </c>
      <c r="D28" s="23">
        <f t="shared" si="1"/>
        <v>290</v>
      </c>
      <c r="E28" s="23">
        <f t="shared" ca="1" si="4"/>
        <v>239</v>
      </c>
      <c r="F28" s="27">
        <v>65</v>
      </c>
      <c r="G28" s="27">
        <v>135</v>
      </c>
      <c r="H28" s="28">
        <f t="shared" ca="1" si="2"/>
        <v>13415</v>
      </c>
      <c r="J28" s="23">
        <v>113</v>
      </c>
      <c r="K28" s="30">
        <v>7597.5126903553301</v>
      </c>
    </row>
    <row r="29" spans="2:15">
      <c r="B29" s="23">
        <f t="shared" ca="1" si="0"/>
        <v>0.29290394417177978</v>
      </c>
      <c r="C29" s="23">
        <f t="shared" ca="1" si="3"/>
        <v>232</v>
      </c>
      <c r="D29" s="23">
        <f t="shared" si="1"/>
        <v>290</v>
      </c>
      <c r="E29" s="23">
        <f t="shared" ca="1" si="4"/>
        <v>232</v>
      </c>
      <c r="F29" s="27">
        <v>65</v>
      </c>
      <c r="G29" s="27">
        <v>135</v>
      </c>
      <c r="H29" s="28">
        <f t="shared" ca="1" si="2"/>
        <v>12470</v>
      </c>
      <c r="J29" s="23">
        <v>114</v>
      </c>
      <c r="K29" s="30">
        <v>7655.8629441624362</v>
      </c>
    </row>
    <row r="30" spans="2:15">
      <c r="B30" s="23">
        <f t="shared" ca="1" si="0"/>
        <v>0.71576164536630471</v>
      </c>
      <c r="C30" s="23">
        <f t="shared" ca="1" si="3"/>
        <v>350</v>
      </c>
      <c r="D30" s="23">
        <f t="shared" si="1"/>
        <v>290</v>
      </c>
      <c r="E30" s="23">
        <f t="shared" ca="1" si="4"/>
        <v>290</v>
      </c>
      <c r="F30" s="27">
        <v>65</v>
      </c>
      <c r="G30" s="27">
        <v>135</v>
      </c>
      <c r="H30" s="28">
        <f t="shared" ca="1" si="2"/>
        <v>20300</v>
      </c>
      <c r="J30" s="23">
        <v>115</v>
      </c>
      <c r="K30" s="30">
        <v>7790.2791878172593</v>
      </c>
    </row>
    <row r="31" spans="2:15">
      <c r="B31" s="23">
        <f t="shared" ca="1" si="0"/>
        <v>0.63908474108908897</v>
      </c>
      <c r="C31" s="23">
        <f t="shared" ca="1" si="3"/>
        <v>327</v>
      </c>
      <c r="D31" s="23">
        <f t="shared" si="1"/>
        <v>290</v>
      </c>
      <c r="E31" s="23">
        <f t="shared" ca="1" si="4"/>
        <v>290</v>
      </c>
      <c r="F31" s="27">
        <v>65</v>
      </c>
      <c r="G31" s="27">
        <v>135</v>
      </c>
      <c r="H31" s="28">
        <f t="shared" ca="1" si="2"/>
        <v>20300</v>
      </c>
      <c r="J31" s="23">
        <v>116</v>
      </c>
      <c r="K31" s="30">
        <v>7667.3045685279185</v>
      </c>
    </row>
    <row r="32" spans="2:15">
      <c r="B32" s="23">
        <f t="shared" ca="1" si="0"/>
        <v>0.65527068340907135</v>
      </c>
      <c r="C32" s="23">
        <f t="shared" ca="1" si="3"/>
        <v>332</v>
      </c>
      <c r="D32" s="23">
        <f t="shared" si="1"/>
        <v>290</v>
      </c>
      <c r="E32" s="23">
        <f t="shared" ca="1" si="4"/>
        <v>290</v>
      </c>
      <c r="F32" s="27">
        <v>65</v>
      </c>
      <c r="G32" s="27">
        <v>135</v>
      </c>
      <c r="H32" s="28">
        <f t="shared" ca="1" si="2"/>
        <v>20300</v>
      </c>
      <c r="J32" s="23">
        <v>117</v>
      </c>
      <c r="K32" s="30">
        <v>7897.3857868020305</v>
      </c>
    </row>
    <row r="33" spans="2:11">
      <c r="B33" s="23">
        <f t="shared" ca="1" si="0"/>
        <v>0.33312966762580698</v>
      </c>
      <c r="C33" s="23">
        <f t="shared" ca="1" si="3"/>
        <v>244</v>
      </c>
      <c r="D33" s="23">
        <f t="shared" si="1"/>
        <v>290</v>
      </c>
      <c r="E33" s="23">
        <f t="shared" ca="1" si="4"/>
        <v>244</v>
      </c>
      <c r="F33" s="27">
        <v>65</v>
      </c>
      <c r="G33" s="27">
        <v>135</v>
      </c>
      <c r="H33" s="28">
        <f t="shared" ca="1" si="2"/>
        <v>14090</v>
      </c>
      <c r="J33" s="23">
        <v>118</v>
      </c>
      <c r="K33" s="30">
        <v>7853.2182741116749</v>
      </c>
    </row>
    <row r="34" spans="2:11">
      <c r="B34" s="23">
        <f t="shared" ca="1" si="0"/>
        <v>0.8021041858319079</v>
      </c>
      <c r="C34" s="23">
        <f t="shared" ca="1" si="3"/>
        <v>380</v>
      </c>
      <c r="D34" s="23">
        <f t="shared" si="1"/>
        <v>290</v>
      </c>
      <c r="E34" s="23">
        <f t="shared" ca="1" si="4"/>
        <v>290</v>
      </c>
      <c r="F34" s="27">
        <v>65</v>
      </c>
      <c r="G34" s="27">
        <v>135</v>
      </c>
      <c r="H34" s="28">
        <f t="shared" ca="1" si="2"/>
        <v>20300</v>
      </c>
      <c r="J34" s="23">
        <v>119</v>
      </c>
      <c r="K34" s="30">
        <v>7972.1472081218271</v>
      </c>
    </row>
    <row r="35" spans="2:11">
      <c r="B35" s="23">
        <f t="shared" ca="1" si="0"/>
        <v>0.86022718886964611</v>
      </c>
      <c r="C35" s="23">
        <f t="shared" ca="1" si="3"/>
        <v>404</v>
      </c>
      <c r="D35" s="23">
        <f t="shared" si="1"/>
        <v>290</v>
      </c>
      <c r="E35" s="23">
        <f t="shared" ca="1" si="4"/>
        <v>290</v>
      </c>
      <c r="F35" s="27">
        <v>65</v>
      </c>
      <c r="G35" s="27">
        <v>135</v>
      </c>
      <c r="H35" s="28">
        <f t="shared" ca="1" si="2"/>
        <v>20300</v>
      </c>
      <c r="J35" s="23">
        <v>120</v>
      </c>
      <c r="K35" s="30">
        <v>8056.9492385786798</v>
      </c>
    </row>
    <row r="36" spans="2:11">
      <c r="B36" s="23">
        <f t="shared" ca="1" si="0"/>
        <v>0.53637884317736051</v>
      </c>
      <c r="C36" s="23">
        <f t="shared" ca="1" si="3"/>
        <v>299</v>
      </c>
      <c r="D36" s="23">
        <f t="shared" si="1"/>
        <v>290</v>
      </c>
      <c r="E36" s="23">
        <f t="shared" ca="1" si="4"/>
        <v>290</v>
      </c>
      <c r="F36" s="27">
        <v>65</v>
      </c>
      <c r="G36" s="27">
        <v>135</v>
      </c>
      <c r="H36" s="28">
        <f t="shared" ca="1" si="2"/>
        <v>20300</v>
      </c>
      <c r="J36" s="23">
        <v>121</v>
      </c>
      <c r="K36" s="30">
        <v>8177.5228426395943</v>
      </c>
    </row>
    <row r="37" spans="2:11">
      <c r="B37" s="23">
        <f t="shared" ca="1" si="0"/>
        <v>3.0986572119057088E-2</v>
      </c>
      <c r="C37" s="23">
        <f t="shared" ca="1" si="3"/>
        <v>92</v>
      </c>
      <c r="D37" s="23">
        <f t="shared" si="1"/>
        <v>290</v>
      </c>
      <c r="E37" s="23">
        <f t="shared" ca="1" si="4"/>
        <v>92</v>
      </c>
      <c r="F37" s="27">
        <v>65</v>
      </c>
      <c r="G37" s="27">
        <v>135</v>
      </c>
      <c r="H37" s="28">
        <f t="shared" ca="1" si="2"/>
        <v>-6430</v>
      </c>
      <c r="J37" s="23">
        <v>122</v>
      </c>
      <c r="K37" s="30">
        <v>8202.0203045685284</v>
      </c>
    </row>
    <row r="38" spans="2:11">
      <c r="B38" s="23">
        <f t="shared" ca="1" si="0"/>
        <v>0.89460651761652266</v>
      </c>
      <c r="C38" s="23">
        <f t="shared" ca="1" si="3"/>
        <v>422</v>
      </c>
      <c r="D38" s="23">
        <f t="shared" si="1"/>
        <v>290</v>
      </c>
      <c r="E38" s="23">
        <f t="shared" ca="1" si="4"/>
        <v>290</v>
      </c>
      <c r="F38" s="27">
        <v>65</v>
      </c>
      <c r="G38" s="27">
        <v>135</v>
      </c>
      <c r="H38" s="28">
        <f t="shared" ca="1" si="2"/>
        <v>20300</v>
      </c>
      <c r="J38" s="23">
        <v>123</v>
      </c>
      <c r="K38" s="30">
        <v>8217.8832487309646</v>
      </c>
    </row>
    <row r="39" spans="2:11">
      <c r="B39" s="23">
        <f t="shared" ca="1" si="0"/>
        <v>0.24914681609261446</v>
      </c>
      <c r="C39" s="23">
        <f t="shared" ca="1" si="3"/>
        <v>218</v>
      </c>
      <c r="D39" s="23">
        <f t="shared" si="1"/>
        <v>290</v>
      </c>
      <c r="E39" s="23">
        <f t="shared" ca="1" si="4"/>
        <v>218</v>
      </c>
      <c r="F39" s="27">
        <v>65</v>
      </c>
      <c r="G39" s="27">
        <v>135</v>
      </c>
      <c r="H39" s="28">
        <f t="shared" ca="1" si="2"/>
        <v>10580</v>
      </c>
      <c r="J39" s="23">
        <v>124</v>
      </c>
      <c r="K39" s="30">
        <v>8437.4111675126896</v>
      </c>
    </row>
    <row r="40" spans="2:11">
      <c r="B40" s="23">
        <f t="shared" ca="1" si="0"/>
        <v>0.30886449035063446</v>
      </c>
      <c r="C40" s="23">
        <f t="shared" ca="1" si="3"/>
        <v>237</v>
      </c>
      <c r="D40" s="23">
        <f t="shared" si="1"/>
        <v>290</v>
      </c>
      <c r="E40" s="23">
        <f t="shared" ca="1" si="4"/>
        <v>237</v>
      </c>
      <c r="F40" s="27">
        <v>65</v>
      </c>
      <c r="G40" s="27">
        <v>135</v>
      </c>
      <c r="H40" s="28">
        <f t="shared" ca="1" si="2"/>
        <v>13145</v>
      </c>
      <c r="J40" s="23">
        <v>125</v>
      </c>
      <c r="K40" s="30">
        <v>8366.9289340101532</v>
      </c>
    </row>
    <row r="41" spans="2:11">
      <c r="B41" s="23">
        <f t="shared" ca="1" si="0"/>
        <v>0.7777313435085208</v>
      </c>
      <c r="C41" s="23">
        <f t="shared" ca="1" si="3"/>
        <v>371</v>
      </c>
      <c r="D41" s="23">
        <f t="shared" si="1"/>
        <v>290</v>
      </c>
      <c r="E41" s="23">
        <f t="shared" ca="1" si="4"/>
        <v>290</v>
      </c>
      <c r="F41" s="27">
        <v>65</v>
      </c>
      <c r="G41" s="27">
        <v>135</v>
      </c>
      <c r="H41" s="28">
        <f t="shared" ca="1" si="2"/>
        <v>20300</v>
      </c>
      <c r="J41" s="23">
        <v>126</v>
      </c>
      <c r="K41" s="30">
        <v>8378.6802030456856</v>
      </c>
    </row>
    <row r="42" spans="2:11">
      <c r="B42" s="23">
        <f t="shared" ca="1" si="0"/>
        <v>0.16113115277743084</v>
      </c>
      <c r="C42" s="23">
        <f t="shared" ca="1" si="3"/>
        <v>185</v>
      </c>
      <c r="D42" s="23">
        <f t="shared" si="1"/>
        <v>290</v>
      </c>
      <c r="E42" s="23">
        <f t="shared" ca="1" si="4"/>
        <v>185</v>
      </c>
      <c r="F42" s="27">
        <v>65</v>
      </c>
      <c r="G42" s="27">
        <v>135</v>
      </c>
      <c r="H42" s="28">
        <f t="shared" ca="1" si="2"/>
        <v>6125</v>
      </c>
      <c r="J42" s="23">
        <v>127</v>
      </c>
      <c r="K42" s="30">
        <v>8584.7766497461926</v>
      </c>
    </row>
    <row r="43" spans="2:11">
      <c r="B43" s="23">
        <f t="shared" ca="1" si="0"/>
        <v>0.87994774254927666</v>
      </c>
      <c r="C43" s="23">
        <f t="shared" ca="1" si="3"/>
        <v>414</v>
      </c>
      <c r="D43" s="23">
        <f t="shared" si="1"/>
        <v>290</v>
      </c>
      <c r="E43" s="23">
        <f t="shared" ca="1" si="4"/>
        <v>290</v>
      </c>
      <c r="F43" s="27">
        <v>65</v>
      </c>
      <c r="G43" s="27">
        <v>135</v>
      </c>
      <c r="H43" s="28">
        <f t="shared" ca="1" si="2"/>
        <v>20300</v>
      </c>
      <c r="J43" s="23">
        <v>128</v>
      </c>
      <c r="K43" s="30">
        <v>8570.4873096446699</v>
      </c>
    </row>
    <row r="44" spans="2:11">
      <c r="B44" s="23">
        <f t="shared" ca="1" si="0"/>
        <v>0.16777985450406285</v>
      </c>
      <c r="C44" s="23">
        <f t="shared" ca="1" si="3"/>
        <v>188</v>
      </c>
      <c r="D44" s="23">
        <f t="shared" si="1"/>
        <v>290</v>
      </c>
      <c r="E44" s="23">
        <f t="shared" ca="1" si="4"/>
        <v>188</v>
      </c>
      <c r="F44" s="27">
        <v>65</v>
      </c>
      <c r="G44" s="27">
        <v>135</v>
      </c>
      <c r="H44" s="28">
        <f t="shared" ca="1" si="2"/>
        <v>6530</v>
      </c>
      <c r="J44" s="23">
        <v>129</v>
      </c>
      <c r="K44" s="30">
        <v>8641.3096446700511</v>
      </c>
    </row>
    <row r="45" spans="2:11">
      <c r="B45" s="23">
        <f t="shared" ca="1" si="0"/>
        <v>0.89214247070163188</v>
      </c>
      <c r="C45" s="23">
        <f t="shared" ca="1" si="3"/>
        <v>421</v>
      </c>
      <c r="D45" s="23">
        <f t="shared" si="1"/>
        <v>290</v>
      </c>
      <c r="E45" s="23">
        <f t="shared" ca="1" si="4"/>
        <v>290</v>
      </c>
      <c r="F45" s="27">
        <v>65</v>
      </c>
      <c r="G45" s="27">
        <v>135</v>
      </c>
      <c r="H45" s="28">
        <f t="shared" ca="1" si="2"/>
        <v>20300</v>
      </c>
      <c r="J45" s="23">
        <v>130</v>
      </c>
      <c r="K45" s="30">
        <v>8723.5076142131984</v>
      </c>
    </row>
    <row r="46" spans="2:11">
      <c r="B46" s="23">
        <f t="shared" ca="1" si="0"/>
        <v>0.9181131778521695</v>
      </c>
      <c r="C46" s="23">
        <f t="shared" ca="1" si="3"/>
        <v>437</v>
      </c>
      <c r="D46" s="23">
        <f t="shared" si="1"/>
        <v>290</v>
      </c>
      <c r="E46" s="23">
        <f t="shared" ca="1" si="4"/>
        <v>290</v>
      </c>
      <c r="F46" s="27">
        <v>65</v>
      </c>
      <c r="G46" s="27">
        <v>135</v>
      </c>
      <c r="H46" s="28">
        <f t="shared" ca="1" si="2"/>
        <v>20300</v>
      </c>
      <c r="J46" s="23">
        <v>131</v>
      </c>
      <c r="K46" s="30">
        <v>8700.5837563451769</v>
      </c>
    </row>
    <row r="47" spans="2:11">
      <c r="B47" s="23">
        <f t="shared" ca="1" si="0"/>
        <v>0.62535348337062713</v>
      </c>
      <c r="C47" s="23">
        <f t="shared" ca="1" si="3"/>
        <v>323</v>
      </c>
      <c r="D47" s="23">
        <f t="shared" si="1"/>
        <v>290</v>
      </c>
      <c r="E47" s="23">
        <f t="shared" ca="1" si="4"/>
        <v>290</v>
      </c>
      <c r="F47" s="27">
        <v>65</v>
      </c>
      <c r="G47" s="27">
        <v>135</v>
      </c>
      <c r="H47" s="28">
        <f t="shared" ca="1" si="2"/>
        <v>20300</v>
      </c>
      <c r="J47" s="23">
        <v>132</v>
      </c>
      <c r="K47" s="30">
        <v>8990.9695431472082</v>
      </c>
    </row>
    <row r="48" spans="2:11">
      <c r="B48" s="23">
        <f t="shared" ca="1" si="0"/>
        <v>0.7352373074886831</v>
      </c>
      <c r="C48" s="23">
        <f t="shared" ca="1" si="3"/>
        <v>356</v>
      </c>
      <c r="D48" s="23">
        <f t="shared" si="1"/>
        <v>290</v>
      </c>
      <c r="E48" s="23">
        <f t="shared" ca="1" si="4"/>
        <v>290</v>
      </c>
      <c r="F48" s="27">
        <v>65</v>
      </c>
      <c r="G48" s="27">
        <v>135</v>
      </c>
      <c r="H48" s="28">
        <f t="shared" ca="1" si="2"/>
        <v>20300</v>
      </c>
      <c r="J48" s="23">
        <v>133</v>
      </c>
      <c r="K48" s="30">
        <v>8916.5126903553301</v>
      </c>
    </row>
    <row r="49" spans="2:11">
      <c r="B49" s="23">
        <f t="shared" ca="1" si="0"/>
        <v>0.36015305012581789</v>
      </c>
      <c r="C49" s="23">
        <f t="shared" ca="1" si="3"/>
        <v>252</v>
      </c>
      <c r="D49" s="23">
        <f t="shared" si="1"/>
        <v>290</v>
      </c>
      <c r="E49" s="23">
        <f t="shared" ca="1" si="4"/>
        <v>252</v>
      </c>
      <c r="F49" s="27">
        <v>65</v>
      </c>
      <c r="G49" s="27">
        <v>135</v>
      </c>
      <c r="H49" s="28">
        <f t="shared" ca="1" si="2"/>
        <v>15170</v>
      </c>
      <c r="J49" s="23">
        <v>134</v>
      </c>
      <c r="K49" s="30">
        <v>8908.8020304568527</v>
      </c>
    </row>
    <row r="50" spans="2:11">
      <c r="B50" s="23">
        <f t="shared" ca="1" si="0"/>
        <v>6.284828260344788E-2</v>
      </c>
      <c r="C50" s="23">
        <f t="shared" ca="1" si="3"/>
        <v>127</v>
      </c>
      <c r="D50" s="23">
        <f t="shared" si="1"/>
        <v>290</v>
      </c>
      <c r="E50" s="23">
        <f t="shared" ca="1" si="4"/>
        <v>127</v>
      </c>
      <c r="F50" s="27">
        <v>65</v>
      </c>
      <c r="G50" s="27">
        <v>135</v>
      </c>
      <c r="H50" s="28">
        <f t="shared" ca="1" si="2"/>
        <v>-1705</v>
      </c>
      <c r="J50" s="23">
        <v>135</v>
      </c>
      <c r="K50" s="30">
        <v>8952.4873096446699</v>
      </c>
    </row>
    <row r="51" spans="2:11">
      <c r="B51" s="23">
        <f t="shared" ca="1" si="0"/>
        <v>0.97096724389585987</v>
      </c>
      <c r="C51" s="23">
        <f t="shared" ca="1" si="3"/>
        <v>490</v>
      </c>
      <c r="D51" s="23">
        <f t="shared" si="1"/>
        <v>290</v>
      </c>
      <c r="E51" s="23">
        <f t="shared" ca="1" si="4"/>
        <v>290</v>
      </c>
      <c r="F51" s="27">
        <v>65</v>
      </c>
      <c r="G51" s="27">
        <v>135</v>
      </c>
      <c r="H51" s="28">
        <f t="shared" ca="1" si="2"/>
        <v>20300</v>
      </c>
      <c r="J51" s="23">
        <v>136</v>
      </c>
      <c r="K51" s="30">
        <v>9083.6142131979686</v>
      </c>
    </row>
    <row r="52" spans="2:11">
      <c r="B52" s="23">
        <f t="shared" ca="1" si="0"/>
        <v>0.9774173272658504</v>
      </c>
      <c r="C52" s="23">
        <f t="shared" ca="1" si="3"/>
        <v>502</v>
      </c>
      <c r="D52" s="23">
        <f t="shared" si="1"/>
        <v>290</v>
      </c>
      <c r="E52" s="23">
        <f t="shared" ca="1" si="4"/>
        <v>290</v>
      </c>
      <c r="F52" s="27">
        <v>65</v>
      </c>
      <c r="G52" s="27">
        <v>135</v>
      </c>
      <c r="H52" s="28">
        <f t="shared" ca="1" si="2"/>
        <v>20300</v>
      </c>
      <c r="J52" s="23">
        <v>137</v>
      </c>
      <c r="K52" s="30">
        <v>9026.4263959390864</v>
      </c>
    </row>
    <row r="53" spans="2:11">
      <c r="B53" s="23">
        <f t="shared" ca="1" si="0"/>
        <v>0.12919591350216575</v>
      </c>
      <c r="C53" s="23">
        <f t="shared" ca="1" si="3"/>
        <v>170</v>
      </c>
      <c r="D53" s="23">
        <f t="shared" si="1"/>
        <v>290</v>
      </c>
      <c r="E53" s="23">
        <f t="shared" ca="1" si="4"/>
        <v>170</v>
      </c>
      <c r="F53" s="27">
        <v>65</v>
      </c>
      <c r="G53" s="27">
        <v>135</v>
      </c>
      <c r="H53" s="28">
        <f t="shared" ca="1" si="2"/>
        <v>4100</v>
      </c>
      <c r="J53" s="23">
        <v>138</v>
      </c>
      <c r="K53" s="30">
        <v>9180.715736040609</v>
      </c>
    </row>
    <row r="54" spans="2:11">
      <c r="B54" s="23">
        <f t="shared" ca="1" si="0"/>
        <v>0.32038304733509393</v>
      </c>
      <c r="C54" s="23">
        <f t="shared" ca="1" si="3"/>
        <v>240</v>
      </c>
      <c r="D54" s="23">
        <f t="shared" si="1"/>
        <v>290</v>
      </c>
      <c r="E54" s="23">
        <f t="shared" ca="1" si="4"/>
        <v>240</v>
      </c>
      <c r="F54" s="27">
        <v>65</v>
      </c>
      <c r="G54" s="27">
        <v>135</v>
      </c>
      <c r="H54" s="28">
        <f t="shared" ca="1" si="2"/>
        <v>13550</v>
      </c>
      <c r="J54" s="23">
        <v>139</v>
      </c>
      <c r="K54" s="30">
        <v>9257.1573604060923</v>
      </c>
    </row>
    <row r="55" spans="2:11">
      <c r="B55" s="23">
        <f t="shared" ca="1" si="0"/>
        <v>0.93899436478091258</v>
      </c>
      <c r="C55" s="23">
        <f t="shared" ca="1" si="3"/>
        <v>453</v>
      </c>
      <c r="D55" s="23">
        <f t="shared" si="1"/>
        <v>290</v>
      </c>
      <c r="E55" s="23">
        <f t="shared" ca="1" si="4"/>
        <v>290</v>
      </c>
      <c r="F55" s="27">
        <v>65</v>
      </c>
      <c r="G55" s="27">
        <v>135</v>
      </c>
      <c r="H55" s="28">
        <f t="shared" ca="1" si="2"/>
        <v>20300</v>
      </c>
      <c r="J55" s="23">
        <v>140</v>
      </c>
      <c r="K55" s="30">
        <v>9418.4365482233497</v>
      </c>
    </row>
    <row r="56" spans="2:11">
      <c r="B56" s="23">
        <f t="shared" ca="1" si="0"/>
        <v>0.48518759689460433</v>
      </c>
      <c r="C56" s="23">
        <f t="shared" ca="1" si="3"/>
        <v>286</v>
      </c>
      <c r="D56" s="23">
        <f t="shared" si="1"/>
        <v>290</v>
      </c>
      <c r="E56" s="23">
        <f t="shared" ca="1" si="4"/>
        <v>286</v>
      </c>
      <c r="F56" s="27">
        <v>65</v>
      </c>
      <c r="G56" s="27">
        <v>135</v>
      </c>
      <c r="H56" s="28">
        <f t="shared" ca="1" si="2"/>
        <v>19760</v>
      </c>
      <c r="J56" s="23">
        <v>141</v>
      </c>
      <c r="K56" s="30">
        <v>9296.4213197969548</v>
      </c>
    </row>
    <row r="57" spans="2:11">
      <c r="B57" s="23">
        <f t="shared" ca="1" si="0"/>
        <v>0.75701924801374254</v>
      </c>
      <c r="C57" s="23">
        <f t="shared" ca="1" si="3"/>
        <v>363</v>
      </c>
      <c r="D57" s="23">
        <f t="shared" si="1"/>
        <v>290</v>
      </c>
      <c r="E57" s="23">
        <f t="shared" ca="1" si="4"/>
        <v>290</v>
      </c>
      <c r="F57" s="27">
        <v>65</v>
      </c>
      <c r="G57" s="27">
        <v>135</v>
      </c>
      <c r="H57" s="28">
        <f t="shared" ca="1" si="2"/>
        <v>20300</v>
      </c>
      <c r="J57" s="23">
        <v>142</v>
      </c>
      <c r="K57" s="30">
        <v>9346.1370558375638</v>
      </c>
    </row>
    <row r="58" spans="2:11">
      <c r="B58" s="23">
        <f t="shared" ca="1" si="0"/>
        <v>0.5955651735296722</v>
      </c>
      <c r="C58" s="23">
        <f t="shared" ca="1" si="3"/>
        <v>315</v>
      </c>
      <c r="D58" s="23">
        <f t="shared" si="1"/>
        <v>290</v>
      </c>
      <c r="E58" s="23">
        <f t="shared" ca="1" si="4"/>
        <v>290</v>
      </c>
      <c r="F58" s="27">
        <v>65</v>
      </c>
      <c r="G58" s="27">
        <v>135</v>
      </c>
      <c r="H58" s="28">
        <f t="shared" ca="1" si="2"/>
        <v>20300</v>
      </c>
      <c r="J58" s="23">
        <v>143</v>
      </c>
      <c r="K58" s="30">
        <v>9484.527918781725</v>
      </c>
    </row>
    <row r="59" spans="2:11">
      <c r="B59" s="23">
        <f t="shared" ca="1" si="0"/>
        <v>0.46618114038037328</v>
      </c>
      <c r="C59" s="23">
        <f t="shared" ca="1" si="3"/>
        <v>281</v>
      </c>
      <c r="D59" s="23">
        <f t="shared" si="1"/>
        <v>290</v>
      </c>
      <c r="E59" s="23">
        <f t="shared" ca="1" si="4"/>
        <v>281</v>
      </c>
      <c r="F59" s="27">
        <v>65</v>
      </c>
      <c r="G59" s="27">
        <v>135</v>
      </c>
      <c r="H59" s="28">
        <f t="shared" ca="1" si="2"/>
        <v>19085</v>
      </c>
      <c r="J59" s="23">
        <v>144</v>
      </c>
      <c r="K59" s="30">
        <v>9469.5532994923851</v>
      </c>
    </row>
    <row r="60" spans="2:11">
      <c r="B60" s="23">
        <f t="shared" ca="1" si="0"/>
        <v>0.87673375115468533</v>
      </c>
      <c r="C60" s="23">
        <f t="shared" ca="1" si="3"/>
        <v>412</v>
      </c>
      <c r="D60" s="23">
        <f t="shared" si="1"/>
        <v>290</v>
      </c>
      <c r="E60" s="23">
        <f t="shared" ca="1" si="4"/>
        <v>290</v>
      </c>
      <c r="F60" s="27">
        <v>65</v>
      </c>
      <c r="G60" s="27">
        <v>135</v>
      </c>
      <c r="H60" s="28">
        <f t="shared" ca="1" si="2"/>
        <v>20300</v>
      </c>
      <c r="J60" s="23">
        <v>145</v>
      </c>
      <c r="K60" s="30">
        <v>9574.9137055837564</v>
      </c>
    </row>
    <row r="61" spans="2:11">
      <c r="B61" s="23">
        <f t="shared" ca="1" si="0"/>
        <v>1.159858315522011E-3</v>
      </c>
      <c r="C61" s="23">
        <f t="shared" ca="1" si="3"/>
        <v>-33</v>
      </c>
      <c r="D61" s="23">
        <f t="shared" si="1"/>
        <v>290</v>
      </c>
      <c r="E61" s="23">
        <f t="shared" ca="1" si="4"/>
        <v>-33</v>
      </c>
      <c r="F61" s="27">
        <v>65</v>
      </c>
      <c r="G61" s="27">
        <v>135</v>
      </c>
      <c r="H61" s="28">
        <f t="shared" ca="1" si="2"/>
        <v>-23305</v>
      </c>
      <c r="J61" s="23">
        <v>146</v>
      </c>
      <c r="K61" s="30">
        <v>9647.6548223350255</v>
      </c>
    </row>
    <row r="62" spans="2:11">
      <c r="B62" s="23">
        <f t="shared" ca="1" si="0"/>
        <v>7.3642831307962342E-2</v>
      </c>
      <c r="C62" s="23">
        <f t="shared" ca="1" si="3"/>
        <v>136</v>
      </c>
      <c r="D62" s="23">
        <f t="shared" si="1"/>
        <v>290</v>
      </c>
      <c r="E62" s="23">
        <f t="shared" ca="1" si="4"/>
        <v>136</v>
      </c>
      <c r="F62" s="27">
        <v>65</v>
      </c>
      <c r="G62" s="27">
        <v>135</v>
      </c>
      <c r="H62" s="28">
        <f t="shared" ca="1" si="2"/>
        <v>-490</v>
      </c>
      <c r="J62" s="23">
        <v>147</v>
      </c>
      <c r="K62" s="30">
        <v>9726.2893401015226</v>
      </c>
    </row>
    <row r="63" spans="2:11">
      <c r="B63" s="23">
        <f t="shared" ca="1" si="0"/>
        <v>0.30804411661667708</v>
      </c>
      <c r="C63" s="23">
        <f t="shared" ca="1" si="3"/>
        <v>236</v>
      </c>
      <c r="D63" s="23">
        <f t="shared" si="1"/>
        <v>290</v>
      </c>
      <c r="E63" s="23">
        <f t="shared" ca="1" si="4"/>
        <v>236</v>
      </c>
      <c r="F63" s="27">
        <v>65</v>
      </c>
      <c r="G63" s="27">
        <v>135</v>
      </c>
      <c r="H63" s="28">
        <f t="shared" ca="1" si="2"/>
        <v>13010</v>
      </c>
      <c r="J63" s="23">
        <v>148</v>
      </c>
      <c r="K63" s="30">
        <v>9726.1167512690354</v>
      </c>
    </row>
    <row r="64" spans="2:11">
      <c r="B64" s="23">
        <f t="shared" ca="1" si="0"/>
        <v>0.41182846332312151</v>
      </c>
      <c r="C64" s="23">
        <f t="shared" ca="1" si="3"/>
        <v>266</v>
      </c>
      <c r="D64" s="23">
        <f t="shared" si="1"/>
        <v>290</v>
      </c>
      <c r="E64" s="23">
        <f t="shared" ca="1" si="4"/>
        <v>266</v>
      </c>
      <c r="F64" s="27">
        <v>65</v>
      </c>
      <c r="G64" s="27">
        <v>135</v>
      </c>
      <c r="H64" s="28">
        <f t="shared" ca="1" si="2"/>
        <v>17060</v>
      </c>
      <c r="J64" s="23">
        <v>149</v>
      </c>
      <c r="K64" s="30">
        <v>9829.9695431472082</v>
      </c>
    </row>
    <row r="65" spans="2:11">
      <c r="B65" s="23">
        <f t="shared" ca="1" si="0"/>
        <v>0.2133904796449283</v>
      </c>
      <c r="C65" s="23">
        <f t="shared" ca="1" si="3"/>
        <v>205</v>
      </c>
      <c r="D65" s="23">
        <f t="shared" si="1"/>
        <v>290</v>
      </c>
      <c r="E65" s="23">
        <f t="shared" ca="1" si="4"/>
        <v>205</v>
      </c>
      <c r="F65" s="27">
        <v>65</v>
      </c>
      <c r="G65" s="27">
        <v>135</v>
      </c>
      <c r="H65" s="28">
        <f t="shared" ca="1" si="2"/>
        <v>8825</v>
      </c>
      <c r="J65" s="23">
        <v>150</v>
      </c>
      <c r="K65" s="30">
        <v>9788.9543147208115</v>
      </c>
    </row>
    <row r="66" spans="2:11">
      <c r="B66" s="23">
        <f t="shared" ca="1" si="0"/>
        <v>0.44192134985387677</v>
      </c>
      <c r="C66" s="23">
        <f t="shared" ca="1" si="3"/>
        <v>274</v>
      </c>
      <c r="D66" s="23">
        <f t="shared" si="1"/>
        <v>290</v>
      </c>
      <c r="E66" s="23">
        <f t="shared" ca="1" si="4"/>
        <v>274</v>
      </c>
      <c r="F66" s="27">
        <v>65</v>
      </c>
      <c r="G66" s="27">
        <v>135</v>
      </c>
      <c r="H66" s="28">
        <f t="shared" ca="1" si="2"/>
        <v>18140</v>
      </c>
      <c r="J66" s="23">
        <v>151</v>
      </c>
      <c r="K66" s="30">
        <v>9901.8527918781729</v>
      </c>
    </row>
    <row r="67" spans="2:11">
      <c r="B67" s="23">
        <f t="shared" ca="1" si="0"/>
        <v>9.0367838204540973E-2</v>
      </c>
      <c r="C67" s="23">
        <f t="shared" ca="1" si="3"/>
        <v>148</v>
      </c>
      <c r="D67" s="23">
        <f t="shared" si="1"/>
        <v>290</v>
      </c>
      <c r="E67" s="23">
        <f t="shared" ca="1" si="4"/>
        <v>148</v>
      </c>
      <c r="F67" s="27">
        <v>65</v>
      </c>
      <c r="G67" s="27">
        <v>135</v>
      </c>
      <c r="H67" s="28">
        <f t="shared" ca="1" si="2"/>
        <v>1130</v>
      </c>
      <c r="J67" s="23">
        <v>152</v>
      </c>
      <c r="K67" s="30">
        <v>10123.299492385786</v>
      </c>
    </row>
    <row r="68" spans="2:11">
      <c r="B68" s="23">
        <f t="shared" ca="1" si="0"/>
        <v>0.78779076371671686</v>
      </c>
      <c r="C68" s="23">
        <f t="shared" ca="1" si="3"/>
        <v>374</v>
      </c>
      <c r="D68" s="23">
        <f t="shared" si="1"/>
        <v>290</v>
      </c>
      <c r="E68" s="23">
        <f t="shared" ca="1" si="4"/>
        <v>290</v>
      </c>
      <c r="F68" s="27">
        <v>65</v>
      </c>
      <c r="G68" s="27">
        <v>135</v>
      </c>
      <c r="H68" s="28">
        <f t="shared" ca="1" si="2"/>
        <v>20300</v>
      </c>
      <c r="J68" s="23">
        <v>153</v>
      </c>
      <c r="K68" s="30">
        <v>10059.395939086295</v>
      </c>
    </row>
    <row r="69" spans="2:11">
      <c r="B69" s="23">
        <f t="shared" ca="1" si="0"/>
        <v>0.13845281765466466</v>
      </c>
      <c r="C69" s="23">
        <f t="shared" ca="1" si="3"/>
        <v>174</v>
      </c>
      <c r="D69" s="23">
        <f t="shared" si="1"/>
        <v>290</v>
      </c>
      <c r="E69" s="23">
        <f t="shared" ca="1" si="4"/>
        <v>174</v>
      </c>
      <c r="F69" s="27">
        <v>65</v>
      </c>
      <c r="G69" s="27">
        <v>135</v>
      </c>
      <c r="H69" s="28">
        <f t="shared" ca="1" si="2"/>
        <v>4640</v>
      </c>
      <c r="J69" s="23">
        <v>154</v>
      </c>
      <c r="K69" s="30">
        <v>10198.335025380711</v>
      </c>
    </row>
    <row r="70" spans="2:11">
      <c r="B70" s="23">
        <f t="shared" ca="1" si="0"/>
        <v>0.93046960564142478</v>
      </c>
      <c r="C70" s="23">
        <f t="shared" ca="1" si="3"/>
        <v>446</v>
      </c>
      <c r="D70" s="23">
        <f t="shared" si="1"/>
        <v>290</v>
      </c>
      <c r="E70" s="23">
        <f t="shared" ca="1" si="4"/>
        <v>290</v>
      </c>
      <c r="F70" s="27">
        <v>65</v>
      </c>
      <c r="G70" s="27">
        <v>135</v>
      </c>
      <c r="H70" s="28">
        <f t="shared" ca="1" si="2"/>
        <v>20300</v>
      </c>
      <c r="J70" s="23">
        <v>155</v>
      </c>
      <c r="K70" s="30">
        <v>10228.040609137055</v>
      </c>
    </row>
    <row r="71" spans="2:11">
      <c r="B71" s="23">
        <f t="shared" ca="1" si="0"/>
        <v>0.73621808149641743</v>
      </c>
      <c r="C71" s="23">
        <f t="shared" ca="1" si="3"/>
        <v>357</v>
      </c>
      <c r="D71" s="23">
        <f t="shared" si="1"/>
        <v>290</v>
      </c>
      <c r="E71" s="23">
        <f t="shared" ca="1" si="4"/>
        <v>290</v>
      </c>
      <c r="F71" s="27">
        <v>65</v>
      </c>
      <c r="G71" s="27">
        <v>135</v>
      </c>
      <c r="H71" s="28">
        <f t="shared" ca="1" si="2"/>
        <v>20300</v>
      </c>
      <c r="J71" s="23">
        <v>156</v>
      </c>
      <c r="K71" s="30">
        <v>10132.065989847715</v>
      </c>
    </row>
    <row r="72" spans="2:11">
      <c r="B72" s="23">
        <f t="shared" ca="1" si="0"/>
        <v>0.94408993936254915</v>
      </c>
      <c r="C72" s="23">
        <f t="shared" ca="1" si="3"/>
        <v>458</v>
      </c>
      <c r="D72" s="23">
        <f t="shared" si="1"/>
        <v>290</v>
      </c>
      <c r="E72" s="23">
        <f t="shared" ca="1" si="4"/>
        <v>290</v>
      </c>
      <c r="F72" s="27">
        <v>65</v>
      </c>
      <c r="G72" s="27">
        <v>135</v>
      </c>
      <c r="H72" s="28">
        <f t="shared" ca="1" si="2"/>
        <v>20300</v>
      </c>
      <c r="J72" s="23">
        <v>157</v>
      </c>
      <c r="K72" s="30">
        <v>10271.827411167513</v>
      </c>
    </row>
    <row r="73" spans="2:11">
      <c r="B73" s="23">
        <f t="shared" ca="1" si="0"/>
        <v>0.90309969488146924</v>
      </c>
      <c r="C73" s="23">
        <f t="shared" ca="1" si="3"/>
        <v>427</v>
      </c>
      <c r="D73" s="23">
        <f t="shared" si="1"/>
        <v>290</v>
      </c>
      <c r="E73" s="23">
        <f t="shared" ca="1" si="4"/>
        <v>290</v>
      </c>
      <c r="F73" s="27">
        <v>65</v>
      </c>
      <c r="G73" s="27">
        <v>135</v>
      </c>
      <c r="H73" s="28">
        <f t="shared" ca="1" si="2"/>
        <v>20300</v>
      </c>
      <c r="J73" s="23">
        <v>158</v>
      </c>
      <c r="K73" s="30">
        <v>10263.568527918782</v>
      </c>
    </row>
    <row r="74" spans="2:11">
      <c r="B74" s="23">
        <f t="shared" ca="1" si="0"/>
        <v>0.14577379750176722</v>
      </c>
      <c r="C74" s="23">
        <f t="shared" ca="1" si="3"/>
        <v>178</v>
      </c>
      <c r="D74" s="23">
        <f t="shared" si="1"/>
        <v>290</v>
      </c>
      <c r="E74" s="23">
        <f t="shared" ca="1" si="4"/>
        <v>178</v>
      </c>
      <c r="F74" s="27">
        <v>65</v>
      </c>
      <c r="G74" s="27">
        <v>135</v>
      </c>
      <c r="H74" s="28">
        <f t="shared" ca="1" si="2"/>
        <v>5180</v>
      </c>
      <c r="J74" s="23">
        <v>159</v>
      </c>
      <c r="K74" s="30">
        <v>10414.568527918782</v>
      </c>
    </row>
    <row r="75" spans="2:11">
      <c r="B75" s="23">
        <f t="shared" ca="1" si="0"/>
        <v>0.49693989981063469</v>
      </c>
      <c r="C75" s="23">
        <f t="shared" ca="1" si="3"/>
        <v>289</v>
      </c>
      <c r="D75" s="23">
        <f t="shared" si="1"/>
        <v>290</v>
      </c>
      <c r="E75" s="23">
        <f t="shared" ca="1" si="4"/>
        <v>289</v>
      </c>
      <c r="F75" s="27">
        <v>65</v>
      </c>
      <c r="G75" s="27">
        <v>135</v>
      </c>
      <c r="H75" s="28">
        <f t="shared" ca="1" si="2"/>
        <v>20165</v>
      </c>
      <c r="J75" s="23">
        <v>160</v>
      </c>
      <c r="K75" s="30">
        <v>10453.593908629442</v>
      </c>
    </row>
    <row r="76" spans="2:11">
      <c r="B76" s="23">
        <f t="shared" ca="1" si="0"/>
        <v>0.30144844377669899</v>
      </c>
      <c r="C76" s="23">
        <f t="shared" ca="1" si="3"/>
        <v>234</v>
      </c>
      <c r="D76" s="23">
        <f t="shared" si="1"/>
        <v>290</v>
      </c>
      <c r="E76" s="23">
        <f t="shared" ca="1" si="4"/>
        <v>234</v>
      </c>
      <c r="F76" s="27">
        <v>65</v>
      </c>
      <c r="G76" s="27">
        <v>135</v>
      </c>
      <c r="H76" s="28">
        <f t="shared" ca="1" si="2"/>
        <v>12740</v>
      </c>
      <c r="J76" s="23">
        <v>161</v>
      </c>
      <c r="K76" s="30">
        <v>10278.812182741116</v>
      </c>
    </row>
    <row r="77" spans="2:11">
      <c r="B77" s="23">
        <f t="shared" ca="1" si="0"/>
        <v>0.49744364957401443</v>
      </c>
      <c r="C77" s="23">
        <f t="shared" ca="1" si="3"/>
        <v>289</v>
      </c>
      <c r="D77" s="23">
        <f t="shared" si="1"/>
        <v>290</v>
      </c>
      <c r="E77" s="23">
        <f t="shared" ca="1" si="4"/>
        <v>289</v>
      </c>
      <c r="F77" s="27">
        <v>65</v>
      </c>
      <c r="G77" s="27">
        <v>135</v>
      </c>
      <c r="H77" s="28">
        <f t="shared" ca="1" si="2"/>
        <v>20165</v>
      </c>
      <c r="J77" s="23">
        <v>162</v>
      </c>
      <c r="K77" s="30">
        <v>10458.868020304568</v>
      </c>
    </row>
    <row r="78" spans="2:11">
      <c r="B78" s="23">
        <f t="shared" ca="1" si="0"/>
        <v>7.174079524193655E-2</v>
      </c>
      <c r="C78" s="23">
        <f t="shared" ca="1" si="3"/>
        <v>135</v>
      </c>
      <c r="D78" s="23">
        <f t="shared" si="1"/>
        <v>290</v>
      </c>
      <c r="E78" s="23">
        <f t="shared" ca="1" si="4"/>
        <v>135</v>
      </c>
      <c r="F78" s="27">
        <v>65</v>
      </c>
      <c r="G78" s="27">
        <v>135</v>
      </c>
      <c r="H78" s="28">
        <f t="shared" ca="1" si="2"/>
        <v>-625</v>
      </c>
      <c r="J78" s="23">
        <v>163</v>
      </c>
      <c r="K78" s="30">
        <v>10521.32994923858</v>
      </c>
    </row>
    <row r="79" spans="2:11">
      <c r="B79" s="23">
        <f t="shared" ca="1" si="0"/>
        <v>7.1893381876858453E-2</v>
      </c>
      <c r="C79" s="23">
        <f t="shared" ca="1" si="3"/>
        <v>135</v>
      </c>
      <c r="D79" s="23">
        <f t="shared" si="1"/>
        <v>290</v>
      </c>
      <c r="E79" s="23">
        <f t="shared" ca="1" si="4"/>
        <v>135</v>
      </c>
      <c r="F79" s="27">
        <v>65</v>
      </c>
      <c r="G79" s="27">
        <v>135</v>
      </c>
      <c r="H79" s="28">
        <f t="shared" ca="1" si="2"/>
        <v>-625</v>
      </c>
      <c r="J79" s="23">
        <v>164</v>
      </c>
      <c r="K79" s="30">
        <v>10778.41116751269</v>
      </c>
    </row>
    <row r="80" spans="2:11">
      <c r="B80" s="23">
        <f t="shared" ca="1" si="0"/>
        <v>0.5612593740441093</v>
      </c>
      <c r="C80" s="23">
        <f t="shared" ca="1" si="3"/>
        <v>306</v>
      </c>
      <c r="D80" s="23">
        <f t="shared" si="1"/>
        <v>290</v>
      </c>
      <c r="E80" s="23">
        <f t="shared" ca="1" si="4"/>
        <v>290</v>
      </c>
      <c r="F80" s="27">
        <v>65</v>
      </c>
      <c r="G80" s="27">
        <v>135</v>
      </c>
      <c r="H80" s="28">
        <f t="shared" ca="1" si="2"/>
        <v>20300</v>
      </c>
      <c r="J80" s="23">
        <v>165</v>
      </c>
      <c r="K80" s="30">
        <v>10712.58883248731</v>
      </c>
    </row>
    <row r="81" spans="2:11">
      <c r="B81" s="23">
        <f t="shared" ref="B81:B144" ca="1" si="5">RAND()</f>
        <v>0.77397734991951495</v>
      </c>
      <c r="C81" s="23">
        <f t="shared" ca="1" si="3"/>
        <v>369</v>
      </c>
      <c r="D81" s="23">
        <f t="shared" ref="D81:D144" si="6">$B$9</f>
        <v>290</v>
      </c>
      <c r="E81" s="23">
        <f t="shared" ref="E81:E144" ca="1" si="7">_xlfn.FLOOR.MATH(MIN(C81,D81))</f>
        <v>290</v>
      </c>
      <c r="F81" s="27">
        <v>65</v>
      </c>
      <c r="G81" s="27">
        <v>135</v>
      </c>
      <c r="H81" s="28">
        <f t="shared" ref="H81:H144" ca="1" si="8">E81*G81-D81*F81</f>
        <v>20300</v>
      </c>
      <c r="J81" s="23">
        <v>166</v>
      </c>
      <c r="K81" s="30">
        <v>10796.705583756346</v>
      </c>
    </row>
    <row r="82" spans="2:11">
      <c r="B82" s="23">
        <f t="shared" ca="1" si="5"/>
        <v>0.84908982201543159</v>
      </c>
      <c r="C82" s="23">
        <f t="shared" ref="C82:C145" ca="1" si="9">_xlfn.FLOOR.MATH(_xlfn.NORM.INV(B82,$B$6,$B$7))</f>
        <v>399</v>
      </c>
      <c r="D82" s="23">
        <f t="shared" si="6"/>
        <v>290</v>
      </c>
      <c r="E82" s="23">
        <f t="shared" ca="1" si="7"/>
        <v>290</v>
      </c>
      <c r="F82" s="27">
        <v>65</v>
      </c>
      <c r="G82" s="27">
        <v>135</v>
      </c>
      <c r="H82" s="28">
        <f t="shared" ca="1" si="8"/>
        <v>20300</v>
      </c>
      <c r="J82" s="23">
        <v>167</v>
      </c>
      <c r="K82" s="30">
        <v>10819.284263959391</v>
      </c>
    </row>
    <row r="83" spans="2:11">
      <c r="B83" s="23">
        <f t="shared" ca="1" si="5"/>
        <v>7.9724197649318818E-2</v>
      </c>
      <c r="C83" s="23">
        <f t="shared" ca="1" si="9"/>
        <v>140</v>
      </c>
      <c r="D83" s="23">
        <f t="shared" si="6"/>
        <v>290</v>
      </c>
      <c r="E83" s="23">
        <f t="shared" ca="1" si="7"/>
        <v>140</v>
      </c>
      <c r="F83" s="27">
        <v>65</v>
      </c>
      <c r="G83" s="27">
        <v>135</v>
      </c>
      <c r="H83" s="28">
        <f t="shared" ca="1" si="8"/>
        <v>50</v>
      </c>
      <c r="J83" s="23">
        <v>168</v>
      </c>
      <c r="K83" s="30">
        <v>10836.791878172589</v>
      </c>
    </row>
    <row r="84" spans="2:11">
      <c r="B84" s="23">
        <f t="shared" ca="1" si="5"/>
        <v>0.63425151122056622</v>
      </c>
      <c r="C84" s="23">
        <f t="shared" ca="1" si="9"/>
        <v>326</v>
      </c>
      <c r="D84" s="23">
        <f t="shared" si="6"/>
        <v>290</v>
      </c>
      <c r="E84" s="23">
        <f t="shared" ca="1" si="7"/>
        <v>290</v>
      </c>
      <c r="F84" s="27">
        <v>65</v>
      </c>
      <c r="G84" s="27">
        <v>135</v>
      </c>
      <c r="H84" s="28">
        <f t="shared" ca="1" si="8"/>
        <v>20300</v>
      </c>
      <c r="J84" s="23">
        <v>169</v>
      </c>
      <c r="K84" s="30">
        <v>10905.010152284263</v>
      </c>
    </row>
    <row r="85" spans="2:11">
      <c r="B85" s="23">
        <f t="shared" ca="1" si="5"/>
        <v>0.60347731054844644</v>
      </c>
      <c r="C85" s="23">
        <f t="shared" ca="1" si="9"/>
        <v>317</v>
      </c>
      <c r="D85" s="23">
        <f t="shared" si="6"/>
        <v>290</v>
      </c>
      <c r="E85" s="23">
        <f t="shared" ca="1" si="7"/>
        <v>290</v>
      </c>
      <c r="F85" s="27">
        <v>65</v>
      </c>
      <c r="G85" s="27">
        <v>135</v>
      </c>
      <c r="H85" s="28">
        <f t="shared" ca="1" si="8"/>
        <v>20300</v>
      </c>
      <c r="J85" s="23">
        <v>170</v>
      </c>
      <c r="K85" s="30">
        <v>10998.583756345177</v>
      </c>
    </row>
    <row r="86" spans="2:11">
      <c r="B86" s="23">
        <f t="shared" ca="1" si="5"/>
        <v>0.21750267258786449</v>
      </c>
      <c r="C86" s="23">
        <f t="shared" ca="1" si="9"/>
        <v>207</v>
      </c>
      <c r="D86" s="23">
        <f t="shared" si="6"/>
        <v>290</v>
      </c>
      <c r="E86" s="23">
        <f t="shared" ca="1" si="7"/>
        <v>207</v>
      </c>
      <c r="F86" s="27">
        <v>65</v>
      </c>
      <c r="G86" s="27">
        <v>135</v>
      </c>
      <c r="H86" s="28">
        <f t="shared" ca="1" si="8"/>
        <v>9095</v>
      </c>
      <c r="J86" s="23">
        <v>171</v>
      </c>
      <c r="K86" s="30">
        <v>11209.614213197969</v>
      </c>
    </row>
    <row r="87" spans="2:11">
      <c r="B87" s="23">
        <f t="shared" ca="1" si="5"/>
        <v>0.87841236276953982</v>
      </c>
      <c r="C87" s="23">
        <f t="shared" ca="1" si="9"/>
        <v>413</v>
      </c>
      <c r="D87" s="23">
        <f t="shared" si="6"/>
        <v>290</v>
      </c>
      <c r="E87" s="23">
        <f t="shared" ca="1" si="7"/>
        <v>290</v>
      </c>
      <c r="F87" s="27">
        <v>65</v>
      </c>
      <c r="G87" s="27">
        <v>135</v>
      </c>
      <c r="H87" s="28">
        <f t="shared" ca="1" si="8"/>
        <v>20300</v>
      </c>
      <c r="J87" s="23">
        <v>172</v>
      </c>
      <c r="K87" s="30">
        <v>11151.055837563452</v>
      </c>
    </row>
    <row r="88" spans="2:11">
      <c r="B88" s="23">
        <f t="shared" ca="1" si="5"/>
        <v>1.8302122388179076E-2</v>
      </c>
      <c r="C88" s="23">
        <f t="shared" ca="1" si="9"/>
        <v>68</v>
      </c>
      <c r="D88" s="23">
        <f t="shared" si="6"/>
        <v>290</v>
      </c>
      <c r="E88" s="23">
        <f t="shared" ca="1" si="7"/>
        <v>68</v>
      </c>
      <c r="F88" s="27">
        <v>65</v>
      </c>
      <c r="G88" s="27">
        <v>135</v>
      </c>
      <c r="H88" s="28">
        <f t="shared" ca="1" si="8"/>
        <v>-9670</v>
      </c>
      <c r="J88" s="23">
        <v>173</v>
      </c>
      <c r="K88" s="30">
        <v>10964.350253807106</v>
      </c>
    </row>
    <row r="89" spans="2:11">
      <c r="B89" s="23">
        <f t="shared" ca="1" si="5"/>
        <v>0.98134206796553736</v>
      </c>
      <c r="C89" s="23">
        <f t="shared" ca="1" si="9"/>
        <v>510</v>
      </c>
      <c r="D89" s="23">
        <f t="shared" si="6"/>
        <v>290</v>
      </c>
      <c r="E89" s="23">
        <f t="shared" ca="1" si="7"/>
        <v>290</v>
      </c>
      <c r="F89" s="27">
        <v>65</v>
      </c>
      <c r="G89" s="27">
        <v>135</v>
      </c>
      <c r="H89" s="28">
        <f t="shared" ca="1" si="8"/>
        <v>20300</v>
      </c>
      <c r="J89" s="23">
        <v>174</v>
      </c>
      <c r="K89" s="30">
        <v>11246.649746192894</v>
      </c>
    </row>
    <row r="90" spans="2:11">
      <c r="B90" s="23">
        <f t="shared" ca="1" si="5"/>
        <v>0.46677346256695584</v>
      </c>
      <c r="C90" s="23">
        <f t="shared" ca="1" si="9"/>
        <v>281</v>
      </c>
      <c r="D90" s="23">
        <f t="shared" si="6"/>
        <v>290</v>
      </c>
      <c r="E90" s="23">
        <f t="shared" ca="1" si="7"/>
        <v>281</v>
      </c>
      <c r="F90" s="27">
        <v>65</v>
      </c>
      <c r="G90" s="27">
        <v>135</v>
      </c>
      <c r="H90" s="28">
        <f t="shared" ca="1" si="8"/>
        <v>19085</v>
      </c>
      <c r="J90" s="23">
        <v>175</v>
      </c>
      <c r="K90" s="30">
        <v>11096.126903553299</v>
      </c>
    </row>
    <row r="91" spans="2:11">
      <c r="B91" s="23">
        <f t="shared" ca="1" si="5"/>
        <v>1.4229531276482743E-2</v>
      </c>
      <c r="C91" s="23">
        <f t="shared" ca="1" si="9"/>
        <v>57</v>
      </c>
      <c r="D91" s="23">
        <f t="shared" si="6"/>
        <v>290</v>
      </c>
      <c r="E91" s="23">
        <f t="shared" ca="1" si="7"/>
        <v>57</v>
      </c>
      <c r="F91" s="27">
        <v>65</v>
      </c>
      <c r="G91" s="27">
        <v>135</v>
      </c>
      <c r="H91" s="28">
        <f t="shared" ca="1" si="8"/>
        <v>-11155</v>
      </c>
      <c r="J91" s="23">
        <v>176</v>
      </c>
      <c r="K91" s="30">
        <v>11123.228426395939</v>
      </c>
    </row>
    <row r="92" spans="2:11">
      <c r="B92" s="23">
        <f t="shared" ca="1" si="5"/>
        <v>0.69152889114504934</v>
      </c>
      <c r="C92" s="23">
        <f t="shared" ca="1" si="9"/>
        <v>343</v>
      </c>
      <c r="D92" s="23">
        <f t="shared" si="6"/>
        <v>290</v>
      </c>
      <c r="E92" s="23">
        <f t="shared" ca="1" si="7"/>
        <v>290</v>
      </c>
      <c r="F92" s="27">
        <v>65</v>
      </c>
      <c r="G92" s="27">
        <v>135</v>
      </c>
      <c r="H92" s="28">
        <f t="shared" ca="1" si="8"/>
        <v>20300</v>
      </c>
      <c r="J92" s="23">
        <v>177</v>
      </c>
      <c r="K92" s="30">
        <v>11330.421319796955</v>
      </c>
    </row>
    <row r="93" spans="2:11">
      <c r="B93" s="23">
        <f t="shared" ca="1" si="5"/>
        <v>0.5911431263598339</v>
      </c>
      <c r="C93" s="23">
        <f t="shared" ca="1" si="9"/>
        <v>314</v>
      </c>
      <c r="D93" s="23">
        <f t="shared" si="6"/>
        <v>290</v>
      </c>
      <c r="E93" s="23">
        <f t="shared" ca="1" si="7"/>
        <v>290</v>
      </c>
      <c r="F93" s="27">
        <v>65</v>
      </c>
      <c r="G93" s="27">
        <v>135</v>
      </c>
      <c r="H93" s="28">
        <f t="shared" ca="1" si="8"/>
        <v>20300</v>
      </c>
      <c r="J93" s="23">
        <v>178</v>
      </c>
      <c r="K93" s="30">
        <v>11346.695431472081</v>
      </c>
    </row>
    <row r="94" spans="2:11">
      <c r="B94" s="23">
        <f t="shared" ca="1" si="5"/>
        <v>0.45735654124387015</v>
      </c>
      <c r="C94" s="23">
        <f t="shared" ca="1" si="9"/>
        <v>278</v>
      </c>
      <c r="D94" s="23">
        <f t="shared" si="6"/>
        <v>290</v>
      </c>
      <c r="E94" s="23">
        <f t="shared" ca="1" si="7"/>
        <v>278</v>
      </c>
      <c r="F94" s="27">
        <v>65</v>
      </c>
      <c r="G94" s="27">
        <v>135</v>
      </c>
      <c r="H94" s="28">
        <f t="shared" ca="1" si="8"/>
        <v>18680</v>
      </c>
      <c r="J94" s="23">
        <v>179</v>
      </c>
      <c r="K94" s="30">
        <v>11406.416243654823</v>
      </c>
    </row>
    <row r="95" spans="2:11">
      <c r="B95" s="23">
        <f t="shared" ca="1" si="5"/>
        <v>0.39445508126100592</v>
      </c>
      <c r="C95" s="23">
        <f t="shared" ca="1" si="9"/>
        <v>261</v>
      </c>
      <c r="D95" s="23">
        <f t="shared" si="6"/>
        <v>290</v>
      </c>
      <c r="E95" s="23">
        <f t="shared" ca="1" si="7"/>
        <v>261</v>
      </c>
      <c r="F95" s="27">
        <v>65</v>
      </c>
      <c r="G95" s="27">
        <v>135</v>
      </c>
      <c r="H95" s="28">
        <f t="shared" ca="1" si="8"/>
        <v>16385</v>
      </c>
      <c r="J95" s="23">
        <v>180</v>
      </c>
      <c r="K95" s="30">
        <v>11617.583756345177</v>
      </c>
    </row>
    <row r="96" spans="2:11">
      <c r="B96" s="23">
        <f t="shared" ca="1" si="5"/>
        <v>0.77232379163468001</v>
      </c>
      <c r="C96" s="23">
        <f t="shared" ca="1" si="9"/>
        <v>369</v>
      </c>
      <c r="D96" s="23">
        <f t="shared" si="6"/>
        <v>290</v>
      </c>
      <c r="E96" s="23">
        <f t="shared" ca="1" si="7"/>
        <v>290</v>
      </c>
      <c r="F96" s="27">
        <v>65</v>
      </c>
      <c r="G96" s="27">
        <v>135</v>
      </c>
      <c r="H96" s="28">
        <f t="shared" ca="1" si="8"/>
        <v>20300</v>
      </c>
      <c r="J96" s="23">
        <v>181</v>
      </c>
      <c r="K96" s="30">
        <v>11440.472081218275</v>
      </c>
    </row>
    <row r="97" spans="2:11">
      <c r="B97" s="23">
        <f t="shared" ca="1" si="5"/>
        <v>0.5353154531071681</v>
      </c>
      <c r="C97" s="23">
        <f t="shared" ca="1" si="9"/>
        <v>299</v>
      </c>
      <c r="D97" s="23">
        <f t="shared" si="6"/>
        <v>290</v>
      </c>
      <c r="E97" s="23">
        <f t="shared" ca="1" si="7"/>
        <v>290</v>
      </c>
      <c r="F97" s="27">
        <v>65</v>
      </c>
      <c r="G97" s="27">
        <v>135</v>
      </c>
      <c r="H97" s="28">
        <f t="shared" ca="1" si="8"/>
        <v>20300</v>
      </c>
      <c r="J97" s="23">
        <v>182</v>
      </c>
      <c r="K97" s="30">
        <v>11587.908629441625</v>
      </c>
    </row>
    <row r="98" spans="2:11">
      <c r="B98" s="23">
        <f t="shared" ca="1" si="5"/>
        <v>0.60859036251263987</v>
      </c>
      <c r="C98" s="23">
        <f t="shared" ca="1" si="9"/>
        <v>319</v>
      </c>
      <c r="D98" s="23">
        <f t="shared" si="6"/>
        <v>290</v>
      </c>
      <c r="E98" s="23">
        <f t="shared" ca="1" si="7"/>
        <v>290</v>
      </c>
      <c r="F98" s="27">
        <v>65</v>
      </c>
      <c r="G98" s="27">
        <v>135</v>
      </c>
      <c r="H98" s="28">
        <f t="shared" ca="1" si="8"/>
        <v>20300</v>
      </c>
      <c r="J98" s="23">
        <v>183</v>
      </c>
      <c r="K98" s="30">
        <v>11566.355329949238</v>
      </c>
    </row>
    <row r="99" spans="2:11">
      <c r="B99" s="23">
        <f t="shared" ca="1" si="5"/>
        <v>0.65831284834406256</v>
      </c>
      <c r="C99" s="23">
        <f t="shared" ca="1" si="9"/>
        <v>333</v>
      </c>
      <c r="D99" s="23">
        <f t="shared" si="6"/>
        <v>290</v>
      </c>
      <c r="E99" s="23">
        <f t="shared" ca="1" si="7"/>
        <v>290</v>
      </c>
      <c r="F99" s="27">
        <v>65</v>
      </c>
      <c r="G99" s="27">
        <v>135</v>
      </c>
      <c r="H99" s="28">
        <f t="shared" ca="1" si="8"/>
        <v>20300</v>
      </c>
      <c r="J99" s="23">
        <v>184</v>
      </c>
      <c r="K99" s="30">
        <v>11662.121827411167</v>
      </c>
    </row>
    <row r="100" spans="2:11">
      <c r="B100" s="23">
        <f t="shared" ca="1" si="5"/>
        <v>2.4392260067415017E-2</v>
      </c>
      <c r="C100" s="23">
        <f t="shared" ca="1" si="9"/>
        <v>81</v>
      </c>
      <c r="D100" s="23">
        <f t="shared" si="6"/>
        <v>290</v>
      </c>
      <c r="E100" s="23">
        <f t="shared" ca="1" si="7"/>
        <v>81</v>
      </c>
      <c r="F100" s="27">
        <v>65</v>
      </c>
      <c r="G100" s="27">
        <v>135</v>
      </c>
      <c r="H100" s="28">
        <f t="shared" ca="1" si="8"/>
        <v>-7915</v>
      </c>
      <c r="J100" s="23">
        <v>185</v>
      </c>
      <c r="K100" s="30">
        <v>11654.274111675128</v>
      </c>
    </row>
    <row r="101" spans="2:11">
      <c r="B101" s="23">
        <f t="shared" ca="1" si="5"/>
        <v>0.97062717416875643</v>
      </c>
      <c r="C101" s="23">
        <f t="shared" ca="1" si="9"/>
        <v>490</v>
      </c>
      <c r="D101" s="23">
        <f t="shared" si="6"/>
        <v>290</v>
      </c>
      <c r="E101" s="23">
        <f t="shared" ca="1" si="7"/>
        <v>290</v>
      </c>
      <c r="F101" s="27">
        <v>65</v>
      </c>
      <c r="G101" s="27">
        <v>135</v>
      </c>
      <c r="H101" s="28">
        <f t="shared" ca="1" si="8"/>
        <v>20300</v>
      </c>
      <c r="J101" s="23">
        <v>186</v>
      </c>
      <c r="K101" s="30">
        <v>11747.162436548224</v>
      </c>
    </row>
    <row r="102" spans="2:11">
      <c r="B102" s="23">
        <f t="shared" ca="1" si="5"/>
        <v>0.38420044140755905</v>
      </c>
      <c r="C102" s="23">
        <f t="shared" ca="1" si="9"/>
        <v>258</v>
      </c>
      <c r="D102" s="23">
        <f t="shared" si="6"/>
        <v>290</v>
      </c>
      <c r="E102" s="23">
        <f t="shared" ca="1" si="7"/>
        <v>258</v>
      </c>
      <c r="F102" s="27">
        <v>65</v>
      </c>
      <c r="G102" s="27">
        <v>135</v>
      </c>
      <c r="H102" s="28">
        <f t="shared" ca="1" si="8"/>
        <v>15980</v>
      </c>
      <c r="J102" s="23">
        <v>187</v>
      </c>
      <c r="K102" s="30">
        <v>11952.02538071066</v>
      </c>
    </row>
    <row r="103" spans="2:11">
      <c r="B103" s="23">
        <f t="shared" ca="1" si="5"/>
        <v>0.72072679357595826</v>
      </c>
      <c r="C103" s="23">
        <f t="shared" ca="1" si="9"/>
        <v>352</v>
      </c>
      <c r="D103" s="23">
        <f t="shared" si="6"/>
        <v>290</v>
      </c>
      <c r="E103" s="23">
        <f t="shared" ca="1" si="7"/>
        <v>290</v>
      </c>
      <c r="F103" s="27">
        <v>65</v>
      </c>
      <c r="G103" s="27">
        <v>135</v>
      </c>
      <c r="H103" s="28">
        <f t="shared" ca="1" si="8"/>
        <v>20300</v>
      </c>
      <c r="J103" s="23">
        <v>188</v>
      </c>
      <c r="K103" s="30">
        <v>11837.137055837564</v>
      </c>
    </row>
    <row r="104" spans="2:11">
      <c r="B104" s="23">
        <f t="shared" ca="1" si="5"/>
        <v>5.9276438770448192E-2</v>
      </c>
      <c r="C104" s="23">
        <f t="shared" ca="1" si="9"/>
        <v>124</v>
      </c>
      <c r="D104" s="23">
        <f t="shared" si="6"/>
        <v>290</v>
      </c>
      <c r="E104" s="23">
        <f t="shared" ca="1" si="7"/>
        <v>124</v>
      </c>
      <c r="F104" s="27">
        <v>65</v>
      </c>
      <c r="G104" s="27">
        <v>135</v>
      </c>
      <c r="H104" s="28">
        <f t="shared" ca="1" si="8"/>
        <v>-2110</v>
      </c>
      <c r="J104" s="23">
        <v>189</v>
      </c>
      <c r="K104" s="30">
        <v>11842.583756345177</v>
      </c>
    </row>
    <row r="105" spans="2:11">
      <c r="B105" s="23">
        <f t="shared" ca="1" si="5"/>
        <v>0.15819798455193312</v>
      </c>
      <c r="C105" s="23">
        <f t="shared" ca="1" si="9"/>
        <v>183</v>
      </c>
      <c r="D105" s="23">
        <f t="shared" si="6"/>
        <v>290</v>
      </c>
      <c r="E105" s="23">
        <f t="shared" ca="1" si="7"/>
        <v>183</v>
      </c>
      <c r="F105" s="27">
        <v>65</v>
      </c>
      <c r="G105" s="27">
        <v>135</v>
      </c>
      <c r="H105" s="28">
        <f t="shared" ca="1" si="8"/>
        <v>5855</v>
      </c>
      <c r="J105" s="23">
        <v>190</v>
      </c>
      <c r="K105" s="30">
        <v>11824.868020304568</v>
      </c>
    </row>
    <row r="106" spans="2:11">
      <c r="B106" s="23">
        <f t="shared" ca="1" si="5"/>
        <v>0.55997890623213098</v>
      </c>
      <c r="C106" s="23">
        <f t="shared" ca="1" si="9"/>
        <v>306</v>
      </c>
      <c r="D106" s="23">
        <f t="shared" si="6"/>
        <v>290</v>
      </c>
      <c r="E106" s="23">
        <f t="shared" ca="1" si="7"/>
        <v>290</v>
      </c>
      <c r="F106" s="27">
        <v>65</v>
      </c>
      <c r="G106" s="27">
        <v>135</v>
      </c>
      <c r="H106" s="28">
        <f t="shared" ca="1" si="8"/>
        <v>20300</v>
      </c>
      <c r="J106" s="23">
        <v>191</v>
      </c>
      <c r="K106" s="30">
        <v>11793.035532994923</v>
      </c>
    </row>
    <row r="107" spans="2:11">
      <c r="B107" s="23">
        <f t="shared" ca="1" si="5"/>
        <v>0.32309432529471305</v>
      </c>
      <c r="C107" s="23">
        <f t="shared" ca="1" si="9"/>
        <v>241</v>
      </c>
      <c r="D107" s="23">
        <f t="shared" si="6"/>
        <v>290</v>
      </c>
      <c r="E107" s="23">
        <f t="shared" ca="1" si="7"/>
        <v>241</v>
      </c>
      <c r="F107" s="27">
        <v>65</v>
      </c>
      <c r="G107" s="27">
        <v>135</v>
      </c>
      <c r="H107" s="28">
        <f t="shared" ca="1" si="8"/>
        <v>13685</v>
      </c>
      <c r="J107" s="23">
        <v>192</v>
      </c>
      <c r="K107" s="30">
        <v>11902.370558375635</v>
      </c>
    </row>
    <row r="108" spans="2:11">
      <c r="B108" s="23">
        <f t="shared" ca="1" si="5"/>
        <v>0.587586152601554</v>
      </c>
      <c r="C108" s="23">
        <f t="shared" ca="1" si="9"/>
        <v>313</v>
      </c>
      <c r="D108" s="23">
        <f t="shared" si="6"/>
        <v>290</v>
      </c>
      <c r="E108" s="23">
        <f t="shared" ca="1" si="7"/>
        <v>290</v>
      </c>
      <c r="F108" s="27">
        <v>65</v>
      </c>
      <c r="G108" s="27">
        <v>135</v>
      </c>
      <c r="H108" s="28">
        <f t="shared" ca="1" si="8"/>
        <v>20300</v>
      </c>
      <c r="J108" s="23">
        <v>193</v>
      </c>
      <c r="K108" s="30">
        <v>12003.893401015228</v>
      </c>
    </row>
    <row r="109" spans="2:11">
      <c r="B109" s="23">
        <f t="shared" ca="1" si="5"/>
        <v>0.54817820608099943</v>
      </c>
      <c r="C109" s="23">
        <f t="shared" ca="1" si="9"/>
        <v>302</v>
      </c>
      <c r="D109" s="23">
        <f t="shared" si="6"/>
        <v>290</v>
      </c>
      <c r="E109" s="23">
        <f t="shared" ca="1" si="7"/>
        <v>290</v>
      </c>
      <c r="F109" s="27">
        <v>65</v>
      </c>
      <c r="G109" s="27">
        <v>135</v>
      </c>
      <c r="H109" s="28">
        <f t="shared" ca="1" si="8"/>
        <v>20300</v>
      </c>
      <c r="J109" s="23">
        <v>194</v>
      </c>
      <c r="K109" s="30">
        <v>12202.177664974619</v>
      </c>
    </row>
    <row r="110" spans="2:11">
      <c r="B110" s="23">
        <f t="shared" ca="1" si="5"/>
        <v>0.41891957315842521</v>
      </c>
      <c r="C110" s="23">
        <f t="shared" ca="1" si="9"/>
        <v>268</v>
      </c>
      <c r="D110" s="23">
        <f t="shared" si="6"/>
        <v>290</v>
      </c>
      <c r="E110" s="23">
        <f t="shared" ca="1" si="7"/>
        <v>268</v>
      </c>
      <c r="F110" s="27">
        <v>65</v>
      </c>
      <c r="G110" s="27">
        <v>135</v>
      </c>
      <c r="H110" s="28">
        <f t="shared" ca="1" si="8"/>
        <v>17330</v>
      </c>
      <c r="J110" s="23">
        <v>195</v>
      </c>
      <c r="K110" s="30">
        <v>12089.619289340102</v>
      </c>
    </row>
    <row r="111" spans="2:11">
      <c r="B111" s="23">
        <f t="shared" ca="1" si="5"/>
        <v>0.68781327211125487</v>
      </c>
      <c r="C111" s="23">
        <f t="shared" ca="1" si="9"/>
        <v>341</v>
      </c>
      <c r="D111" s="23">
        <f t="shared" si="6"/>
        <v>290</v>
      </c>
      <c r="E111" s="23">
        <f t="shared" ca="1" si="7"/>
        <v>290</v>
      </c>
      <c r="F111" s="27">
        <v>65</v>
      </c>
      <c r="G111" s="27">
        <v>135</v>
      </c>
      <c r="H111" s="28">
        <f t="shared" ca="1" si="8"/>
        <v>20300</v>
      </c>
      <c r="J111" s="23">
        <v>196</v>
      </c>
      <c r="K111" s="30">
        <v>12233.766497461929</v>
      </c>
    </row>
    <row r="112" spans="2:11">
      <c r="B112" s="23">
        <f t="shared" ca="1" si="5"/>
        <v>0.64446722917750321</v>
      </c>
      <c r="C112" s="23">
        <f t="shared" ca="1" si="9"/>
        <v>329</v>
      </c>
      <c r="D112" s="23">
        <f t="shared" si="6"/>
        <v>290</v>
      </c>
      <c r="E112" s="23">
        <f t="shared" ca="1" si="7"/>
        <v>290</v>
      </c>
      <c r="F112" s="27">
        <v>65</v>
      </c>
      <c r="G112" s="27">
        <v>135</v>
      </c>
      <c r="H112" s="28">
        <f t="shared" ca="1" si="8"/>
        <v>20300</v>
      </c>
      <c r="J112" s="23">
        <v>197</v>
      </c>
      <c r="K112" s="30">
        <v>12547.314720812183</v>
      </c>
    </row>
    <row r="113" spans="2:11">
      <c r="B113" s="23">
        <f t="shared" ca="1" si="5"/>
        <v>0.40069345148777957</v>
      </c>
      <c r="C113" s="23">
        <f t="shared" ca="1" si="9"/>
        <v>263</v>
      </c>
      <c r="D113" s="23">
        <f t="shared" si="6"/>
        <v>290</v>
      </c>
      <c r="E113" s="23">
        <f t="shared" ca="1" si="7"/>
        <v>263</v>
      </c>
      <c r="F113" s="27">
        <v>65</v>
      </c>
      <c r="G113" s="27">
        <v>135</v>
      </c>
      <c r="H113" s="28">
        <f t="shared" ca="1" si="8"/>
        <v>16655</v>
      </c>
      <c r="J113" s="23">
        <v>198</v>
      </c>
      <c r="K113" s="30">
        <v>12280.294416243654</v>
      </c>
    </row>
    <row r="114" spans="2:11">
      <c r="B114" s="23">
        <f t="shared" ca="1" si="5"/>
        <v>0.39400286342850344</v>
      </c>
      <c r="C114" s="23">
        <f t="shared" ca="1" si="9"/>
        <v>261</v>
      </c>
      <c r="D114" s="23">
        <f t="shared" si="6"/>
        <v>290</v>
      </c>
      <c r="E114" s="23">
        <f t="shared" ca="1" si="7"/>
        <v>261</v>
      </c>
      <c r="F114" s="27">
        <v>65</v>
      </c>
      <c r="G114" s="27">
        <v>135</v>
      </c>
      <c r="H114" s="28">
        <f t="shared" ca="1" si="8"/>
        <v>16385</v>
      </c>
      <c r="J114" s="23">
        <v>199</v>
      </c>
      <c r="K114" s="30">
        <v>12440.614213197969</v>
      </c>
    </row>
    <row r="115" spans="2:11">
      <c r="B115" s="23">
        <f t="shared" ca="1" si="5"/>
        <v>0.24484652072028101</v>
      </c>
      <c r="C115" s="23">
        <f t="shared" ca="1" si="9"/>
        <v>216</v>
      </c>
      <c r="D115" s="23">
        <f t="shared" si="6"/>
        <v>290</v>
      </c>
      <c r="E115" s="23">
        <f t="shared" ca="1" si="7"/>
        <v>216</v>
      </c>
      <c r="F115" s="27">
        <v>65</v>
      </c>
      <c r="G115" s="27">
        <v>135</v>
      </c>
      <c r="H115" s="28">
        <f t="shared" ca="1" si="8"/>
        <v>10310</v>
      </c>
      <c r="J115" s="23">
        <v>200</v>
      </c>
      <c r="K115" s="30">
        <v>12351.218274111676</v>
      </c>
    </row>
    <row r="116" spans="2:11">
      <c r="B116" s="23">
        <f t="shared" ca="1" si="5"/>
        <v>0.36356439814790864</v>
      </c>
      <c r="C116" s="23">
        <f t="shared" ca="1" si="9"/>
        <v>253</v>
      </c>
      <c r="D116" s="23">
        <f t="shared" si="6"/>
        <v>290</v>
      </c>
      <c r="E116" s="23">
        <f t="shared" ca="1" si="7"/>
        <v>253</v>
      </c>
      <c r="F116" s="27">
        <v>65</v>
      </c>
      <c r="G116" s="27">
        <v>135</v>
      </c>
      <c r="H116" s="28">
        <f t="shared" ca="1" si="8"/>
        <v>15305</v>
      </c>
      <c r="J116" s="23">
        <v>201</v>
      </c>
      <c r="K116" s="30">
        <v>12632.010152284263</v>
      </c>
    </row>
    <row r="117" spans="2:11">
      <c r="B117" s="23">
        <f t="shared" ca="1" si="5"/>
        <v>2.2406336312878694E-2</v>
      </c>
      <c r="C117" s="23">
        <f t="shared" ca="1" si="9"/>
        <v>77</v>
      </c>
      <c r="D117" s="23">
        <f t="shared" si="6"/>
        <v>290</v>
      </c>
      <c r="E117" s="23">
        <f t="shared" ca="1" si="7"/>
        <v>77</v>
      </c>
      <c r="F117" s="27">
        <v>65</v>
      </c>
      <c r="G117" s="27">
        <v>135</v>
      </c>
      <c r="H117" s="28">
        <f t="shared" ca="1" si="8"/>
        <v>-8455</v>
      </c>
      <c r="J117" s="23">
        <v>202</v>
      </c>
      <c r="K117" s="30">
        <v>12527.401015228426</v>
      </c>
    </row>
    <row r="118" spans="2:11">
      <c r="B118" s="23">
        <f t="shared" ca="1" si="5"/>
        <v>0.54244682124562171</v>
      </c>
      <c r="C118" s="23">
        <f t="shared" ca="1" si="9"/>
        <v>301</v>
      </c>
      <c r="D118" s="23">
        <f t="shared" si="6"/>
        <v>290</v>
      </c>
      <c r="E118" s="23">
        <f t="shared" ca="1" si="7"/>
        <v>290</v>
      </c>
      <c r="F118" s="27">
        <v>65</v>
      </c>
      <c r="G118" s="27">
        <v>135</v>
      </c>
      <c r="H118" s="28">
        <f t="shared" ca="1" si="8"/>
        <v>20300</v>
      </c>
      <c r="J118" s="23">
        <v>203</v>
      </c>
      <c r="K118" s="30">
        <v>12503.791878172589</v>
      </c>
    </row>
    <row r="119" spans="2:11">
      <c r="B119" s="23">
        <f t="shared" ca="1" si="5"/>
        <v>0.79310058038779907</v>
      </c>
      <c r="C119" s="23">
        <f t="shared" ca="1" si="9"/>
        <v>376</v>
      </c>
      <c r="D119" s="23">
        <f t="shared" si="6"/>
        <v>290</v>
      </c>
      <c r="E119" s="23">
        <f t="shared" ca="1" si="7"/>
        <v>290</v>
      </c>
      <c r="F119" s="27">
        <v>65</v>
      </c>
      <c r="G119" s="27">
        <v>135</v>
      </c>
      <c r="H119" s="28">
        <f t="shared" ca="1" si="8"/>
        <v>20300</v>
      </c>
      <c r="J119" s="23">
        <v>204</v>
      </c>
      <c r="K119" s="30">
        <v>12734.147208121827</v>
      </c>
    </row>
    <row r="120" spans="2:11">
      <c r="B120" s="23">
        <f t="shared" ca="1" si="5"/>
        <v>0.16406276654427099</v>
      </c>
      <c r="C120" s="23">
        <f t="shared" ca="1" si="9"/>
        <v>186</v>
      </c>
      <c r="D120" s="23">
        <f t="shared" si="6"/>
        <v>290</v>
      </c>
      <c r="E120" s="23">
        <f t="shared" ca="1" si="7"/>
        <v>186</v>
      </c>
      <c r="F120" s="27">
        <v>65</v>
      </c>
      <c r="G120" s="27">
        <v>135</v>
      </c>
      <c r="H120" s="28">
        <f t="shared" ca="1" si="8"/>
        <v>6260</v>
      </c>
      <c r="J120" s="23">
        <v>205</v>
      </c>
      <c r="K120" s="30">
        <v>12534.147208121827</v>
      </c>
    </row>
    <row r="121" spans="2:11">
      <c r="B121" s="23">
        <f t="shared" ca="1" si="5"/>
        <v>0.26824984015788034</v>
      </c>
      <c r="C121" s="23">
        <f t="shared" ca="1" si="9"/>
        <v>224</v>
      </c>
      <c r="D121" s="23">
        <f t="shared" si="6"/>
        <v>290</v>
      </c>
      <c r="E121" s="23">
        <f t="shared" ca="1" si="7"/>
        <v>224</v>
      </c>
      <c r="F121" s="27">
        <v>65</v>
      </c>
      <c r="G121" s="27">
        <v>135</v>
      </c>
      <c r="H121" s="28">
        <f t="shared" ca="1" si="8"/>
        <v>11390</v>
      </c>
      <c r="J121" s="23">
        <v>206</v>
      </c>
      <c r="K121" s="30">
        <v>12617.715736040609</v>
      </c>
    </row>
    <row r="122" spans="2:11">
      <c r="B122" s="23">
        <f t="shared" ca="1" si="5"/>
        <v>0.86092509637700643</v>
      </c>
      <c r="C122" s="23">
        <f t="shared" ca="1" si="9"/>
        <v>405</v>
      </c>
      <c r="D122" s="23">
        <f t="shared" si="6"/>
        <v>290</v>
      </c>
      <c r="E122" s="23">
        <f t="shared" ca="1" si="7"/>
        <v>290</v>
      </c>
      <c r="F122" s="27">
        <v>65</v>
      </c>
      <c r="G122" s="27">
        <v>135</v>
      </c>
      <c r="H122" s="28">
        <f t="shared" ca="1" si="8"/>
        <v>20300</v>
      </c>
      <c r="J122" s="23">
        <v>207</v>
      </c>
      <c r="K122" s="30">
        <v>12409.355329949238</v>
      </c>
    </row>
    <row r="123" spans="2:11">
      <c r="B123" s="23">
        <f t="shared" ca="1" si="5"/>
        <v>0.29100219479255984</v>
      </c>
      <c r="C123" s="23">
        <f t="shared" ca="1" si="9"/>
        <v>231</v>
      </c>
      <c r="D123" s="23">
        <f t="shared" si="6"/>
        <v>290</v>
      </c>
      <c r="E123" s="23">
        <f t="shared" ca="1" si="7"/>
        <v>231</v>
      </c>
      <c r="F123" s="27">
        <v>65</v>
      </c>
      <c r="G123" s="27">
        <v>135</v>
      </c>
      <c r="H123" s="28">
        <f t="shared" ca="1" si="8"/>
        <v>12335</v>
      </c>
      <c r="J123" s="23">
        <v>208</v>
      </c>
      <c r="K123" s="30">
        <v>12900.939086294416</v>
      </c>
    </row>
    <row r="124" spans="2:11">
      <c r="B124" s="23">
        <f t="shared" ca="1" si="5"/>
        <v>0.2702890109756122</v>
      </c>
      <c r="C124" s="23">
        <f t="shared" ca="1" si="9"/>
        <v>225</v>
      </c>
      <c r="D124" s="23">
        <f t="shared" si="6"/>
        <v>290</v>
      </c>
      <c r="E124" s="23">
        <f t="shared" ca="1" si="7"/>
        <v>225</v>
      </c>
      <c r="F124" s="27">
        <v>65</v>
      </c>
      <c r="G124" s="27">
        <v>135</v>
      </c>
      <c r="H124" s="28">
        <f t="shared" ca="1" si="8"/>
        <v>11525</v>
      </c>
      <c r="J124" s="23">
        <v>209</v>
      </c>
      <c r="K124" s="30">
        <v>12595.817258883249</v>
      </c>
    </row>
    <row r="125" spans="2:11">
      <c r="B125" s="23">
        <f t="shared" ca="1" si="5"/>
        <v>0.29605590796951819</v>
      </c>
      <c r="C125" s="23">
        <f t="shared" ca="1" si="9"/>
        <v>233</v>
      </c>
      <c r="D125" s="23">
        <f t="shared" si="6"/>
        <v>290</v>
      </c>
      <c r="E125" s="23">
        <f t="shared" ca="1" si="7"/>
        <v>233</v>
      </c>
      <c r="F125" s="27">
        <v>65</v>
      </c>
      <c r="G125" s="27">
        <v>135</v>
      </c>
      <c r="H125" s="28">
        <f t="shared" ca="1" si="8"/>
        <v>12605</v>
      </c>
      <c r="J125" s="23">
        <v>210</v>
      </c>
      <c r="K125" s="30">
        <v>12631.279187817259</v>
      </c>
    </row>
    <row r="126" spans="2:11">
      <c r="B126" s="23">
        <f t="shared" ca="1" si="5"/>
        <v>0.20308966635975945</v>
      </c>
      <c r="C126" s="23">
        <f t="shared" ca="1" si="9"/>
        <v>202</v>
      </c>
      <c r="D126" s="23">
        <f t="shared" si="6"/>
        <v>290</v>
      </c>
      <c r="E126" s="23">
        <f t="shared" ca="1" si="7"/>
        <v>202</v>
      </c>
      <c r="F126" s="27">
        <v>65</v>
      </c>
      <c r="G126" s="27">
        <v>135</v>
      </c>
      <c r="H126" s="28">
        <f t="shared" ca="1" si="8"/>
        <v>8420</v>
      </c>
      <c r="J126" s="23">
        <v>211</v>
      </c>
      <c r="K126" s="30">
        <v>12934</v>
      </c>
    </row>
    <row r="127" spans="2:11">
      <c r="B127" s="23">
        <f t="shared" ca="1" si="5"/>
        <v>0.52552449234234322</v>
      </c>
      <c r="C127" s="23">
        <f t="shared" ca="1" si="9"/>
        <v>296</v>
      </c>
      <c r="D127" s="23">
        <f t="shared" si="6"/>
        <v>290</v>
      </c>
      <c r="E127" s="23">
        <f t="shared" ca="1" si="7"/>
        <v>290</v>
      </c>
      <c r="F127" s="27">
        <v>65</v>
      </c>
      <c r="G127" s="27">
        <v>135</v>
      </c>
      <c r="H127" s="28">
        <f t="shared" ca="1" si="8"/>
        <v>20300</v>
      </c>
      <c r="J127" s="23">
        <v>212</v>
      </c>
      <c r="K127" s="30">
        <v>12924.233502538071</v>
      </c>
    </row>
    <row r="128" spans="2:11">
      <c r="B128" s="23">
        <f t="shared" ca="1" si="5"/>
        <v>0.49578546018095948</v>
      </c>
      <c r="C128" s="23">
        <f t="shared" ca="1" si="9"/>
        <v>288</v>
      </c>
      <c r="D128" s="23">
        <f t="shared" si="6"/>
        <v>290</v>
      </c>
      <c r="E128" s="23">
        <f t="shared" ca="1" si="7"/>
        <v>288</v>
      </c>
      <c r="F128" s="27">
        <v>65</v>
      </c>
      <c r="G128" s="27">
        <v>135</v>
      </c>
      <c r="H128" s="28">
        <f t="shared" ca="1" si="8"/>
        <v>20030</v>
      </c>
      <c r="J128" s="23">
        <v>213</v>
      </c>
      <c r="K128" s="30">
        <v>12914.192893401016</v>
      </c>
    </row>
    <row r="129" spans="2:11">
      <c r="B129" s="23">
        <f t="shared" ca="1" si="5"/>
        <v>0.76740789510971863</v>
      </c>
      <c r="C129" s="23">
        <f t="shared" ca="1" si="9"/>
        <v>367</v>
      </c>
      <c r="D129" s="23">
        <f t="shared" si="6"/>
        <v>290</v>
      </c>
      <c r="E129" s="23">
        <f t="shared" ca="1" si="7"/>
        <v>290</v>
      </c>
      <c r="F129" s="27">
        <v>65</v>
      </c>
      <c r="G129" s="27">
        <v>135</v>
      </c>
      <c r="H129" s="28">
        <f t="shared" ca="1" si="8"/>
        <v>20300</v>
      </c>
      <c r="J129" s="23">
        <v>214</v>
      </c>
      <c r="K129" s="30">
        <v>12598.243654822336</v>
      </c>
    </row>
    <row r="130" spans="2:11">
      <c r="B130" s="23">
        <f t="shared" ca="1" si="5"/>
        <v>0.64011710685179557</v>
      </c>
      <c r="C130" s="23">
        <f t="shared" ca="1" si="9"/>
        <v>328</v>
      </c>
      <c r="D130" s="23">
        <f t="shared" si="6"/>
        <v>290</v>
      </c>
      <c r="E130" s="23">
        <f t="shared" ca="1" si="7"/>
        <v>290</v>
      </c>
      <c r="F130" s="27">
        <v>65</v>
      </c>
      <c r="G130" s="27">
        <v>135</v>
      </c>
      <c r="H130" s="28">
        <f t="shared" ca="1" si="8"/>
        <v>20300</v>
      </c>
      <c r="J130" s="23">
        <v>215</v>
      </c>
      <c r="K130" s="30">
        <v>13074.614213197969</v>
      </c>
    </row>
    <row r="131" spans="2:11">
      <c r="B131" s="23">
        <f t="shared" ca="1" si="5"/>
        <v>2.2410838362618701E-3</v>
      </c>
      <c r="C131" s="23">
        <f t="shared" ca="1" si="9"/>
        <v>-12</v>
      </c>
      <c r="D131" s="23">
        <f t="shared" si="6"/>
        <v>290</v>
      </c>
      <c r="E131" s="23">
        <f t="shared" ca="1" si="7"/>
        <v>-12</v>
      </c>
      <c r="F131" s="27">
        <v>65</v>
      </c>
      <c r="G131" s="27">
        <v>135</v>
      </c>
      <c r="H131" s="28">
        <f t="shared" ca="1" si="8"/>
        <v>-20470</v>
      </c>
      <c r="J131" s="23">
        <v>216</v>
      </c>
      <c r="K131" s="30">
        <v>13257.548223350253</v>
      </c>
    </row>
    <row r="132" spans="2:11">
      <c r="B132" s="23">
        <f t="shared" ca="1" si="5"/>
        <v>0.84900207688117291</v>
      </c>
      <c r="C132" s="23">
        <f t="shared" ca="1" si="9"/>
        <v>399</v>
      </c>
      <c r="D132" s="23">
        <f t="shared" si="6"/>
        <v>290</v>
      </c>
      <c r="E132" s="23">
        <f t="shared" ca="1" si="7"/>
        <v>290</v>
      </c>
      <c r="F132" s="27">
        <v>65</v>
      </c>
      <c r="G132" s="27">
        <v>135</v>
      </c>
      <c r="H132" s="28">
        <f t="shared" ca="1" si="8"/>
        <v>20300</v>
      </c>
      <c r="J132" s="23">
        <v>217</v>
      </c>
      <c r="K132" s="30">
        <v>13183.502538071067</v>
      </c>
    </row>
    <row r="133" spans="2:11">
      <c r="B133" s="23">
        <f t="shared" ca="1" si="5"/>
        <v>0.21421931517050252</v>
      </c>
      <c r="C133" s="23">
        <f t="shared" ca="1" si="9"/>
        <v>206</v>
      </c>
      <c r="D133" s="23">
        <f t="shared" si="6"/>
        <v>290</v>
      </c>
      <c r="E133" s="23">
        <f t="shared" ca="1" si="7"/>
        <v>206</v>
      </c>
      <c r="F133" s="27">
        <v>65</v>
      </c>
      <c r="G133" s="27">
        <v>135</v>
      </c>
      <c r="H133" s="28">
        <f t="shared" ca="1" si="8"/>
        <v>8960</v>
      </c>
      <c r="J133" s="23">
        <v>218</v>
      </c>
      <c r="K133" s="30">
        <v>13041.477157360407</v>
      </c>
    </row>
    <row r="134" spans="2:11">
      <c r="B134" s="23">
        <f t="shared" ca="1" si="5"/>
        <v>0.86078681762386056</v>
      </c>
      <c r="C134" s="23">
        <f t="shared" ca="1" si="9"/>
        <v>404</v>
      </c>
      <c r="D134" s="23">
        <f t="shared" si="6"/>
        <v>290</v>
      </c>
      <c r="E134" s="23">
        <f t="shared" ca="1" si="7"/>
        <v>290</v>
      </c>
      <c r="F134" s="27">
        <v>65</v>
      </c>
      <c r="G134" s="27">
        <v>135</v>
      </c>
      <c r="H134" s="28">
        <f t="shared" ca="1" si="8"/>
        <v>20300</v>
      </c>
      <c r="J134" s="23">
        <v>219</v>
      </c>
      <c r="K134" s="30">
        <v>13044.319796954314</v>
      </c>
    </row>
    <row r="135" spans="2:11">
      <c r="B135" s="23">
        <f t="shared" ca="1" si="5"/>
        <v>0.26301742520571514</v>
      </c>
      <c r="C135" s="23">
        <f t="shared" ca="1" si="9"/>
        <v>222</v>
      </c>
      <c r="D135" s="23">
        <f t="shared" si="6"/>
        <v>290</v>
      </c>
      <c r="E135" s="23">
        <f t="shared" ca="1" si="7"/>
        <v>222</v>
      </c>
      <c r="F135" s="27">
        <v>65</v>
      </c>
      <c r="G135" s="27">
        <v>135</v>
      </c>
      <c r="H135" s="28">
        <f t="shared" ca="1" si="8"/>
        <v>11120</v>
      </c>
      <c r="J135" s="23">
        <v>220</v>
      </c>
      <c r="K135" s="30">
        <v>13061.416243654823</v>
      </c>
    </row>
    <row r="136" spans="2:11">
      <c r="B136" s="23">
        <f t="shared" ca="1" si="5"/>
        <v>0.69584163916010444</v>
      </c>
      <c r="C136" s="23">
        <f t="shared" ca="1" si="9"/>
        <v>344</v>
      </c>
      <c r="D136" s="23">
        <f t="shared" si="6"/>
        <v>290</v>
      </c>
      <c r="E136" s="23">
        <f t="shared" ca="1" si="7"/>
        <v>290</v>
      </c>
      <c r="F136" s="27">
        <v>65</v>
      </c>
      <c r="G136" s="27">
        <v>135</v>
      </c>
      <c r="H136" s="28">
        <f t="shared" ca="1" si="8"/>
        <v>20300</v>
      </c>
      <c r="J136" s="23">
        <v>221</v>
      </c>
      <c r="K136" s="30">
        <v>13378.939086294416</v>
      </c>
    </row>
    <row r="137" spans="2:11">
      <c r="B137" s="23">
        <f t="shared" ca="1" si="5"/>
        <v>8.247374228051263E-2</v>
      </c>
      <c r="C137" s="23">
        <f t="shared" ca="1" si="9"/>
        <v>142</v>
      </c>
      <c r="D137" s="23">
        <f t="shared" si="6"/>
        <v>290</v>
      </c>
      <c r="E137" s="23">
        <f t="shared" ca="1" si="7"/>
        <v>142</v>
      </c>
      <c r="F137" s="27">
        <v>65</v>
      </c>
      <c r="G137" s="27">
        <v>135</v>
      </c>
      <c r="H137" s="28">
        <f t="shared" ca="1" si="8"/>
        <v>320</v>
      </c>
      <c r="J137" s="23">
        <v>222</v>
      </c>
      <c r="K137" s="30">
        <v>13644.106598984772</v>
      </c>
    </row>
    <row r="138" spans="2:11">
      <c r="B138" s="23">
        <f t="shared" ca="1" si="5"/>
        <v>0.63683533096813172</v>
      </c>
      <c r="C138" s="23">
        <f t="shared" ca="1" si="9"/>
        <v>327</v>
      </c>
      <c r="D138" s="23">
        <f t="shared" si="6"/>
        <v>290</v>
      </c>
      <c r="E138" s="23">
        <f t="shared" ca="1" si="7"/>
        <v>290</v>
      </c>
      <c r="F138" s="27">
        <v>65</v>
      </c>
      <c r="G138" s="27">
        <v>135</v>
      </c>
      <c r="H138" s="28">
        <f t="shared" ca="1" si="8"/>
        <v>20300</v>
      </c>
      <c r="J138" s="23">
        <v>223</v>
      </c>
      <c r="K138" s="30">
        <v>13425.32994923858</v>
      </c>
    </row>
    <row r="139" spans="2:11">
      <c r="B139" s="23">
        <f t="shared" ca="1" si="5"/>
        <v>0.53173235056992563</v>
      </c>
      <c r="C139" s="23">
        <f t="shared" ca="1" si="9"/>
        <v>298</v>
      </c>
      <c r="D139" s="23">
        <f t="shared" si="6"/>
        <v>290</v>
      </c>
      <c r="E139" s="23">
        <f t="shared" ca="1" si="7"/>
        <v>290</v>
      </c>
      <c r="F139" s="27">
        <v>65</v>
      </c>
      <c r="G139" s="27">
        <v>135</v>
      </c>
      <c r="H139" s="28">
        <f t="shared" ca="1" si="8"/>
        <v>20300</v>
      </c>
      <c r="J139" s="23">
        <v>224</v>
      </c>
      <c r="K139" s="30">
        <v>13434.888324873096</v>
      </c>
    </row>
    <row r="140" spans="2:11">
      <c r="B140" s="23">
        <f t="shared" ca="1" si="5"/>
        <v>0.2434019256083273</v>
      </c>
      <c r="C140" s="23">
        <f t="shared" ca="1" si="9"/>
        <v>216</v>
      </c>
      <c r="D140" s="23">
        <f t="shared" si="6"/>
        <v>290</v>
      </c>
      <c r="E140" s="23">
        <f t="shared" ca="1" si="7"/>
        <v>216</v>
      </c>
      <c r="F140" s="27">
        <v>65</v>
      </c>
      <c r="G140" s="27">
        <v>135</v>
      </c>
      <c r="H140" s="28">
        <f t="shared" ca="1" si="8"/>
        <v>10310</v>
      </c>
      <c r="J140" s="23">
        <v>225</v>
      </c>
      <c r="K140" s="30">
        <v>13259.147208121827</v>
      </c>
    </row>
    <row r="141" spans="2:11">
      <c r="B141" s="23">
        <f t="shared" ca="1" si="5"/>
        <v>0.31072628617049591</v>
      </c>
      <c r="C141" s="23">
        <f t="shared" ca="1" si="9"/>
        <v>237</v>
      </c>
      <c r="D141" s="23">
        <f t="shared" si="6"/>
        <v>290</v>
      </c>
      <c r="E141" s="23">
        <f t="shared" ca="1" si="7"/>
        <v>237</v>
      </c>
      <c r="F141" s="27">
        <v>65</v>
      </c>
      <c r="G141" s="27">
        <v>135</v>
      </c>
      <c r="H141" s="28">
        <f t="shared" ca="1" si="8"/>
        <v>13145</v>
      </c>
      <c r="J141" s="23">
        <v>226</v>
      </c>
      <c r="K141" s="30">
        <v>13595.035532994923</v>
      </c>
    </row>
    <row r="142" spans="2:11">
      <c r="B142" s="23">
        <f t="shared" ca="1" si="5"/>
        <v>0.30245363234927281</v>
      </c>
      <c r="C142" s="23">
        <f t="shared" ca="1" si="9"/>
        <v>235</v>
      </c>
      <c r="D142" s="23">
        <f t="shared" si="6"/>
        <v>290</v>
      </c>
      <c r="E142" s="23">
        <f t="shared" ca="1" si="7"/>
        <v>235</v>
      </c>
      <c r="F142" s="27">
        <v>65</v>
      </c>
      <c r="G142" s="27">
        <v>135</v>
      </c>
      <c r="H142" s="28">
        <f t="shared" ca="1" si="8"/>
        <v>12875</v>
      </c>
      <c r="J142" s="23">
        <v>227</v>
      </c>
      <c r="K142" s="30">
        <v>13584.994923857868</v>
      </c>
    </row>
    <row r="143" spans="2:11">
      <c r="B143" s="23">
        <f t="shared" ca="1" si="5"/>
        <v>0.40814878523945253</v>
      </c>
      <c r="C143" s="23">
        <f t="shared" ca="1" si="9"/>
        <v>265</v>
      </c>
      <c r="D143" s="23">
        <f t="shared" si="6"/>
        <v>290</v>
      </c>
      <c r="E143" s="23">
        <f t="shared" ca="1" si="7"/>
        <v>265</v>
      </c>
      <c r="F143" s="27">
        <v>65</v>
      </c>
      <c r="G143" s="27">
        <v>135</v>
      </c>
      <c r="H143" s="28">
        <f t="shared" ca="1" si="8"/>
        <v>16925</v>
      </c>
      <c r="J143" s="23">
        <v>228</v>
      </c>
      <c r="K143" s="30">
        <v>13157.345177664974</v>
      </c>
    </row>
    <row r="144" spans="2:11">
      <c r="B144" s="23">
        <f t="shared" ca="1" si="5"/>
        <v>0.91140607613697922</v>
      </c>
      <c r="C144" s="23">
        <f t="shared" ca="1" si="9"/>
        <v>433</v>
      </c>
      <c r="D144" s="23">
        <f t="shared" si="6"/>
        <v>290</v>
      </c>
      <c r="E144" s="23">
        <f t="shared" ca="1" si="7"/>
        <v>290</v>
      </c>
      <c r="F144" s="27">
        <v>65</v>
      </c>
      <c r="G144" s="27">
        <v>135</v>
      </c>
      <c r="H144" s="28">
        <f t="shared" ca="1" si="8"/>
        <v>20300</v>
      </c>
      <c r="J144" s="23">
        <v>229</v>
      </c>
      <c r="K144" s="30">
        <v>13653.451776649747</v>
      </c>
    </row>
    <row r="145" spans="2:11">
      <c r="B145" s="23">
        <f t="shared" ref="B145:B208" ca="1" si="10">RAND()</f>
        <v>0.64674292902162778</v>
      </c>
      <c r="C145" s="23">
        <f t="shared" ca="1" si="9"/>
        <v>329</v>
      </c>
      <c r="D145" s="23">
        <f t="shared" ref="D145:D208" si="11">$B$9</f>
        <v>290</v>
      </c>
      <c r="E145" s="23">
        <f t="shared" ref="E145:E208" ca="1" si="12">_xlfn.FLOOR.MATH(MIN(C145,D145))</f>
        <v>290</v>
      </c>
      <c r="F145" s="27">
        <v>65</v>
      </c>
      <c r="G145" s="27">
        <v>135</v>
      </c>
      <c r="H145" s="28">
        <f t="shared" ref="H145:H208" ca="1" si="13">E145*G145-D145*F145</f>
        <v>20300</v>
      </c>
      <c r="J145" s="23">
        <v>230</v>
      </c>
      <c r="K145" s="30">
        <v>13846.390862944163</v>
      </c>
    </row>
    <row r="146" spans="2:11">
      <c r="B146" s="23">
        <f t="shared" ca="1" si="10"/>
        <v>5.2471605619447415E-3</v>
      </c>
      <c r="C146" s="23">
        <f t="shared" ref="C146:C209" ca="1" si="14">_xlfn.FLOOR.MATH(_xlfn.NORM.INV(B146,$B$6,$B$7))</f>
        <v>18</v>
      </c>
      <c r="D146" s="23">
        <f t="shared" si="11"/>
        <v>290</v>
      </c>
      <c r="E146" s="23">
        <f t="shared" ca="1" si="12"/>
        <v>18</v>
      </c>
      <c r="F146" s="27">
        <v>65</v>
      </c>
      <c r="G146" s="27">
        <v>135</v>
      </c>
      <c r="H146" s="28">
        <f t="shared" ca="1" si="13"/>
        <v>-16420</v>
      </c>
      <c r="J146" s="23">
        <v>231</v>
      </c>
      <c r="K146" s="30">
        <v>13258.111675126904</v>
      </c>
    </row>
    <row r="147" spans="2:11">
      <c r="B147" s="23">
        <f t="shared" ca="1" si="10"/>
        <v>0.74741057741560768</v>
      </c>
      <c r="C147" s="23">
        <f t="shared" ca="1" si="14"/>
        <v>360</v>
      </c>
      <c r="D147" s="23">
        <f t="shared" si="11"/>
        <v>290</v>
      </c>
      <c r="E147" s="23">
        <f t="shared" ca="1" si="12"/>
        <v>290</v>
      </c>
      <c r="F147" s="27">
        <v>65</v>
      </c>
      <c r="G147" s="27">
        <v>135</v>
      </c>
      <c r="H147" s="28">
        <f t="shared" ca="1" si="13"/>
        <v>20300</v>
      </c>
      <c r="J147" s="23">
        <v>232</v>
      </c>
      <c r="K147" s="30">
        <v>13554.802030456853</v>
      </c>
    </row>
    <row r="148" spans="2:11">
      <c r="B148" s="23">
        <f t="shared" ca="1" si="10"/>
        <v>0.29902479630341883</v>
      </c>
      <c r="C148" s="23">
        <f t="shared" ca="1" si="14"/>
        <v>234</v>
      </c>
      <c r="D148" s="23">
        <f t="shared" si="11"/>
        <v>290</v>
      </c>
      <c r="E148" s="23">
        <f t="shared" ca="1" si="12"/>
        <v>234</v>
      </c>
      <c r="F148" s="27">
        <v>65</v>
      </c>
      <c r="G148" s="27">
        <v>135</v>
      </c>
      <c r="H148" s="28">
        <f t="shared" ca="1" si="13"/>
        <v>12740</v>
      </c>
      <c r="J148" s="23">
        <v>233</v>
      </c>
      <c r="K148" s="30">
        <v>14018.289340101523</v>
      </c>
    </row>
    <row r="149" spans="2:11">
      <c r="B149" s="23">
        <f t="shared" ca="1" si="10"/>
        <v>0.9474023216269214</v>
      </c>
      <c r="C149" s="23">
        <f t="shared" ca="1" si="14"/>
        <v>461</v>
      </c>
      <c r="D149" s="23">
        <f t="shared" si="11"/>
        <v>290</v>
      </c>
      <c r="E149" s="23">
        <f t="shared" ca="1" si="12"/>
        <v>290</v>
      </c>
      <c r="F149" s="27">
        <v>65</v>
      </c>
      <c r="G149" s="27">
        <v>135</v>
      </c>
      <c r="H149" s="28">
        <f t="shared" ca="1" si="13"/>
        <v>20300</v>
      </c>
      <c r="J149" s="23">
        <v>234</v>
      </c>
      <c r="K149" s="30">
        <v>13613.664974619289</v>
      </c>
    </row>
    <row r="150" spans="2:11">
      <c r="B150" s="23">
        <f t="shared" ca="1" si="10"/>
        <v>0.64507210759711786</v>
      </c>
      <c r="C150" s="23">
        <f t="shared" ca="1" si="14"/>
        <v>329</v>
      </c>
      <c r="D150" s="23">
        <f t="shared" si="11"/>
        <v>290</v>
      </c>
      <c r="E150" s="23">
        <f t="shared" ca="1" si="12"/>
        <v>290</v>
      </c>
      <c r="F150" s="27">
        <v>65</v>
      </c>
      <c r="G150" s="27">
        <v>135</v>
      </c>
      <c r="H150" s="28">
        <f t="shared" ca="1" si="13"/>
        <v>20300</v>
      </c>
      <c r="J150" s="23">
        <v>235</v>
      </c>
      <c r="K150" s="30">
        <v>13276.060913705584</v>
      </c>
    </row>
    <row r="151" spans="2:11">
      <c r="B151" s="23">
        <f t="shared" ca="1" si="10"/>
        <v>0.4218717412089481</v>
      </c>
      <c r="C151" s="23">
        <f t="shared" ca="1" si="14"/>
        <v>269</v>
      </c>
      <c r="D151" s="23">
        <f t="shared" si="11"/>
        <v>290</v>
      </c>
      <c r="E151" s="23">
        <f t="shared" ca="1" si="12"/>
        <v>269</v>
      </c>
      <c r="F151" s="27">
        <v>65</v>
      </c>
      <c r="G151" s="27">
        <v>135</v>
      </c>
      <c r="H151" s="28">
        <f t="shared" ca="1" si="13"/>
        <v>17465</v>
      </c>
      <c r="J151" s="23">
        <v>236</v>
      </c>
      <c r="K151" s="30">
        <v>13999.269035532994</v>
      </c>
    </row>
    <row r="152" spans="2:11">
      <c r="B152" s="23">
        <f t="shared" ca="1" si="10"/>
        <v>0.48950554521026124</v>
      </c>
      <c r="C152" s="23">
        <f t="shared" ca="1" si="14"/>
        <v>287</v>
      </c>
      <c r="D152" s="23">
        <f t="shared" si="11"/>
        <v>290</v>
      </c>
      <c r="E152" s="23">
        <f t="shared" ca="1" si="12"/>
        <v>287</v>
      </c>
      <c r="F152" s="27">
        <v>65</v>
      </c>
      <c r="G152" s="27">
        <v>135</v>
      </c>
      <c r="H152" s="28">
        <f t="shared" ca="1" si="13"/>
        <v>19895</v>
      </c>
      <c r="J152" s="23">
        <v>237</v>
      </c>
      <c r="K152" s="30">
        <v>13657.827411167513</v>
      </c>
    </row>
    <row r="153" spans="2:11">
      <c r="B153" s="23">
        <f t="shared" ca="1" si="10"/>
        <v>0.57593850423784165</v>
      </c>
      <c r="C153" s="23">
        <f t="shared" ca="1" si="14"/>
        <v>310</v>
      </c>
      <c r="D153" s="23">
        <f t="shared" si="11"/>
        <v>290</v>
      </c>
      <c r="E153" s="23">
        <f t="shared" ca="1" si="12"/>
        <v>290</v>
      </c>
      <c r="F153" s="27">
        <v>65</v>
      </c>
      <c r="G153" s="27">
        <v>135</v>
      </c>
      <c r="H153" s="28">
        <f t="shared" ca="1" si="13"/>
        <v>20300</v>
      </c>
      <c r="J153" s="23">
        <v>238</v>
      </c>
      <c r="K153" s="30">
        <v>14042.781725888324</v>
      </c>
    </row>
    <row r="154" spans="2:11">
      <c r="B154" s="23">
        <f t="shared" ca="1" si="10"/>
        <v>0.20987565446918499</v>
      </c>
      <c r="C154" s="23">
        <f t="shared" ca="1" si="14"/>
        <v>204</v>
      </c>
      <c r="D154" s="23">
        <f t="shared" si="11"/>
        <v>290</v>
      </c>
      <c r="E154" s="23">
        <f t="shared" ca="1" si="12"/>
        <v>204</v>
      </c>
      <c r="F154" s="27">
        <v>65</v>
      </c>
      <c r="G154" s="27">
        <v>135</v>
      </c>
      <c r="H154" s="28">
        <f t="shared" ca="1" si="13"/>
        <v>8690</v>
      </c>
      <c r="J154" s="23">
        <v>239</v>
      </c>
      <c r="K154" s="30">
        <v>13383.233502538071</v>
      </c>
    </row>
    <row r="155" spans="2:11">
      <c r="B155" s="23">
        <f t="shared" ca="1" si="10"/>
        <v>0.69934793240871074</v>
      </c>
      <c r="C155" s="23">
        <f t="shared" ca="1" si="14"/>
        <v>345</v>
      </c>
      <c r="D155" s="23">
        <f t="shared" si="11"/>
        <v>290</v>
      </c>
      <c r="E155" s="23">
        <f t="shared" ca="1" si="12"/>
        <v>290</v>
      </c>
      <c r="F155" s="27">
        <v>65</v>
      </c>
      <c r="G155" s="27">
        <v>135</v>
      </c>
      <c r="H155" s="28">
        <f t="shared" ca="1" si="13"/>
        <v>20300</v>
      </c>
      <c r="J155" s="23">
        <v>240</v>
      </c>
      <c r="K155" s="30">
        <v>13835.208121827411</v>
      </c>
    </row>
    <row r="156" spans="2:11">
      <c r="B156" s="23">
        <f t="shared" ca="1" si="10"/>
        <v>0.94893446184782748</v>
      </c>
      <c r="C156" s="23">
        <f t="shared" ca="1" si="14"/>
        <v>463</v>
      </c>
      <c r="D156" s="23">
        <f t="shared" si="11"/>
        <v>290</v>
      </c>
      <c r="E156" s="23">
        <f t="shared" ca="1" si="12"/>
        <v>290</v>
      </c>
      <c r="F156" s="27">
        <v>65</v>
      </c>
      <c r="G156" s="27">
        <v>135</v>
      </c>
      <c r="H156" s="28">
        <f t="shared" ca="1" si="13"/>
        <v>20300</v>
      </c>
      <c r="J156" s="23">
        <v>241</v>
      </c>
      <c r="K156" s="30">
        <v>13599.299492385786</v>
      </c>
    </row>
    <row r="157" spans="2:11">
      <c r="B157" s="23">
        <f t="shared" ca="1" si="10"/>
        <v>0.64007870530984978</v>
      </c>
      <c r="C157" s="23">
        <f t="shared" ca="1" si="14"/>
        <v>328</v>
      </c>
      <c r="D157" s="23">
        <f t="shared" si="11"/>
        <v>290</v>
      </c>
      <c r="E157" s="23">
        <f t="shared" ca="1" si="12"/>
        <v>290</v>
      </c>
      <c r="F157" s="27">
        <v>65</v>
      </c>
      <c r="G157" s="27">
        <v>135</v>
      </c>
      <c r="H157" s="28">
        <f t="shared" ca="1" si="13"/>
        <v>20300</v>
      </c>
      <c r="J157" s="23">
        <v>242</v>
      </c>
      <c r="K157" s="30">
        <v>14141.182741116751</v>
      </c>
    </row>
    <row r="158" spans="2:11">
      <c r="B158" s="23">
        <f t="shared" ca="1" si="10"/>
        <v>4.2031196728690046E-2</v>
      </c>
      <c r="C158" s="23">
        <f t="shared" ca="1" si="14"/>
        <v>106</v>
      </c>
      <c r="D158" s="23">
        <f t="shared" si="11"/>
        <v>290</v>
      </c>
      <c r="E158" s="23">
        <f t="shared" ca="1" si="12"/>
        <v>106</v>
      </c>
      <c r="F158" s="27">
        <v>65</v>
      </c>
      <c r="G158" s="27">
        <v>135</v>
      </c>
      <c r="H158" s="28">
        <f t="shared" ca="1" si="13"/>
        <v>-4540</v>
      </c>
      <c r="J158" s="23">
        <v>243</v>
      </c>
      <c r="K158" s="30">
        <v>13672.279187817259</v>
      </c>
    </row>
    <row r="159" spans="2:11">
      <c r="B159" s="23">
        <f t="shared" ca="1" si="10"/>
        <v>0.29969072712603795</v>
      </c>
      <c r="C159" s="23">
        <f t="shared" ca="1" si="14"/>
        <v>234</v>
      </c>
      <c r="D159" s="23">
        <f t="shared" si="11"/>
        <v>290</v>
      </c>
      <c r="E159" s="23">
        <f t="shared" ca="1" si="12"/>
        <v>234</v>
      </c>
      <c r="F159" s="27">
        <v>65</v>
      </c>
      <c r="G159" s="27">
        <v>135</v>
      </c>
      <c r="H159" s="28">
        <f t="shared" ca="1" si="13"/>
        <v>12740</v>
      </c>
      <c r="J159" s="23">
        <v>244</v>
      </c>
      <c r="K159" s="30">
        <v>14146.456852791878</v>
      </c>
    </row>
    <row r="160" spans="2:11">
      <c r="B160" s="23">
        <f t="shared" ca="1" si="10"/>
        <v>0.22627945990306109</v>
      </c>
      <c r="C160" s="23">
        <f t="shared" ca="1" si="14"/>
        <v>210</v>
      </c>
      <c r="D160" s="23">
        <f t="shared" si="11"/>
        <v>290</v>
      </c>
      <c r="E160" s="23">
        <f t="shared" ca="1" si="12"/>
        <v>210</v>
      </c>
      <c r="F160" s="27">
        <v>65</v>
      </c>
      <c r="G160" s="27">
        <v>135</v>
      </c>
      <c r="H160" s="28">
        <f t="shared" ca="1" si="13"/>
        <v>9500</v>
      </c>
      <c r="J160" s="23">
        <v>245</v>
      </c>
      <c r="K160" s="30">
        <v>14416.010152284263</v>
      </c>
    </row>
    <row r="161" spans="2:11">
      <c r="B161" s="23">
        <f t="shared" ca="1" si="10"/>
        <v>0.18213525970472644</v>
      </c>
      <c r="C161" s="23">
        <f t="shared" ca="1" si="14"/>
        <v>193</v>
      </c>
      <c r="D161" s="23">
        <f t="shared" si="11"/>
        <v>290</v>
      </c>
      <c r="E161" s="23">
        <f t="shared" ca="1" si="12"/>
        <v>193</v>
      </c>
      <c r="F161" s="27">
        <v>65</v>
      </c>
      <c r="G161" s="27">
        <v>135</v>
      </c>
      <c r="H161" s="28">
        <f t="shared" ca="1" si="13"/>
        <v>7205</v>
      </c>
      <c r="J161" s="23">
        <v>246</v>
      </c>
      <c r="K161" s="30">
        <v>14012.071065989847</v>
      </c>
    </row>
    <row r="162" spans="2:11">
      <c r="B162" s="23">
        <f t="shared" ca="1" si="10"/>
        <v>0.57952956299904734</v>
      </c>
      <c r="C162" s="23">
        <f t="shared" ca="1" si="14"/>
        <v>311</v>
      </c>
      <c r="D162" s="23">
        <f t="shared" si="11"/>
        <v>290</v>
      </c>
      <c r="E162" s="23">
        <f t="shared" ca="1" si="12"/>
        <v>290</v>
      </c>
      <c r="F162" s="27">
        <v>65</v>
      </c>
      <c r="G162" s="27">
        <v>135</v>
      </c>
      <c r="H162" s="28">
        <f t="shared" ca="1" si="13"/>
        <v>20300</v>
      </c>
      <c r="J162" s="23">
        <v>247</v>
      </c>
      <c r="K162" s="30">
        <v>14231.46192893401</v>
      </c>
    </row>
    <row r="163" spans="2:11">
      <c r="B163" s="23">
        <f t="shared" ca="1" si="10"/>
        <v>0.32990082504419149</v>
      </c>
      <c r="C163" s="23">
        <f t="shared" ca="1" si="14"/>
        <v>243</v>
      </c>
      <c r="D163" s="23">
        <f t="shared" si="11"/>
        <v>290</v>
      </c>
      <c r="E163" s="23">
        <f t="shared" ca="1" si="12"/>
        <v>243</v>
      </c>
      <c r="F163" s="27">
        <v>65</v>
      </c>
      <c r="G163" s="27">
        <v>135</v>
      </c>
      <c r="H163" s="28">
        <f t="shared" ca="1" si="13"/>
        <v>13955</v>
      </c>
      <c r="J163" s="23">
        <v>248</v>
      </c>
      <c r="K163" s="30">
        <v>14198.121827411167</v>
      </c>
    </row>
    <row r="164" spans="2:11">
      <c r="B164" s="23">
        <f t="shared" ca="1" si="10"/>
        <v>0.50472580638424447</v>
      </c>
      <c r="C164" s="23">
        <f t="shared" ca="1" si="14"/>
        <v>291</v>
      </c>
      <c r="D164" s="23">
        <f t="shared" si="11"/>
        <v>290</v>
      </c>
      <c r="E164" s="23">
        <f t="shared" ca="1" si="12"/>
        <v>290</v>
      </c>
      <c r="F164" s="27">
        <v>65</v>
      </c>
      <c r="G164" s="27">
        <v>135</v>
      </c>
      <c r="H164" s="28">
        <f t="shared" ca="1" si="13"/>
        <v>20300</v>
      </c>
      <c r="J164" s="23">
        <v>249</v>
      </c>
      <c r="K164" s="30">
        <v>14017.035532994923</v>
      </c>
    </row>
    <row r="165" spans="2:11">
      <c r="B165" s="23">
        <f t="shared" ca="1" si="10"/>
        <v>0.36443572142547365</v>
      </c>
      <c r="C165" s="23">
        <f t="shared" ca="1" si="14"/>
        <v>253</v>
      </c>
      <c r="D165" s="23">
        <f t="shared" si="11"/>
        <v>290</v>
      </c>
      <c r="E165" s="23">
        <f t="shared" ca="1" si="12"/>
        <v>253</v>
      </c>
      <c r="F165" s="27">
        <v>65</v>
      </c>
      <c r="G165" s="27">
        <v>135</v>
      </c>
      <c r="H165" s="28">
        <f t="shared" ca="1" si="13"/>
        <v>15305</v>
      </c>
      <c r="J165" s="23">
        <v>250</v>
      </c>
      <c r="K165" s="30">
        <v>14599.213197969542</v>
      </c>
    </row>
    <row r="166" spans="2:11">
      <c r="B166" s="23">
        <f t="shared" ca="1" si="10"/>
        <v>0.37627551972922468</v>
      </c>
      <c r="C166" s="23">
        <f t="shared" ca="1" si="14"/>
        <v>256</v>
      </c>
      <c r="D166" s="23">
        <f t="shared" si="11"/>
        <v>290</v>
      </c>
      <c r="E166" s="23">
        <f t="shared" ca="1" si="12"/>
        <v>256</v>
      </c>
      <c r="F166" s="27">
        <v>65</v>
      </c>
      <c r="G166" s="27">
        <v>135</v>
      </c>
      <c r="H166" s="28">
        <f t="shared" ca="1" si="13"/>
        <v>15710</v>
      </c>
      <c r="J166" s="23">
        <v>251</v>
      </c>
      <c r="K166" s="30">
        <v>13965.979695431472</v>
      </c>
    </row>
    <row r="167" spans="2:11">
      <c r="B167" s="23">
        <f t="shared" ca="1" si="10"/>
        <v>4.6154515467113688E-2</v>
      </c>
      <c r="C167" s="23">
        <f t="shared" ca="1" si="14"/>
        <v>111</v>
      </c>
      <c r="D167" s="23">
        <f t="shared" si="11"/>
        <v>290</v>
      </c>
      <c r="E167" s="23">
        <f t="shared" ca="1" si="12"/>
        <v>111</v>
      </c>
      <c r="F167" s="27">
        <v>65</v>
      </c>
      <c r="G167" s="27">
        <v>135</v>
      </c>
      <c r="H167" s="28">
        <f t="shared" ca="1" si="13"/>
        <v>-3865</v>
      </c>
      <c r="J167" s="23">
        <v>252</v>
      </c>
      <c r="K167" s="30">
        <v>13826.695431472081</v>
      </c>
    </row>
    <row r="168" spans="2:11">
      <c r="B168" s="23">
        <f t="shared" ca="1" si="10"/>
        <v>0.47459153174156499</v>
      </c>
      <c r="C168" s="23">
        <f t="shared" ca="1" si="14"/>
        <v>283</v>
      </c>
      <c r="D168" s="23">
        <f t="shared" si="11"/>
        <v>290</v>
      </c>
      <c r="E168" s="23">
        <f t="shared" ca="1" si="12"/>
        <v>283</v>
      </c>
      <c r="F168" s="27">
        <v>65</v>
      </c>
      <c r="G168" s="27">
        <v>135</v>
      </c>
      <c r="H168" s="28">
        <f t="shared" ca="1" si="13"/>
        <v>19355</v>
      </c>
      <c r="J168" s="23">
        <v>253</v>
      </c>
      <c r="K168" s="30">
        <v>13900.395939086295</v>
      </c>
    </row>
    <row r="169" spans="2:11">
      <c r="B169" s="23">
        <f t="shared" ca="1" si="10"/>
        <v>0.69131942985830452</v>
      </c>
      <c r="C169" s="23">
        <f t="shared" ca="1" si="14"/>
        <v>343</v>
      </c>
      <c r="D169" s="23">
        <f t="shared" si="11"/>
        <v>290</v>
      </c>
      <c r="E169" s="23">
        <f t="shared" ca="1" si="12"/>
        <v>290</v>
      </c>
      <c r="F169" s="27">
        <v>65</v>
      </c>
      <c r="G169" s="27">
        <v>135</v>
      </c>
      <c r="H169" s="28">
        <f t="shared" ca="1" si="13"/>
        <v>20300</v>
      </c>
      <c r="J169" s="23">
        <v>254</v>
      </c>
      <c r="K169" s="30">
        <v>14100.324873096446</v>
      </c>
    </row>
    <row r="170" spans="2:11">
      <c r="B170" s="23">
        <f t="shared" ca="1" si="10"/>
        <v>0.41338641934760745</v>
      </c>
      <c r="C170" s="23">
        <f t="shared" ca="1" si="14"/>
        <v>266</v>
      </c>
      <c r="D170" s="23">
        <f t="shared" si="11"/>
        <v>290</v>
      </c>
      <c r="E170" s="23">
        <f t="shared" ca="1" si="12"/>
        <v>266</v>
      </c>
      <c r="F170" s="27">
        <v>65</v>
      </c>
      <c r="G170" s="27">
        <v>135</v>
      </c>
      <c r="H170" s="28">
        <f t="shared" ca="1" si="13"/>
        <v>17060</v>
      </c>
      <c r="J170" s="23">
        <v>255</v>
      </c>
      <c r="K170" s="30">
        <v>14222.954314720811</v>
      </c>
    </row>
    <row r="171" spans="2:11">
      <c r="B171" s="23">
        <f t="shared" ca="1" si="10"/>
        <v>0.5307723656564618</v>
      </c>
      <c r="C171" s="23">
        <f t="shared" ca="1" si="14"/>
        <v>298</v>
      </c>
      <c r="D171" s="23">
        <f t="shared" si="11"/>
        <v>290</v>
      </c>
      <c r="E171" s="23">
        <f t="shared" ca="1" si="12"/>
        <v>290</v>
      </c>
      <c r="F171" s="27">
        <v>65</v>
      </c>
      <c r="G171" s="27">
        <v>135</v>
      </c>
      <c r="H171" s="28">
        <f t="shared" ca="1" si="13"/>
        <v>20300</v>
      </c>
      <c r="J171" s="23">
        <v>256</v>
      </c>
      <c r="K171" s="30">
        <v>13948.67005076142</v>
      </c>
    </row>
    <row r="172" spans="2:11">
      <c r="B172" s="23">
        <f t="shared" ca="1" si="10"/>
        <v>0.71237057166313189</v>
      </c>
      <c r="C172" s="23">
        <f t="shared" ca="1" si="14"/>
        <v>349</v>
      </c>
      <c r="D172" s="23">
        <f t="shared" si="11"/>
        <v>290</v>
      </c>
      <c r="E172" s="23">
        <f t="shared" ca="1" si="12"/>
        <v>290</v>
      </c>
      <c r="F172" s="27">
        <v>65</v>
      </c>
      <c r="G172" s="27">
        <v>135</v>
      </c>
      <c r="H172" s="28">
        <f t="shared" ca="1" si="13"/>
        <v>20300</v>
      </c>
      <c r="J172" s="23">
        <v>257</v>
      </c>
      <c r="K172" s="30">
        <v>14111.730964467006</v>
      </c>
    </row>
    <row r="173" spans="2:11">
      <c r="B173" s="23">
        <f t="shared" ca="1" si="10"/>
        <v>0.94280879849105037</v>
      </c>
      <c r="C173" s="23">
        <f t="shared" ca="1" si="14"/>
        <v>457</v>
      </c>
      <c r="D173" s="23">
        <f t="shared" si="11"/>
        <v>290</v>
      </c>
      <c r="E173" s="23">
        <f t="shared" ca="1" si="12"/>
        <v>290</v>
      </c>
      <c r="F173" s="27">
        <v>65</v>
      </c>
      <c r="G173" s="27">
        <v>135</v>
      </c>
      <c r="H173" s="28">
        <f t="shared" ca="1" si="13"/>
        <v>20300</v>
      </c>
      <c r="J173" s="23">
        <v>258</v>
      </c>
      <c r="K173" s="30">
        <v>14012.878172588833</v>
      </c>
    </row>
    <row r="174" spans="2:11">
      <c r="B174" s="23">
        <f t="shared" ca="1" si="10"/>
        <v>0.4866778755122676</v>
      </c>
      <c r="C174" s="23">
        <f t="shared" ca="1" si="14"/>
        <v>286</v>
      </c>
      <c r="D174" s="23">
        <f t="shared" si="11"/>
        <v>290</v>
      </c>
      <c r="E174" s="23">
        <f t="shared" ca="1" si="12"/>
        <v>286</v>
      </c>
      <c r="F174" s="27">
        <v>65</v>
      </c>
      <c r="G174" s="27">
        <v>135</v>
      </c>
      <c r="H174" s="28">
        <f t="shared" ca="1" si="13"/>
        <v>19760</v>
      </c>
      <c r="J174" s="23">
        <v>259</v>
      </c>
      <c r="K174" s="30">
        <v>14315.324873096446</v>
      </c>
    </row>
    <row r="175" spans="2:11">
      <c r="B175" s="23">
        <f t="shared" ca="1" si="10"/>
        <v>0.78945880240459521</v>
      </c>
      <c r="C175" s="23">
        <f t="shared" ca="1" si="14"/>
        <v>375</v>
      </c>
      <c r="D175" s="23">
        <f t="shared" si="11"/>
        <v>290</v>
      </c>
      <c r="E175" s="23">
        <f t="shared" ca="1" si="12"/>
        <v>290</v>
      </c>
      <c r="F175" s="27">
        <v>65</v>
      </c>
      <c r="G175" s="27">
        <v>135</v>
      </c>
      <c r="H175" s="28">
        <f t="shared" ca="1" si="13"/>
        <v>20300</v>
      </c>
      <c r="J175" s="23">
        <v>260</v>
      </c>
      <c r="K175" s="30">
        <v>14321.319796954314</v>
      </c>
    </row>
    <row r="176" spans="2:11">
      <c r="B176" s="23">
        <f t="shared" ca="1" si="10"/>
        <v>0.78792116985459448</v>
      </c>
      <c r="C176" s="23">
        <f t="shared" ca="1" si="14"/>
        <v>374</v>
      </c>
      <c r="D176" s="23">
        <f t="shared" si="11"/>
        <v>290</v>
      </c>
      <c r="E176" s="23">
        <f t="shared" ca="1" si="12"/>
        <v>290</v>
      </c>
      <c r="F176" s="27">
        <v>65</v>
      </c>
      <c r="G176" s="27">
        <v>135</v>
      </c>
      <c r="H176" s="28">
        <f t="shared" ca="1" si="13"/>
        <v>20300</v>
      </c>
      <c r="J176" s="23">
        <v>261</v>
      </c>
      <c r="K176" s="30">
        <v>14085.41116751269</v>
      </c>
    </row>
    <row r="177" spans="2:11">
      <c r="B177" s="23">
        <f t="shared" ca="1" si="10"/>
        <v>0.82095311230674117</v>
      </c>
      <c r="C177" s="23">
        <f t="shared" ca="1" si="14"/>
        <v>387</v>
      </c>
      <c r="D177" s="23">
        <f t="shared" si="11"/>
        <v>290</v>
      </c>
      <c r="E177" s="23">
        <f t="shared" ca="1" si="12"/>
        <v>290</v>
      </c>
      <c r="F177" s="27">
        <v>65</v>
      </c>
      <c r="G177" s="27">
        <v>135</v>
      </c>
      <c r="H177" s="28">
        <f t="shared" ca="1" si="13"/>
        <v>20300</v>
      </c>
      <c r="J177" s="23">
        <v>262</v>
      </c>
      <c r="K177" s="30">
        <v>14096.340101522843</v>
      </c>
    </row>
    <row r="178" spans="2:11">
      <c r="B178" s="23">
        <f t="shared" ca="1" si="10"/>
        <v>0.8852918924033546</v>
      </c>
      <c r="C178" s="23">
        <f t="shared" ca="1" si="14"/>
        <v>417</v>
      </c>
      <c r="D178" s="23">
        <f t="shared" si="11"/>
        <v>290</v>
      </c>
      <c r="E178" s="23">
        <f t="shared" ca="1" si="12"/>
        <v>290</v>
      </c>
      <c r="F178" s="27">
        <v>65</v>
      </c>
      <c r="G178" s="27">
        <v>135</v>
      </c>
      <c r="H178" s="28">
        <f t="shared" ca="1" si="13"/>
        <v>20300</v>
      </c>
      <c r="J178" s="23">
        <v>263</v>
      </c>
      <c r="K178" s="30">
        <v>14325.736040609137</v>
      </c>
    </row>
    <row r="179" spans="2:11">
      <c r="B179" s="23">
        <f t="shared" ca="1" si="10"/>
        <v>0.29743219025458856</v>
      </c>
      <c r="C179" s="23">
        <f t="shared" ca="1" si="14"/>
        <v>233</v>
      </c>
      <c r="D179" s="23">
        <f t="shared" si="11"/>
        <v>290</v>
      </c>
      <c r="E179" s="23">
        <f t="shared" ca="1" si="12"/>
        <v>233</v>
      </c>
      <c r="F179" s="27">
        <v>65</v>
      </c>
      <c r="G179" s="27">
        <v>135</v>
      </c>
      <c r="H179" s="28">
        <f t="shared" ca="1" si="13"/>
        <v>12605</v>
      </c>
      <c r="J179" s="23">
        <v>264</v>
      </c>
      <c r="K179" s="30">
        <v>14368.46192893401</v>
      </c>
    </row>
    <row r="180" spans="2:11">
      <c r="B180" s="23">
        <f t="shared" ca="1" si="10"/>
        <v>6.9164570930488556E-2</v>
      </c>
      <c r="C180" s="23">
        <f t="shared" ca="1" si="14"/>
        <v>133</v>
      </c>
      <c r="D180" s="23">
        <f t="shared" si="11"/>
        <v>290</v>
      </c>
      <c r="E180" s="23">
        <f t="shared" ca="1" si="12"/>
        <v>133</v>
      </c>
      <c r="F180" s="27">
        <v>65</v>
      </c>
      <c r="G180" s="27">
        <v>135</v>
      </c>
      <c r="H180" s="28">
        <f t="shared" ca="1" si="13"/>
        <v>-895</v>
      </c>
      <c r="J180" s="23">
        <v>265</v>
      </c>
      <c r="K180" s="30">
        <v>14420.781725888324</v>
      </c>
    </row>
    <row r="181" spans="2:11">
      <c r="B181" s="23">
        <f t="shared" ca="1" si="10"/>
        <v>9.3732569132199295E-2</v>
      </c>
      <c r="C181" s="23">
        <f t="shared" ca="1" si="14"/>
        <v>150</v>
      </c>
      <c r="D181" s="23">
        <f t="shared" si="11"/>
        <v>290</v>
      </c>
      <c r="E181" s="23">
        <f t="shared" ca="1" si="12"/>
        <v>150</v>
      </c>
      <c r="F181" s="27">
        <v>65</v>
      </c>
      <c r="G181" s="27">
        <v>135</v>
      </c>
      <c r="H181" s="28">
        <f t="shared" ca="1" si="13"/>
        <v>1400</v>
      </c>
      <c r="J181" s="23">
        <v>266</v>
      </c>
      <c r="K181" s="30">
        <v>14663.197969543147</v>
      </c>
    </row>
    <row r="182" spans="2:11">
      <c r="B182" s="23">
        <f t="shared" ca="1" si="10"/>
        <v>0.86237532278940654</v>
      </c>
      <c r="C182" s="23">
        <f t="shared" ca="1" si="14"/>
        <v>405</v>
      </c>
      <c r="D182" s="23">
        <f t="shared" si="11"/>
        <v>290</v>
      </c>
      <c r="E182" s="23">
        <f t="shared" ca="1" si="12"/>
        <v>290</v>
      </c>
      <c r="F182" s="27">
        <v>65</v>
      </c>
      <c r="G182" s="27">
        <v>135</v>
      </c>
      <c r="H182" s="28">
        <f t="shared" ca="1" si="13"/>
        <v>20300</v>
      </c>
      <c r="J182" s="23">
        <v>267</v>
      </c>
      <c r="K182" s="30">
        <v>14212.248730964468</v>
      </c>
    </row>
    <row r="183" spans="2:11">
      <c r="B183" s="23">
        <f t="shared" ca="1" si="10"/>
        <v>0.51987242525762511</v>
      </c>
      <c r="C183" s="23">
        <f t="shared" ca="1" si="14"/>
        <v>295</v>
      </c>
      <c r="D183" s="23">
        <f t="shared" si="11"/>
        <v>290</v>
      </c>
      <c r="E183" s="23">
        <f t="shared" ca="1" si="12"/>
        <v>290</v>
      </c>
      <c r="F183" s="27">
        <v>65</v>
      </c>
      <c r="G183" s="27">
        <v>135</v>
      </c>
      <c r="H183" s="28">
        <f t="shared" ca="1" si="13"/>
        <v>20300</v>
      </c>
      <c r="J183" s="23">
        <v>268</v>
      </c>
      <c r="K183" s="30">
        <v>14279.781725888324</v>
      </c>
    </row>
    <row r="184" spans="2:11">
      <c r="B184" s="23">
        <f t="shared" ca="1" si="10"/>
        <v>0.67234951901513462</v>
      </c>
      <c r="C184" s="23">
        <f t="shared" ca="1" si="14"/>
        <v>337</v>
      </c>
      <c r="D184" s="23">
        <f t="shared" si="11"/>
        <v>290</v>
      </c>
      <c r="E184" s="23">
        <f t="shared" ca="1" si="12"/>
        <v>290</v>
      </c>
      <c r="F184" s="27">
        <v>65</v>
      </c>
      <c r="G184" s="27">
        <v>135</v>
      </c>
      <c r="H184" s="28">
        <f t="shared" ca="1" si="13"/>
        <v>20300</v>
      </c>
      <c r="J184" s="23">
        <v>269</v>
      </c>
      <c r="K184" s="30">
        <v>14197.649746192894</v>
      </c>
    </row>
    <row r="185" spans="2:11">
      <c r="B185" s="23">
        <f t="shared" ca="1" si="10"/>
        <v>0.94155214861246284</v>
      </c>
      <c r="C185" s="23">
        <f t="shared" ca="1" si="14"/>
        <v>456</v>
      </c>
      <c r="D185" s="23">
        <f t="shared" si="11"/>
        <v>290</v>
      </c>
      <c r="E185" s="23">
        <f t="shared" ca="1" si="12"/>
        <v>290</v>
      </c>
      <c r="F185" s="27">
        <v>65</v>
      </c>
      <c r="G185" s="27">
        <v>135</v>
      </c>
      <c r="H185" s="28">
        <f t="shared" ca="1" si="13"/>
        <v>20300</v>
      </c>
      <c r="J185" s="23">
        <v>270</v>
      </c>
      <c r="K185" s="30">
        <v>14430.197969543147</v>
      </c>
    </row>
    <row r="186" spans="2:11">
      <c r="B186" s="23">
        <f t="shared" ca="1" si="10"/>
        <v>0.79238841428530526</v>
      </c>
      <c r="C186" s="23">
        <f t="shared" ca="1" si="14"/>
        <v>376</v>
      </c>
      <c r="D186" s="23">
        <f t="shared" si="11"/>
        <v>290</v>
      </c>
      <c r="E186" s="23">
        <f t="shared" ca="1" si="12"/>
        <v>290</v>
      </c>
      <c r="F186" s="27">
        <v>65</v>
      </c>
      <c r="G186" s="27">
        <v>135</v>
      </c>
      <c r="H186" s="28">
        <f t="shared" ca="1" si="13"/>
        <v>20300</v>
      </c>
      <c r="J186" s="23">
        <v>271</v>
      </c>
      <c r="K186" s="30">
        <v>14285.157360406092</v>
      </c>
    </row>
    <row r="187" spans="2:11">
      <c r="B187" s="23">
        <f t="shared" ca="1" si="10"/>
        <v>0.63698633673167904</v>
      </c>
      <c r="C187" s="23">
        <f t="shared" ca="1" si="14"/>
        <v>327</v>
      </c>
      <c r="D187" s="23">
        <f t="shared" si="11"/>
        <v>290</v>
      </c>
      <c r="E187" s="23">
        <f t="shared" ca="1" si="12"/>
        <v>290</v>
      </c>
      <c r="F187" s="27">
        <v>65</v>
      </c>
      <c r="G187" s="27">
        <v>135</v>
      </c>
      <c r="H187" s="28">
        <f t="shared" ca="1" si="13"/>
        <v>20300</v>
      </c>
      <c r="J187" s="23">
        <v>272</v>
      </c>
      <c r="K187" s="30">
        <v>14555.807106598984</v>
      </c>
    </row>
    <row r="188" spans="2:11">
      <c r="B188" s="23">
        <f t="shared" ca="1" si="10"/>
        <v>0.78848080343552818</v>
      </c>
      <c r="C188" s="23">
        <f t="shared" ca="1" si="14"/>
        <v>374</v>
      </c>
      <c r="D188" s="23">
        <f t="shared" si="11"/>
        <v>290</v>
      </c>
      <c r="E188" s="23">
        <f t="shared" ca="1" si="12"/>
        <v>290</v>
      </c>
      <c r="F188" s="27">
        <v>65</v>
      </c>
      <c r="G188" s="27">
        <v>135</v>
      </c>
      <c r="H188" s="28">
        <f t="shared" ca="1" si="13"/>
        <v>20300</v>
      </c>
      <c r="J188" s="23">
        <v>273</v>
      </c>
      <c r="K188" s="30">
        <v>14414.055837563452</v>
      </c>
    </row>
    <row r="189" spans="2:11">
      <c r="B189" s="23">
        <f t="shared" ca="1" si="10"/>
        <v>0.97522879373851834</v>
      </c>
      <c r="C189" s="23">
        <f t="shared" ca="1" si="14"/>
        <v>498</v>
      </c>
      <c r="D189" s="23">
        <f t="shared" si="11"/>
        <v>290</v>
      </c>
      <c r="E189" s="23">
        <f t="shared" ca="1" si="12"/>
        <v>290</v>
      </c>
      <c r="F189" s="27">
        <v>65</v>
      </c>
      <c r="G189" s="27">
        <v>135</v>
      </c>
      <c r="H189" s="28">
        <f t="shared" ca="1" si="13"/>
        <v>20300</v>
      </c>
      <c r="J189" s="23">
        <v>274</v>
      </c>
      <c r="K189" s="30">
        <v>14508.314720812183</v>
      </c>
    </row>
    <row r="190" spans="2:11">
      <c r="B190" s="23">
        <f t="shared" ca="1" si="10"/>
        <v>0.71302871285678193</v>
      </c>
      <c r="C190" s="23">
        <f t="shared" ca="1" si="14"/>
        <v>349</v>
      </c>
      <c r="D190" s="23">
        <f t="shared" si="11"/>
        <v>290</v>
      </c>
      <c r="E190" s="23">
        <f t="shared" ca="1" si="12"/>
        <v>290</v>
      </c>
      <c r="F190" s="27">
        <v>65</v>
      </c>
      <c r="G190" s="27">
        <v>135</v>
      </c>
      <c r="H190" s="28">
        <f t="shared" ca="1" si="13"/>
        <v>20300</v>
      </c>
      <c r="J190" s="23">
        <v>275</v>
      </c>
      <c r="K190" s="30">
        <v>14237.319796954314</v>
      </c>
    </row>
    <row r="191" spans="2:11">
      <c r="B191" s="23">
        <f t="shared" ca="1" si="10"/>
        <v>0.23166748716964258</v>
      </c>
      <c r="C191" s="23">
        <f t="shared" ca="1" si="14"/>
        <v>212</v>
      </c>
      <c r="D191" s="23">
        <f t="shared" si="11"/>
        <v>290</v>
      </c>
      <c r="E191" s="23">
        <f t="shared" ca="1" si="12"/>
        <v>212</v>
      </c>
      <c r="F191" s="27">
        <v>65</v>
      </c>
      <c r="G191" s="27">
        <v>135</v>
      </c>
      <c r="H191" s="28">
        <f t="shared" ca="1" si="13"/>
        <v>9770</v>
      </c>
      <c r="J191" s="23">
        <v>276</v>
      </c>
      <c r="K191" s="30">
        <v>14544.426395939086</v>
      </c>
    </row>
    <row r="192" spans="2:11">
      <c r="B192" s="23">
        <f t="shared" ca="1" si="10"/>
        <v>0.83354915075295144</v>
      </c>
      <c r="C192" s="23">
        <f t="shared" ca="1" si="14"/>
        <v>392</v>
      </c>
      <c r="D192" s="23">
        <f t="shared" si="11"/>
        <v>290</v>
      </c>
      <c r="E192" s="23">
        <f t="shared" ca="1" si="12"/>
        <v>290</v>
      </c>
      <c r="F192" s="27">
        <v>65</v>
      </c>
      <c r="G192" s="27">
        <v>135</v>
      </c>
      <c r="H192" s="28">
        <f t="shared" ca="1" si="13"/>
        <v>20300</v>
      </c>
      <c r="J192" s="23">
        <v>277</v>
      </c>
      <c r="K192" s="30">
        <v>14613.32994923858</v>
      </c>
    </row>
    <row r="193" spans="2:11">
      <c r="B193" s="23">
        <f t="shared" ca="1" si="10"/>
        <v>0.70039599591025792</v>
      </c>
      <c r="C193" s="23">
        <f t="shared" ca="1" si="14"/>
        <v>345</v>
      </c>
      <c r="D193" s="23">
        <f t="shared" si="11"/>
        <v>290</v>
      </c>
      <c r="E193" s="23">
        <f t="shared" ca="1" si="12"/>
        <v>290</v>
      </c>
      <c r="F193" s="27">
        <v>65</v>
      </c>
      <c r="G193" s="27">
        <v>135</v>
      </c>
      <c r="H193" s="28">
        <f t="shared" ca="1" si="13"/>
        <v>20300</v>
      </c>
      <c r="J193" s="23">
        <v>278</v>
      </c>
      <c r="K193" s="30">
        <v>14297.928934010153</v>
      </c>
    </row>
    <row r="194" spans="2:11">
      <c r="B194" s="23">
        <f t="shared" ca="1" si="10"/>
        <v>0.74060465276901399</v>
      </c>
      <c r="C194" s="23">
        <f t="shared" ca="1" si="14"/>
        <v>358</v>
      </c>
      <c r="D194" s="23">
        <f t="shared" si="11"/>
        <v>290</v>
      </c>
      <c r="E194" s="23">
        <f t="shared" ca="1" si="12"/>
        <v>290</v>
      </c>
      <c r="F194" s="27">
        <v>65</v>
      </c>
      <c r="G194" s="27">
        <v>135</v>
      </c>
      <c r="H194" s="28">
        <f t="shared" ca="1" si="13"/>
        <v>20300</v>
      </c>
      <c r="J194" s="23">
        <v>279</v>
      </c>
      <c r="K194" s="30">
        <v>14837.208121827411</v>
      </c>
    </row>
    <row r="195" spans="2:11">
      <c r="B195" s="23">
        <f t="shared" ca="1" si="10"/>
        <v>0.6025287016465205</v>
      </c>
      <c r="C195" s="23">
        <f t="shared" ca="1" si="14"/>
        <v>317</v>
      </c>
      <c r="D195" s="23">
        <f t="shared" si="11"/>
        <v>290</v>
      </c>
      <c r="E195" s="23">
        <f t="shared" ca="1" si="12"/>
        <v>290</v>
      </c>
      <c r="F195" s="27">
        <v>65</v>
      </c>
      <c r="G195" s="27">
        <v>135</v>
      </c>
      <c r="H195" s="28">
        <f t="shared" ca="1" si="13"/>
        <v>20300</v>
      </c>
      <c r="J195" s="23">
        <v>280</v>
      </c>
      <c r="K195" s="30">
        <v>14905.289340101523</v>
      </c>
    </row>
    <row r="196" spans="2:11">
      <c r="B196" s="23">
        <f t="shared" ca="1" si="10"/>
        <v>0.48660940995078217</v>
      </c>
      <c r="C196" s="23">
        <f t="shared" ca="1" si="14"/>
        <v>286</v>
      </c>
      <c r="D196" s="23">
        <f t="shared" si="11"/>
        <v>290</v>
      </c>
      <c r="E196" s="23">
        <f t="shared" ca="1" si="12"/>
        <v>286</v>
      </c>
      <c r="F196" s="27">
        <v>65</v>
      </c>
      <c r="G196" s="27">
        <v>135</v>
      </c>
      <c r="H196" s="28">
        <f t="shared" ca="1" si="13"/>
        <v>19760</v>
      </c>
      <c r="J196" s="23">
        <v>281</v>
      </c>
      <c r="K196" s="30">
        <v>14642.243654822336</v>
      </c>
    </row>
    <row r="197" spans="2:11">
      <c r="B197" s="23">
        <f t="shared" ca="1" si="10"/>
        <v>0.19330620710198554</v>
      </c>
      <c r="C197" s="23">
        <f t="shared" ca="1" si="14"/>
        <v>198</v>
      </c>
      <c r="D197" s="23">
        <f t="shared" si="11"/>
        <v>290</v>
      </c>
      <c r="E197" s="23">
        <f t="shared" ca="1" si="12"/>
        <v>198</v>
      </c>
      <c r="F197" s="27">
        <v>65</v>
      </c>
      <c r="G197" s="27">
        <v>135</v>
      </c>
      <c r="H197" s="28">
        <f t="shared" ca="1" si="13"/>
        <v>7880</v>
      </c>
      <c r="J197" s="23">
        <v>282</v>
      </c>
      <c r="K197" s="30">
        <v>14695.111675126904</v>
      </c>
    </row>
    <row r="198" spans="2:11">
      <c r="B198" s="23">
        <f t="shared" ca="1" si="10"/>
        <v>2.5032746968773889E-2</v>
      </c>
      <c r="C198" s="23">
        <f t="shared" ca="1" si="14"/>
        <v>82</v>
      </c>
      <c r="D198" s="23">
        <f t="shared" si="11"/>
        <v>290</v>
      </c>
      <c r="E198" s="23">
        <f t="shared" ca="1" si="12"/>
        <v>82</v>
      </c>
      <c r="F198" s="27">
        <v>65</v>
      </c>
      <c r="G198" s="27">
        <v>135</v>
      </c>
      <c r="H198" s="28">
        <f t="shared" ca="1" si="13"/>
        <v>-7780</v>
      </c>
      <c r="J198" s="23">
        <v>283</v>
      </c>
      <c r="K198" s="30">
        <v>14633.675126903554</v>
      </c>
    </row>
    <row r="199" spans="2:11">
      <c r="B199" s="23">
        <f t="shared" ca="1" si="10"/>
        <v>0.39055963029569096</v>
      </c>
      <c r="C199" s="23">
        <f t="shared" ca="1" si="14"/>
        <v>260</v>
      </c>
      <c r="D199" s="23">
        <f t="shared" si="11"/>
        <v>290</v>
      </c>
      <c r="E199" s="23">
        <f t="shared" ca="1" si="12"/>
        <v>260</v>
      </c>
      <c r="F199" s="27">
        <v>65</v>
      </c>
      <c r="G199" s="27">
        <v>135</v>
      </c>
      <c r="H199" s="28">
        <f t="shared" ca="1" si="13"/>
        <v>16250</v>
      </c>
      <c r="J199" s="23">
        <v>284</v>
      </c>
      <c r="K199" s="30">
        <v>14581.969543147208</v>
      </c>
    </row>
    <row r="200" spans="2:11">
      <c r="B200" s="23">
        <f t="shared" ca="1" si="10"/>
        <v>0.65274656572600853</v>
      </c>
      <c r="C200" s="23">
        <f t="shared" ca="1" si="14"/>
        <v>331</v>
      </c>
      <c r="D200" s="23">
        <f t="shared" si="11"/>
        <v>290</v>
      </c>
      <c r="E200" s="23">
        <f t="shared" ca="1" si="12"/>
        <v>290</v>
      </c>
      <c r="F200" s="27">
        <v>65</v>
      </c>
      <c r="G200" s="27">
        <v>135</v>
      </c>
      <c r="H200" s="28">
        <f t="shared" ca="1" si="13"/>
        <v>20300</v>
      </c>
      <c r="J200" s="23">
        <v>285</v>
      </c>
      <c r="K200" s="30">
        <v>14767.781725888324</v>
      </c>
    </row>
    <row r="201" spans="2:11">
      <c r="B201" s="23">
        <f t="shared" ca="1" si="10"/>
        <v>0.84747953103220475</v>
      </c>
      <c r="C201" s="23">
        <f t="shared" ca="1" si="14"/>
        <v>398</v>
      </c>
      <c r="D201" s="23">
        <f t="shared" si="11"/>
        <v>290</v>
      </c>
      <c r="E201" s="23">
        <f t="shared" ca="1" si="12"/>
        <v>290</v>
      </c>
      <c r="F201" s="27">
        <v>65</v>
      </c>
      <c r="G201" s="27">
        <v>135</v>
      </c>
      <c r="H201" s="28">
        <f t="shared" ca="1" si="13"/>
        <v>20300</v>
      </c>
      <c r="J201" s="23">
        <v>286</v>
      </c>
      <c r="K201" s="30">
        <v>14829.969543147208</v>
      </c>
    </row>
    <row r="202" spans="2:11">
      <c r="B202" s="23">
        <f t="shared" ca="1" si="10"/>
        <v>0.2788207864704817</v>
      </c>
      <c r="C202" s="23">
        <f t="shared" ca="1" si="14"/>
        <v>227</v>
      </c>
      <c r="D202" s="23">
        <f t="shared" si="11"/>
        <v>290</v>
      </c>
      <c r="E202" s="23">
        <f t="shared" ca="1" si="12"/>
        <v>227</v>
      </c>
      <c r="F202" s="27">
        <v>65</v>
      </c>
      <c r="G202" s="27">
        <v>135</v>
      </c>
      <c r="H202" s="28">
        <f t="shared" ca="1" si="13"/>
        <v>11795</v>
      </c>
      <c r="J202" s="23">
        <v>287</v>
      </c>
      <c r="K202" s="30">
        <v>15013.177664974619</v>
      </c>
    </row>
    <row r="203" spans="2:11">
      <c r="B203" s="23">
        <f t="shared" ca="1" si="10"/>
        <v>0.98797424814085488</v>
      </c>
      <c r="C203" s="23">
        <f t="shared" ca="1" si="14"/>
        <v>529</v>
      </c>
      <c r="D203" s="23">
        <f t="shared" si="11"/>
        <v>290</v>
      </c>
      <c r="E203" s="23">
        <f t="shared" ca="1" si="12"/>
        <v>290</v>
      </c>
      <c r="F203" s="27">
        <v>65</v>
      </c>
      <c r="G203" s="27">
        <v>135</v>
      </c>
      <c r="H203" s="28">
        <f t="shared" ca="1" si="13"/>
        <v>20300</v>
      </c>
      <c r="J203" s="23">
        <v>288</v>
      </c>
      <c r="K203" s="30">
        <v>14430.517766497462</v>
      </c>
    </row>
    <row r="204" spans="2:11">
      <c r="B204" s="23">
        <f t="shared" ca="1" si="10"/>
        <v>0.39852460180314331</v>
      </c>
      <c r="C204" s="23">
        <f t="shared" ca="1" si="14"/>
        <v>262</v>
      </c>
      <c r="D204" s="23">
        <f t="shared" si="11"/>
        <v>290</v>
      </c>
      <c r="E204" s="23">
        <f t="shared" ca="1" si="12"/>
        <v>262</v>
      </c>
      <c r="F204" s="27">
        <v>65</v>
      </c>
      <c r="G204" s="27">
        <v>135</v>
      </c>
      <c r="H204" s="28">
        <f t="shared" ca="1" si="13"/>
        <v>16520</v>
      </c>
      <c r="J204" s="23">
        <v>289</v>
      </c>
      <c r="K204" s="30">
        <v>14385.939086294416</v>
      </c>
    </row>
    <row r="205" spans="2:11">
      <c r="B205" s="23">
        <f t="shared" ca="1" si="10"/>
        <v>9.5937703991205714E-2</v>
      </c>
      <c r="C205" s="23">
        <f t="shared" ca="1" si="14"/>
        <v>151</v>
      </c>
      <c r="D205" s="23">
        <f t="shared" si="11"/>
        <v>290</v>
      </c>
      <c r="E205" s="23">
        <f t="shared" ca="1" si="12"/>
        <v>151</v>
      </c>
      <c r="F205" s="27">
        <v>65</v>
      </c>
      <c r="G205" s="27">
        <v>135</v>
      </c>
      <c r="H205" s="28">
        <f t="shared" ca="1" si="13"/>
        <v>1535</v>
      </c>
      <c r="J205" s="23">
        <v>290</v>
      </c>
      <c r="K205" s="30">
        <v>14690.441624365481</v>
      </c>
    </row>
    <row r="206" spans="2:11">
      <c r="B206" s="23">
        <f t="shared" ca="1" si="10"/>
        <v>0.12906572857357002</v>
      </c>
      <c r="C206" s="23">
        <f t="shared" ca="1" si="14"/>
        <v>170</v>
      </c>
      <c r="D206" s="23">
        <f t="shared" si="11"/>
        <v>290</v>
      </c>
      <c r="E206" s="23">
        <f t="shared" ca="1" si="12"/>
        <v>170</v>
      </c>
      <c r="F206" s="27">
        <v>65</v>
      </c>
      <c r="G206" s="27">
        <v>135</v>
      </c>
      <c r="H206" s="28">
        <f t="shared" ca="1" si="13"/>
        <v>4100</v>
      </c>
      <c r="J206" s="23">
        <v>291</v>
      </c>
      <c r="K206" s="30">
        <v>14607.07614213198</v>
      </c>
    </row>
    <row r="207" spans="2:11">
      <c r="B207" s="23">
        <f t="shared" ca="1" si="10"/>
        <v>2.2013258185483719E-3</v>
      </c>
      <c r="C207" s="23">
        <f t="shared" ca="1" si="14"/>
        <v>-12</v>
      </c>
      <c r="D207" s="23">
        <f t="shared" si="11"/>
        <v>290</v>
      </c>
      <c r="E207" s="23">
        <f t="shared" ca="1" si="12"/>
        <v>-12</v>
      </c>
      <c r="F207" s="27">
        <v>65</v>
      </c>
      <c r="G207" s="27">
        <v>135</v>
      </c>
      <c r="H207" s="28">
        <f t="shared" ca="1" si="13"/>
        <v>-20470</v>
      </c>
      <c r="J207" s="23">
        <v>292</v>
      </c>
      <c r="K207" s="30">
        <v>14482.456852791878</v>
      </c>
    </row>
    <row r="208" spans="2:11">
      <c r="B208" s="23">
        <f t="shared" ca="1" si="10"/>
        <v>0.12529761537564121</v>
      </c>
      <c r="C208" s="23">
        <f t="shared" ca="1" si="14"/>
        <v>168</v>
      </c>
      <c r="D208" s="23">
        <f t="shared" si="11"/>
        <v>290</v>
      </c>
      <c r="E208" s="23">
        <f t="shared" ca="1" si="12"/>
        <v>168</v>
      </c>
      <c r="F208" s="27">
        <v>65</v>
      </c>
      <c r="G208" s="27">
        <v>135</v>
      </c>
      <c r="H208" s="28">
        <f t="shared" ca="1" si="13"/>
        <v>3830</v>
      </c>
      <c r="J208" s="23">
        <v>293</v>
      </c>
      <c r="K208" s="30">
        <v>14816.700507614214</v>
      </c>
    </row>
    <row r="209" spans="2:11">
      <c r="B209" s="23">
        <f t="shared" ref="B209:B272" ca="1" si="15">RAND()</f>
        <v>0.20784899096924059</v>
      </c>
      <c r="C209" s="23">
        <f t="shared" ca="1" si="14"/>
        <v>203</v>
      </c>
      <c r="D209" s="23">
        <f t="shared" ref="D209:D272" si="16">$B$9</f>
        <v>290</v>
      </c>
      <c r="E209" s="23">
        <f t="shared" ref="E209:E272" ca="1" si="17">_xlfn.FLOOR.MATH(MIN(C209,D209))</f>
        <v>203</v>
      </c>
      <c r="F209" s="27">
        <v>65</v>
      </c>
      <c r="G209" s="27">
        <v>135</v>
      </c>
      <c r="H209" s="28">
        <f t="shared" ref="H209:H272" ca="1" si="18">E209*G209-D209*F209</f>
        <v>8555</v>
      </c>
      <c r="J209" s="23">
        <v>294</v>
      </c>
      <c r="K209" s="30">
        <v>14454.56345177665</v>
      </c>
    </row>
    <row r="210" spans="2:11">
      <c r="B210" s="23">
        <f t="shared" ca="1" si="15"/>
        <v>8.5312121645692796E-2</v>
      </c>
      <c r="C210" s="23">
        <f t="shared" ref="C210:C273" ca="1" si="19">_xlfn.FLOOR.MATH(_xlfn.NORM.INV(B210,$B$6,$B$7))</f>
        <v>144</v>
      </c>
      <c r="D210" s="23">
        <f t="shared" si="16"/>
        <v>290</v>
      </c>
      <c r="E210" s="23">
        <f t="shared" ca="1" si="17"/>
        <v>144</v>
      </c>
      <c r="F210" s="27">
        <v>65</v>
      </c>
      <c r="G210" s="27">
        <v>135</v>
      </c>
      <c r="H210" s="28">
        <f t="shared" ca="1" si="18"/>
        <v>590</v>
      </c>
      <c r="J210" s="23">
        <v>295</v>
      </c>
      <c r="K210" s="30">
        <v>14988.908629441625</v>
      </c>
    </row>
    <row r="211" spans="2:11">
      <c r="B211" s="23">
        <f t="shared" ca="1" si="15"/>
        <v>9.7666120177380966E-3</v>
      </c>
      <c r="C211" s="23">
        <f t="shared" ca="1" si="19"/>
        <v>42</v>
      </c>
      <c r="D211" s="23">
        <f t="shared" si="16"/>
        <v>290</v>
      </c>
      <c r="E211" s="23">
        <f t="shared" ca="1" si="17"/>
        <v>42</v>
      </c>
      <c r="F211" s="27">
        <v>65</v>
      </c>
      <c r="G211" s="27">
        <v>135</v>
      </c>
      <c r="H211" s="28">
        <f t="shared" ca="1" si="18"/>
        <v>-13180</v>
      </c>
      <c r="J211" s="23">
        <v>296</v>
      </c>
      <c r="K211" s="30">
        <v>14383.086294416244</v>
      </c>
    </row>
    <row r="212" spans="2:11">
      <c r="B212" s="23">
        <f t="shared" ca="1" si="15"/>
        <v>4.676817918488152E-2</v>
      </c>
      <c r="C212" s="23">
        <f t="shared" ca="1" si="19"/>
        <v>112</v>
      </c>
      <c r="D212" s="23">
        <f t="shared" si="16"/>
        <v>290</v>
      </c>
      <c r="E212" s="23">
        <f t="shared" ca="1" si="17"/>
        <v>112</v>
      </c>
      <c r="F212" s="27">
        <v>65</v>
      </c>
      <c r="G212" s="27">
        <v>135</v>
      </c>
      <c r="H212" s="28">
        <f t="shared" ca="1" si="18"/>
        <v>-3730</v>
      </c>
      <c r="J212" s="23">
        <v>297</v>
      </c>
      <c r="K212" s="30">
        <v>14410.187817258884</v>
      </c>
    </row>
    <row r="213" spans="2:11">
      <c r="B213" s="23">
        <f t="shared" ca="1" si="15"/>
        <v>0.61518527860853445</v>
      </c>
      <c r="C213" s="23">
        <f t="shared" ca="1" si="19"/>
        <v>321</v>
      </c>
      <c r="D213" s="23">
        <f t="shared" si="16"/>
        <v>290</v>
      </c>
      <c r="E213" s="23">
        <f t="shared" ca="1" si="17"/>
        <v>290</v>
      </c>
      <c r="F213" s="27">
        <v>65</v>
      </c>
      <c r="G213" s="27">
        <v>135</v>
      </c>
      <c r="H213" s="28">
        <f t="shared" ca="1" si="18"/>
        <v>20300</v>
      </c>
      <c r="J213" s="23">
        <v>298</v>
      </c>
      <c r="K213" s="30">
        <v>14111.918781725888</v>
      </c>
    </row>
    <row r="214" spans="2:11">
      <c r="B214" s="23">
        <f t="shared" ca="1" si="15"/>
        <v>0.81537443879984484</v>
      </c>
      <c r="C214" s="23">
        <f t="shared" ca="1" si="19"/>
        <v>385</v>
      </c>
      <c r="D214" s="23">
        <f t="shared" si="16"/>
        <v>290</v>
      </c>
      <c r="E214" s="23">
        <f t="shared" ca="1" si="17"/>
        <v>290</v>
      </c>
      <c r="F214" s="27">
        <v>65</v>
      </c>
      <c r="G214" s="27">
        <v>135</v>
      </c>
      <c r="H214" s="28">
        <f t="shared" ca="1" si="18"/>
        <v>20300</v>
      </c>
      <c r="J214" s="23">
        <v>299</v>
      </c>
      <c r="K214" s="30">
        <v>14180.959390862945</v>
      </c>
    </row>
    <row r="215" spans="2:11">
      <c r="B215" s="23">
        <f t="shared" ca="1" si="15"/>
        <v>0.67060320586092081</v>
      </c>
      <c r="C215" s="23">
        <f t="shared" ca="1" si="19"/>
        <v>336</v>
      </c>
      <c r="D215" s="23">
        <f t="shared" si="16"/>
        <v>290</v>
      </c>
      <c r="E215" s="23">
        <f t="shared" ca="1" si="17"/>
        <v>290</v>
      </c>
      <c r="F215" s="27">
        <v>65</v>
      </c>
      <c r="G215" s="27">
        <v>135</v>
      </c>
      <c r="H215" s="28">
        <f t="shared" ca="1" si="18"/>
        <v>20300</v>
      </c>
      <c r="J215" s="23">
        <v>300</v>
      </c>
      <c r="K215" s="30">
        <v>14616.624365482234</v>
      </c>
    </row>
    <row r="216" spans="2:11">
      <c r="B216" s="23">
        <f t="shared" ca="1" si="15"/>
        <v>0.26373781606331514</v>
      </c>
      <c r="C216" s="23">
        <f t="shared" ca="1" si="19"/>
        <v>223</v>
      </c>
      <c r="D216" s="23">
        <f t="shared" si="16"/>
        <v>290</v>
      </c>
      <c r="E216" s="23">
        <f t="shared" ca="1" si="17"/>
        <v>223</v>
      </c>
      <c r="F216" s="27">
        <v>65</v>
      </c>
      <c r="G216" s="27">
        <v>135</v>
      </c>
      <c r="H216" s="28">
        <f t="shared" ca="1" si="18"/>
        <v>11255</v>
      </c>
      <c r="J216" s="23">
        <v>301</v>
      </c>
      <c r="K216" s="30">
        <v>14540.796954314721</v>
      </c>
    </row>
    <row r="217" spans="2:11">
      <c r="B217" s="23">
        <f t="shared" ca="1" si="15"/>
        <v>0.41964436335900734</v>
      </c>
      <c r="C217" s="23">
        <f t="shared" ca="1" si="19"/>
        <v>268</v>
      </c>
      <c r="D217" s="23">
        <f t="shared" si="16"/>
        <v>290</v>
      </c>
      <c r="E217" s="23">
        <f t="shared" ca="1" si="17"/>
        <v>268</v>
      </c>
      <c r="F217" s="27">
        <v>65</v>
      </c>
      <c r="G217" s="27">
        <v>135</v>
      </c>
      <c r="H217" s="28">
        <f t="shared" ca="1" si="18"/>
        <v>17330</v>
      </c>
      <c r="J217" s="23">
        <v>302</v>
      </c>
      <c r="K217" s="30">
        <v>14617.10152284264</v>
      </c>
    </row>
    <row r="218" spans="2:11">
      <c r="B218" s="23">
        <f t="shared" ca="1" si="15"/>
        <v>0.85518904896734727</v>
      </c>
      <c r="C218" s="23">
        <f t="shared" ca="1" si="19"/>
        <v>402</v>
      </c>
      <c r="D218" s="23">
        <f t="shared" si="16"/>
        <v>290</v>
      </c>
      <c r="E218" s="23">
        <f t="shared" ca="1" si="17"/>
        <v>290</v>
      </c>
      <c r="F218" s="27">
        <v>65</v>
      </c>
      <c r="G218" s="27">
        <v>135</v>
      </c>
      <c r="H218" s="28">
        <f t="shared" ca="1" si="18"/>
        <v>20300</v>
      </c>
      <c r="J218" s="23">
        <v>303</v>
      </c>
      <c r="K218" s="30">
        <v>14159.43654822335</v>
      </c>
    </row>
    <row r="219" spans="2:11">
      <c r="B219" s="23">
        <f t="shared" ca="1" si="15"/>
        <v>0.49462898380784615</v>
      </c>
      <c r="C219" s="23">
        <f t="shared" ca="1" si="19"/>
        <v>288</v>
      </c>
      <c r="D219" s="23">
        <f t="shared" si="16"/>
        <v>290</v>
      </c>
      <c r="E219" s="23">
        <f t="shared" ca="1" si="17"/>
        <v>288</v>
      </c>
      <c r="F219" s="27">
        <v>65</v>
      </c>
      <c r="G219" s="27">
        <v>135</v>
      </c>
      <c r="H219" s="28">
        <f t="shared" ca="1" si="18"/>
        <v>20030</v>
      </c>
      <c r="J219" s="23">
        <v>304</v>
      </c>
      <c r="K219" s="30">
        <v>14586.467005076142</v>
      </c>
    </row>
    <row r="220" spans="2:11">
      <c r="B220" s="23">
        <f t="shared" ca="1" si="15"/>
        <v>0.68374500852107412</v>
      </c>
      <c r="C220" s="23">
        <f t="shared" ca="1" si="19"/>
        <v>340</v>
      </c>
      <c r="D220" s="23">
        <f t="shared" si="16"/>
        <v>290</v>
      </c>
      <c r="E220" s="23">
        <f t="shared" ca="1" si="17"/>
        <v>290</v>
      </c>
      <c r="F220" s="27">
        <v>65</v>
      </c>
      <c r="G220" s="27">
        <v>135</v>
      </c>
      <c r="H220" s="28">
        <f t="shared" ca="1" si="18"/>
        <v>20300</v>
      </c>
      <c r="J220" s="23">
        <v>305</v>
      </c>
      <c r="K220" s="30">
        <v>14634.675126903554</v>
      </c>
    </row>
    <row r="221" spans="2:11">
      <c r="B221" s="23">
        <f t="shared" ca="1" si="15"/>
        <v>3.5090290295397564E-3</v>
      </c>
      <c r="C221" s="23">
        <f t="shared" ca="1" si="19"/>
        <v>4</v>
      </c>
      <c r="D221" s="23">
        <f t="shared" si="16"/>
        <v>290</v>
      </c>
      <c r="E221" s="23">
        <f t="shared" ca="1" si="17"/>
        <v>4</v>
      </c>
      <c r="F221" s="27">
        <v>65</v>
      </c>
      <c r="G221" s="27">
        <v>135</v>
      </c>
      <c r="H221" s="28">
        <f t="shared" ca="1" si="18"/>
        <v>-18310</v>
      </c>
      <c r="J221" s="23">
        <v>306</v>
      </c>
      <c r="K221" s="30">
        <v>14670</v>
      </c>
    </row>
    <row r="222" spans="2:11">
      <c r="B222" s="23">
        <f t="shared" ca="1" si="15"/>
        <v>0.21226206706154804</v>
      </c>
      <c r="C222" s="23">
        <f t="shared" ca="1" si="19"/>
        <v>205</v>
      </c>
      <c r="D222" s="23">
        <f t="shared" si="16"/>
        <v>290</v>
      </c>
      <c r="E222" s="23">
        <f t="shared" ca="1" si="17"/>
        <v>205</v>
      </c>
      <c r="F222" s="27">
        <v>65</v>
      </c>
      <c r="G222" s="27">
        <v>135</v>
      </c>
      <c r="H222" s="28">
        <f t="shared" ca="1" si="18"/>
        <v>8825</v>
      </c>
      <c r="J222" s="23">
        <v>307</v>
      </c>
      <c r="K222" s="30">
        <v>14730.406091370558</v>
      </c>
    </row>
    <row r="223" spans="2:11">
      <c r="B223" s="23">
        <f t="shared" ca="1" si="15"/>
        <v>0.32727484773924242</v>
      </c>
      <c r="C223" s="23">
        <f t="shared" ca="1" si="19"/>
        <v>242</v>
      </c>
      <c r="D223" s="23">
        <f t="shared" si="16"/>
        <v>290</v>
      </c>
      <c r="E223" s="23">
        <f t="shared" ca="1" si="17"/>
        <v>242</v>
      </c>
      <c r="F223" s="27">
        <v>65</v>
      </c>
      <c r="G223" s="27">
        <v>135</v>
      </c>
      <c r="H223" s="28">
        <f t="shared" ca="1" si="18"/>
        <v>13820</v>
      </c>
      <c r="J223" s="23">
        <v>308</v>
      </c>
      <c r="K223" s="30">
        <v>14430.766497461929</v>
      </c>
    </row>
    <row r="224" spans="2:11">
      <c r="B224" s="23">
        <f t="shared" ca="1" si="15"/>
        <v>0.92608167302531497</v>
      </c>
      <c r="C224" s="23">
        <f t="shared" ca="1" si="19"/>
        <v>443</v>
      </c>
      <c r="D224" s="23">
        <f t="shared" si="16"/>
        <v>290</v>
      </c>
      <c r="E224" s="23">
        <f t="shared" ca="1" si="17"/>
        <v>290</v>
      </c>
      <c r="F224" s="27">
        <v>65</v>
      </c>
      <c r="G224" s="27">
        <v>135</v>
      </c>
      <c r="H224" s="28">
        <f t="shared" ca="1" si="18"/>
        <v>20300</v>
      </c>
      <c r="J224" s="23">
        <v>309</v>
      </c>
      <c r="K224" s="30">
        <v>14730.335025380711</v>
      </c>
    </row>
    <row r="225" spans="2:11">
      <c r="B225" s="23">
        <f t="shared" ca="1" si="15"/>
        <v>0.31759036607036872</v>
      </c>
      <c r="C225" s="23">
        <f t="shared" ca="1" si="19"/>
        <v>239</v>
      </c>
      <c r="D225" s="23">
        <f t="shared" si="16"/>
        <v>290</v>
      </c>
      <c r="E225" s="23">
        <f t="shared" ca="1" si="17"/>
        <v>239</v>
      </c>
      <c r="F225" s="27">
        <v>65</v>
      </c>
      <c r="G225" s="27">
        <v>135</v>
      </c>
      <c r="H225" s="28">
        <f t="shared" ca="1" si="18"/>
        <v>13415</v>
      </c>
      <c r="J225" s="23">
        <v>310</v>
      </c>
      <c r="K225" s="30">
        <v>14249.233502538071</v>
      </c>
    </row>
    <row r="226" spans="2:11">
      <c r="B226" s="23">
        <f t="shared" ca="1" si="15"/>
        <v>0.20880814345106657</v>
      </c>
      <c r="C226" s="23">
        <f t="shared" ca="1" si="19"/>
        <v>204</v>
      </c>
      <c r="D226" s="23">
        <f t="shared" si="16"/>
        <v>290</v>
      </c>
      <c r="E226" s="23">
        <f t="shared" ca="1" si="17"/>
        <v>204</v>
      </c>
      <c r="F226" s="27">
        <v>65</v>
      </c>
      <c r="G226" s="27">
        <v>135</v>
      </c>
      <c r="H226" s="28">
        <f t="shared" ca="1" si="18"/>
        <v>8690</v>
      </c>
      <c r="J226" s="23">
        <v>311</v>
      </c>
      <c r="K226" s="30">
        <v>14126.258883248731</v>
      </c>
    </row>
    <row r="227" spans="2:11">
      <c r="B227" s="23">
        <f t="shared" ca="1" si="15"/>
        <v>0.66672568932341192</v>
      </c>
      <c r="C227" s="23">
        <f t="shared" ca="1" si="19"/>
        <v>335</v>
      </c>
      <c r="D227" s="23">
        <f t="shared" si="16"/>
        <v>290</v>
      </c>
      <c r="E227" s="23">
        <f t="shared" ca="1" si="17"/>
        <v>290</v>
      </c>
      <c r="F227" s="27">
        <v>65</v>
      </c>
      <c r="G227" s="27">
        <v>135</v>
      </c>
      <c r="H227" s="28">
        <f t="shared" ca="1" si="18"/>
        <v>20300</v>
      </c>
      <c r="J227" s="23">
        <v>312</v>
      </c>
      <c r="K227" s="30">
        <v>14767.781725888324</v>
      </c>
    </row>
    <row r="228" spans="2:11">
      <c r="B228" s="23">
        <f t="shared" ca="1" si="15"/>
        <v>0.70098637247013418</v>
      </c>
      <c r="C228" s="23">
        <f t="shared" ca="1" si="19"/>
        <v>345</v>
      </c>
      <c r="D228" s="23">
        <f t="shared" si="16"/>
        <v>290</v>
      </c>
      <c r="E228" s="23">
        <f t="shared" ca="1" si="17"/>
        <v>290</v>
      </c>
      <c r="F228" s="27">
        <v>65</v>
      </c>
      <c r="G228" s="27">
        <v>135</v>
      </c>
      <c r="H228" s="28">
        <f t="shared" ca="1" si="18"/>
        <v>20300</v>
      </c>
      <c r="J228" s="23">
        <v>313</v>
      </c>
      <c r="K228" s="30">
        <v>13917.177664974619</v>
      </c>
    </row>
    <row r="229" spans="2:11">
      <c r="B229" s="23">
        <f t="shared" ca="1" si="15"/>
        <v>0.64733080683296518</v>
      </c>
      <c r="C229" s="23">
        <f t="shared" ca="1" si="19"/>
        <v>330</v>
      </c>
      <c r="D229" s="23">
        <f t="shared" si="16"/>
        <v>290</v>
      </c>
      <c r="E229" s="23">
        <f t="shared" ca="1" si="17"/>
        <v>290</v>
      </c>
      <c r="F229" s="27">
        <v>65</v>
      </c>
      <c r="G229" s="27">
        <v>135</v>
      </c>
      <c r="H229" s="28">
        <f t="shared" ca="1" si="18"/>
        <v>20300</v>
      </c>
      <c r="J229" s="23">
        <v>314</v>
      </c>
      <c r="K229" s="30">
        <v>14433.979695431472</v>
      </c>
    </row>
    <row r="230" spans="2:11">
      <c r="B230" s="23">
        <f t="shared" ca="1" si="15"/>
        <v>0.96465065208068801</v>
      </c>
      <c r="C230" s="23">
        <f t="shared" ca="1" si="19"/>
        <v>481</v>
      </c>
      <c r="D230" s="23">
        <f t="shared" si="16"/>
        <v>290</v>
      </c>
      <c r="E230" s="23">
        <f t="shared" ca="1" si="17"/>
        <v>290</v>
      </c>
      <c r="F230" s="27">
        <v>65</v>
      </c>
      <c r="G230" s="27">
        <v>135</v>
      </c>
      <c r="H230" s="28">
        <f t="shared" ca="1" si="18"/>
        <v>20300</v>
      </c>
      <c r="J230" s="23">
        <v>315</v>
      </c>
      <c r="K230" s="30">
        <v>14649.258883248731</v>
      </c>
    </row>
    <row r="231" spans="2:11">
      <c r="B231" s="23">
        <f t="shared" ca="1" si="15"/>
        <v>0.3363087744317057</v>
      </c>
      <c r="C231" s="23">
        <f t="shared" ca="1" si="19"/>
        <v>245</v>
      </c>
      <c r="D231" s="23">
        <f t="shared" si="16"/>
        <v>290</v>
      </c>
      <c r="E231" s="23">
        <f t="shared" ca="1" si="17"/>
        <v>245</v>
      </c>
      <c r="F231" s="27">
        <v>65</v>
      </c>
      <c r="G231" s="27">
        <v>135</v>
      </c>
      <c r="H231" s="28">
        <f t="shared" ca="1" si="18"/>
        <v>14225</v>
      </c>
      <c r="J231" s="23">
        <v>316</v>
      </c>
      <c r="K231" s="30">
        <v>14266.289340101523</v>
      </c>
    </row>
    <row r="232" spans="2:11">
      <c r="B232" s="23">
        <f t="shared" ca="1" si="15"/>
        <v>0.38706821818773973</v>
      </c>
      <c r="C232" s="23">
        <f t="shared" ca="1" si="19"/>
        <v>259</v>
      </c>
      <c r="D232" s="23">
        <f t="shared" si="16"/>
        <v>290</v>
      </c>
      <c r="E232" s="23">
        <f t="shared" ca="1" si="17"/>
        <v>259</v>
      </c>
      <c r="F232" s="27">
        <v>65</v>
      </c>
      <c r="G232" s="27">
        <v>135</v>
      </c>
      <c r="H232" s="28">
        <f t="shared" ca="1" si="18"/>
        <v>16115</v>
      </c>
      <c r="J232" s="23">
        <v>317</v>
      </c>
      <c r="K232" s="30">
        <v>13856.045685279189</v>
      </c>
    </row>
    <row r="233" spans="2:11">
      <c r="B233" s="23">
        <f t="shared" ca="1" si="15"/>
        <v>0.21931663671083002</v>
      </c>
      <c r="C233" s="23">
        <f t="shared" ca="1" si="19"/>
        <v>208</v>
      </c>
      <c r="D233" s="23">
        <f t="shared" si="16"/>
        <v>290</v>
      </c>
      <c r="E233" s="23">
        <f t="shared" ca="1" si="17"/>
        <v>208</v>
      </c>
      <c r="F233" s="27">
        <v>65</v>
      </c>
      <c r="G233" s="27">
        <v>135</v>
      </c>
      <c r="H233" s="28">
        <f t="shared" ca="1" si="18"/>
        <v>9230</v>
      </c>
      <c r="J233" s="23">
        <v>318</v>
      </c>
      <c r="K233" s="30">
        <v>14949.441624365481</v>
      </c>
    </row>
    <row r="234" spans="2:11">
      <c r="B234" s="23">
        <f t="shared" ca="1" si="15"/>
        <v>0.18409788940986516</v>
      </c>
      <c r="C234" s="23">
        <f t="shared" ca="1" si="19"/>
        <v>194</v>
      </c>
      <c r="D234" s="23">
        <f t="shared" si="16"/>
        <v>290</v>
      </c>
      <c r="E234" s="23">
        <f t="shared" ca="1" si="17"/>
        <v>194</v>
      </c>
      <c r="F234" s="27">
        <v>65</v>
      </c>
      <c r="G234" s="27">
        <v>135</v>
      </c>
      <c r="H234" s="28">
        <f t="shared" ca="1" si="18"/>
        <v>7340</v>
      </c>
      <c r="J234" s="23">
        <v>319</v>
      </c>
      <c r="K234" s="30">
        <v>14343.756345177664</v>
      </c>
    </row>
    <row r="235" spans="2:11">
      <c r="B235" s="23">
        <f t="shared" ca="1" si="15"/>
        <v>0.58174088383703604</v>
      </c>
      <c r="C235" s="23">
        <f t="shared" ca="1" si="19"/>
        <v>311</v>
      </c>
      <c r="D235" s="23">
        <f t="shared" si="16"/>
        <v>290</v>
      </c>
      <c r="E235" s="23">
        <f t="shared" ca="1" si="17"/>
        <v>290</v>
      </c>
      <c r="F235" s="27">
        <v>65</v>
      </c>
      <c r="G235" s="27">
        <v>135</v>
      </c>
      <c r="H235" s="28">
        <f t="shared" ca="1" si="18"/>
        <v>20300</v>
      </c>
      <c r="J235" s="23">
        <v>320</v>
      </c>
      <c r="K235" s="30">
        <v>14729.807106598984</v>
      </c>
    </row>
    <row r="236" spans="2:11">
      <c r="B236" s="23">
        <f t="shared" ca="1" si="15"/>
        <v>0.82207694648212459</v>
      </c>
      <c r="C236" s="23">
        <f t="shared" ca="1" si="19"/>
        <v>387</v>
      </c>
      <c r="D236" s="23">
        <f t="shared" si="16"/>
        <v>290</v>
      </c>
      <c r="E236" s="23">
        <f t="shared" ca="1" si="17"/>
        <v>290</v>
      </c>
      <c r="F236" s="27">
        <v>65</v>
      </c>
      <c r="G236" s="27">
        <v>135</v>
      </c>
      <c r="H236" s="28">
        <f t="shared" ca="1" si="18"/>
        <v>20300</v>
      </c>
      <c r="J236" s="23">
        <v>321</v>
      </c>
      <c r="K236" s="30">
        <v>13976.786802030458</v>
      </c>
    </row>
    <row r="237" spans="2:11">
      <c r="B237" s="23">
        <f t="shared" ca="1" si="15"/>
        <v>0.43501519745742401</v>
      </c>
      <c r="C237" s="23">
        <f t="shared" ca="1" si="19"/>
        <v>272</v>
      </c>
      <c r="D237" s="23">
        <f t="shared" si="16"/>
        <v>290</v>
      </c>
      <c r="E237" s="23">
        <f t="shared" ca="1" si="17"/>
        <v>272</v>
      </c>
      <c r="F237" s="27">
        <v>65</v>
      </c>
      <c r="G237" s="27">
        <v>135</v>
      </c>
      <c r="H237" s="28">
        <f t="shared" ca="1" si="18"/>
        <v>17870</v>
      </c>
      <c r="J237" s="23">
        <v>322</v>
      </c>
      <c r="K237" s="30">
        <v>14579.796954314721</v>
      </c>
    </row>
    <row r="238" spans="2:11">
      <c r="B238" s="23">
        <f t="shared" ca="1" si="15"/>
        <v>0.28437229583844903</v>
      </c>
      <c r="C238" s="23">
        <f t="shared" ca="1" si="19"/>
        <v>229</v>
      </c>
      <c r="D238" s="23">
        <f t="shared" si="16"/>
        <v>290</v>
      </c>
      <c r="E238" s="23">
        <f t="shared" ca="1" si="17"/>
        <v>229</v>
      </c>
      <c r="F238" s="27">
        <v>65</v>
      </c>
      <c r="G238" s="27">
        <v>135</v>
      </c>
      <c r="H238" s="28">
        <f t="shared" ca="1" si="18"/>
        <v>12065</v>
      </c>
      <c r="J238" s="23">
        <v>323</v>
      </c>
      <c r="K238" s="30">
        <v>14474.913705583756</v>
      </c>
    </row>
    <row r="239" spans="2:11">
      <c r="B239" s="23">
        <f t="shared" ca="1" si="15"/>
        <v>0.80018720957508949</v>
      </c>
      <c r="C239" s="23">
        <f t="shared" ca="1" si="19"/>
        <v>379</v>
      </c>
      <c r="D239" s="23">
        <f t="shared" si="16"/>
        <v>290</v>
      </c>
      <c r="E239" s="23">
        <f t="shared" ca="1" si="17"/>
        <v>290</v>
      </c>
      <c r="F239" s="27">
        <v>65</v>
      </c>
      <c r="G239" s="27">
        <v>135</v>
      </c>
      <c r="H239" s="28">
        <f t="shared" ca="1" si="18"/>
        <v>20300</v>
      </c>
      <c r="J239" s="23">
        <v>324</v>
      </c>
      <c r="K239" s="30">
        <v>14104.827411167513</v>
      </c>
    </row>
    <row r="240" spans="2:11">
      <c r="B240" s="23">
        <f t="shared" ca="1" si="15"/>
        <v>0.37314378937751813</v>
      </c>
      <c r="C240" s="23">
        <f t="shared" ca="1" si="19"/>
        <v>255</v>
      </c>
      <c r="D240" s="23">
        <f t="shared" si="16"/>
        <v>290</v>
      </c>
      <c r="E240" s="23">
        <f t="shared" ca="1" si="17"/>
        <v>255</v>
      </c>
      <c r="F240" s="27">
        <v>65</v>
      </c>
      <c r="G240" s="27">
        <v>135</v>
      </c>
      <c r="H240" s="28">
        <f t="shared" ca="1" si="18"/>
        <v>15575</v>
      </c>
      <c r="J240" s="23">
        <v>325</v>
      </c>
      <c r="K240" s="30">
        <v>14303.522842639593</v>
      </c>
    </row>
    <row r="241" spans="2:11">
      <c r="B241" s="23">
        <f t="shared" ca="1" si="15"/>
        <v>0.85431486610488006</v>
      </c>
      <c r="C241" s="23">
        <f t="shared" ca="1" si="19"/>
        <v>401</v>
      </c>
      <c r="D241" s="23">
        <f t="shared" si="16"/>
        <v>290</v>
      </c>
      <c r="E241" s="23">
        <f t="shared" ca="1" si="17"/>
        <v>290</v>
      </c>
      <c r="F241" s="27">
        <v>65</v>
      </c>
      <c r="G241" s="27">
        <v>135</v>
      </c>
      <c r="H241" s="28">
        <f t="shared" ca="1" si="18"/>
        <v>20300</v>
      </c>
      <c r="J241" s="23">
        <v>326</v>
      </c>
      <c r="K241" s="30">
        <v>14267.304568527919</v>
      </c>
    </row>
    <row r="242" spans="2:11">
      <c r="B242" s="23">
        <f t="shared" ca="1" si="15"/>
        <v>0.32288979909200899</v>
      </c>
      <c r="C242" s="23">
        <f t="shared" ca="1" si="19"/>
        <v>241</v>
      </c>
      <c r="D242" s="23">
        <f t="shared" si="16"/>
        <v>290</v>
      </c>
      <c r="E242" s="23">
        <f t="shared" ca="1" si="17"/>
        <v>241</v>
      </c>
      <c r="F242" s="27">
        <v>65</v>
      </c>
      <c r="G242" s="27">
        <v>135</v>
      </c>
      <c r="H242" s="28">
        <f t="shared" ca="1" si="18"/>
        <v>13685</v>
      </c>
      <c r="J242" s="23">
        <v>327</v>
      </c>
      <c r="K242" s="30">
        <v>14676.654822335026</v>
      </c>
    </row>
    <row r="243" spans="2:11">
      <c r="B243" s="23">
        <f t="shared" ca="1" si="15"/>
        <v>0.74255981800212456</v>
      </c>
      <c r="C243" s="23">
        <f t="shared" ca="1" si="19"/>
        <v>359</v>
      </c>
      <c r="D243" s="23">
        <f t="shared" si="16"/>
        <v>290</v>
      </c>
      <c r="E243" s="23">
        <f t="shared" ca="1" si="17"/>
        <v>290</v>
      </c>
      <c r="F243" s="27">
        <v>65</v>
      </c>
      <c r="G243" s="27">
        <v>135</v>
      </c>
      <c r="H243" s="28">
        <f t="shared" ca="1" si="18"/>
        <v>20300</v>
      </c>
      <c r="J243" s="23">
        <v>328</v>
      </c>
      <c r="K243" s="30">
        <v>13875.253807106599</v>
      </c>
    </row>
    <row r="244" spans="2:11">
      <c r="B244" s="23">
        <f t="shared" ca="1" si="15"/>
        <v>0.97899294878098497</v>
      </c>
      <c r="C244" s="23">
        <f t="shared" ca="1" si="19"/>
        <v>505</v>
      </c>
      <c r="D244" s="23">
        <f t="shared" si="16"/>
        <v>290</v>
      </c>
      <c r="E244" s="23">
        <f t="shared" ca="1" si="17"/>
        <v>290</v>
      </c>
      <c r="F244" s="27">
        <v>65</v>
      </c>
      <c r="G244" s="27">
        <v>135</v>
      </c>
      <c r="H244" s="28">
        <f t="shared" ca="1" si="18"/>
        <v>20300</v>
      </c>
      <c r="J244" s="23">
        <v>329</v>
      </c>
      <c r="K244" s="30">
        <v>13957.177664974619</v>
      </c>
    </row>
    <row r="245" spans="2:11">
      <c r="B245" s="23">
        <f t="shared" ca="1" si="15"/>
        <v>0.2502138940724028</v>
      </c>
      <c r="C245" s="23">
        <f t="shared" ca="1" si="19"/>
        <v>218</v>
      </c>
      <c r="D245" s="23">
        <f t="shared" si="16"/>
        <v>290</v>
      </c>
      <c r="E245" s="23">
        <f t="shared" ca="1" si="17"/>
        <v>218</v>
      </c>
      <c r="F245" s="27">
        <v>65</v>
      </c>
      <c r="G245" s="27">
        <v>135</v>
      </c>
      <c r="H245" s="28">
        <f t="shared" ca="1" si="18"/>
        <v>10580</v>
      </c>
      <c r="J245" s="23">
        <v>330</v>
      </c>
      <c r="K245" s="30">
        <v>14259.624365482234</v>
      </c>
    </row>
    <row r="246" spans="2:11">
      <c r="B246" s="23">
        <f t="shared" ca="1" si="15"/>
        <v>0.1953204901772333</v>
      </c>
      <c r="C246" s="23">
        <f t="shared" ca="1" si="19"/>
        <v>199</v>
      </c>
      <c r="D246" s="23">
        <f t="shared" si="16"/>
        <v>290</v>
      </c>
      <c r="E246" s="23">
        <f t="shared" ca="1" si="17"/>
        <v>199</v>
      </c>
      <c r="F246" s="27">
        <v>65</v>
      </c>
      <c r="G246" s="27">
        <v>135</v>
      </c>
      <c r="H246" s="28">
        <f t="shared" ca="1" si="18"/>
        <v>8015</v>
      </c>
      <c r="J246" s="23">
        <v>331</v>
      </c>
      <c r="K246" s="30">
        <v>14358.817258883249</v>
      </c>
    </row>
    <row r="247" spans="2:11">
      <c r="B247" s="23">
        <f t="shared" ca="1" si="15"/>
        <v>0.50973490611269801</v>
      </c>
      <c r="C247" s="23">
        <f t="shared" ca="1" si="19"/>
        <v>292</v>
      </c>
      <c r="D247" s="23">
        <f t="shared" si="16"/>
        <v>290</v>
      </c>
      <c r="E247" s="23">
        <f t="shared" ca="1" si="17"/>
        <v>290</v>
      </c>
      <c r="F247" s="27">
        <v>65</v>
      </c>
      <c r="G247" s="27">
        <v>135</v>
      </c>
      <c r="H247" s="28">
        <f t="shared" ca="1" si="18"/>
        <v>20300</v>
      </c>
      <c r="J247" s="23">
        <v>332</v>
      </c>
      <c r="K247" s="30">
        <v>14368.649746192894</v>
      </c>
    </row>
    <row r="248" spans="2:11">
      <c r="B248" s="23">
        <f t="shared" ca="1" si="15"/>
        <v>1.15521804611044E-2</v>
      </c>
      <c r="C248" s="23">
        <f t="shared" ca="1" si="19"/>
        <v>49</v>
      </c>
      <c r="D248" s="23">
        <f t="shared" si="16"/>
        <v>290</v>
      </c>
      <c r="E248" s="23">
        <f t="shared" ca="1" si="17"/>
        <v>49</v>
      </c>
      <c r="F248" s="27">
        <v>65</v>
      </c>
      <c r="G248" s="27">
        <v>135</v>
      </c>
      <c r="H248" s="28">
        <f t="shared" ca="1" si="18"/>
        <v>-12235</v>
      </c>
      <c r="J248" s="23">
        <v>333</v>
      </c>
      <c r="K248" s="30">
        <v>14038.583756345177</v>
      </c>
    </row>
    <row r="249" spans="2:11">
      <c r="B249" s="23">
        <f t="shared" ca="1" si="15"/>
        <v>0.98403108407693207</v>
      </c>
      <c r="C249" s="23">
        <f t="shared" ca="1" si="19"/>
        <v>517</v>
      </c>
      <c r="D249" s="23">
        <f t="shared" si="16"/>
        <v>290</v>
      </c>
      <c r="E249" s="23">
        <f t="shared" ca="1" si="17"/>
        <v>290</v>
      </c>
      <c r="F249" s="27">
        <v>65</v>
      </c>
      <c r="G249" s="27">
        <v>135</v>
      </c>
      <c r="H249" s="28">
        <f t="shared" ca="1" si="18"/>
        <v>20300</v>
      </c>
      <c r="J249" s="23">
        <v>334</v>
      </c>
      <c r="K249" s="30">
        <v>14029.776649746193</v>
      </c>
    </row>
    <row r="250" spans="2:11">
      <c r="B250" s="23">
        <f t="shared" ca="1" si="15"/>
        <v>0.56232126038522601</v>
      </c>
      <c r="C250" s="23">
        <f t="shared" ca="1" si="19"/>
        <v>306</v>
      </c>
      <c r="D250" s="23">
        <f t="shared" si="16"/>
        <v>290</v>
      </c>
      <c r="E250" s="23">
        <f t="shared" ca="1" si="17"/>
        <v>290</v>
      </c>
      <c r="F250" s="27">
        <v>65</v>
      </c>
      <c r="G250" s="27">
        <v>135</v>
      </c>
      <c r="H250" s="28">
        <f t="shared" ca="1" si="18"/>
        <v>20300</v>
      </c>
      <c r="J250" s="23">
        <v>335</v>
      </c>
      <c r="K250" s="30">
        <v>13444.92385786802</v>
      </c>
    </row>
    <row r="251" spans="2:11">
      <c r="B251" s="23">
        <f t="shared" ca="1" si="15"/>
        <v>0.89992520448714464</v>
      </c>
      <c r="C251" s="23">
        <f t="shared" ca="1" si="19"/>
        <v>425</v>
      </c>
      <c r="D251" s="23">
        <f t="shared" si="16"/>
        <v>290</v>
      </c>
      <c r="E251" s="23">
        <f t="shared" ca="1" si="17"/>
        <v>290</v>
      </c>
      <c r="F251" s="27">
        <v>65</v>
      </c>
      <c r="G251" s="27">
        <v>135</v>
      </c>
      <c r="H251" s="28">
        <f t="shared" ca="1" si="18"/>
        <v>20300</v>
      </c>
      <c r="J251" s="23">
        <v>336</v>
      </c>
      <c r="K251" s="30">
        <v>13571.253807106599</v>
      </c>
    </row>
    <row r="252" spans="2:11">
      <c r="B252" s="23">
        <f t="shared" ca="1" si="15"/>
        <v>0.47819937373331156</v>
      </c>
      <c r="C252" s="23">
        <f t="shared" ca="1" si="19"/>
        <v>284</v>
      </c>
      <c r="D252" s="23">
        <f t="shared" si="16"/>
        <v>290</v>
      </c>
      <c r="E252" s="23">
        <f t="shared" ca="1" si="17"/>
        <v>284</v>
      </c>
      <c r="F252" s="27">
        <v>65</v>
      </c>
      <c r="G252" s="27">
        <v>135</v>
      </c>
      <c r="H252" s="28">
        <f t="shared" ca="1" si="18"/>
        <v>19490</v>
      </c>
      <c r="J252" s="23">
        <v>337</v>
      </c>
      <c r="K252" s="30">
        <v>14033.781725888324</v>
      </c>
    </row>
    <row r="253" spans="2:11">
      <c r="B253" s="23">
        <f t="shared" ca="1" si="15"/>
        <v>0.66560431944868981</v>
      </c>
      <c r="C253" s="23">
        <f t="shared" ca="1" si="19"/>
        <v>335</v>
      </c>
      <c r="D253" s="23">
        <f t="shared" si="16"/>
        <v>290</v>
      </c>
      <c r="E253" s="23">
        <f t="shared" ca="1" si="17"/>
        <v>290</v>
      </c>
      <c r="F253" s="27">
        <v>65</v>
      </c>
      <c r="G253" s="27">
        <v>135</v>
      </c>
      <c r="H253" s="28">
        <f t="shared" ca="1" si="18"/>
        <v>20300</v>
      </c>
      <c r="J253" s="23">
        <v>338</v>
      </c>
      <c r="K253" s="30">
        <v>13967.685279187817</v>
      </c>
    </row>
    <row r="254" spans="2:11">
      <c r="B254" s="23">
        <f t="shared" ca="1" si="15"/>
        <v>0.83089818220686118</v>
      </c>
      <c r="C254" s="23">
        <f t="shared" ca="1" si="19"/>
        <v>391</v>
      </c>
      <c r="D254" s="23">
        <f t="shared" si="16"/>
        <v>290</v>
      </c>
      <c r="E254" s="23">
        <f t="shared" ca="1" si="17"/>
        <v>290</v>
      </c>
      <c r="F254" s="27">
        <v>65</v>
      </c>
      <c r="G254" s="27">
        <v>135</v>
      </c>
      <c r="H254" s="28">
        <f t="shared" ca="1" si="18"/>
        <v>20300</v>
      </c>
      <c r="J254" s="23">
        <v>339</v>
      </c>
      <c r="K254" s="30">
        <v>14155.005076142132</v>
      </c>
    </row>
    <row r="255" spans="2:11">
      <c r="B255" s="23">
        <f t="shared" ca="1" si="15"/>
        <v>0.86789852108689036</v>
      </c>
      <c r="C255" s="23">
        <f t="shared" ca="1" si="19"/>
        <v>408</v>
      </c>
      <c r="D255" s="23">
        <f t="shared" si="16"/>
        <v>290</v>
      </c>
      <c r="E255" s="23">
        <f t="shared" ca="1" si="17"/>
        <v>290</v>
      </c>
      <c r="F255" s="27">
        <v>65</v>
      </c>
      <c r="G255" s="27">
        <v>135</v>
      </c>
      <c r="H255" s="28">
        <f t="shared" ca="1" si="18"/>
        <v>20300</v>
      </c>
      <c r="J255" s="23">
        <v>340</v>
      </c>
      <c r="K255" s="30">
        <v>14545.989847715737</v>
      </c>
    </row>
    <row r="256" spans="2:11">
      <c r="B256" s="23">
        <f t="shared" ca="1" si="15"/>
        <v>0.55549045344452874</v>
      </c>
      <c r="C256" s="23">
        <f t="shared" ca="1" si="19"/>
        <v>304</v>
      </c>
      <c r="D256" s="23">
        <f t="shared" si="16"/>
        <v>290</v>
      </c>
      <c r="E256" s="23">
        <f t="shared" ca="1" si="17"/>
        <v>290</v>
      </c>
      <c r="F256" s="27">
        <v>65</v>
      </c>
      <c r="G256" s="27">
        <v>135</v>
      </c>
      <c r="H256" s="28">
        <f t="shared" ca="1" si="18"/>
        <v>20300</v>
      </c>
      <c r="J256" s="23">
        <v>341</v>
      </c>
      <c r="K256" s="30">
        <v>14057.89847715736</v>
      </c>
    </row>
    <row r="257" spans="2:11">
      <c r="B257" s="23">
        <f t="shared" ca="1" si="15"/>
        <v>0.44267855940109802</v>
      </c>
      <c r="C257" s="23">
        <f t="shared" ca="1" si="19"/>
        <v>274</v>
      </c>
      <c r="D257" s="23">
        <f t="shared" si="16"/>
        <v>290</v>
      </c>
      <c r="E257" s="23">
        <f t="shared" ca="1" si="17"/>
        <v>274</v>
      </c>
      <c r="F257" s="27">
        <v>65</v>
      </c>
      <c r="G257" s="27">
        <v>135</v>
      </c>
      <c r="H257" s="28">
        <f t="shared" ca="1" si="18"/>
        <v>18140</v>
      </c>
      <c r="J257" s="23">
        <v>342</v>
      </c>
      <c r="K257" s="30">
        <v>13965.624365482234</v>
      </c>
    </row>
    <row r="258" spans="2:11">
      <c r="B258" s="23">
        <f t="shared" ca="1" si="15"/>
        <v>0.48098575001856236</v>
      </c>
      <c r="C258" s="23">
        <f t="shared" ca="1" si="19"/>
        <v>285</v>
      </c>
      <c r="D258" s="23">
        <f t="shared" si="16"/>
        <v>290</v>
      </c>
      <c r="E258" s="23">
        <f t="shared" ca="1" si="17"/>
        <v>285</v>
      </c>
      <c r="F258" s="27">
        <v>65</v>
      </c>
      <c r="G258" s="27">
        <v>135</v>
      </c>
      <c r="H258" s="28">
        <f t="shared" ca="1" si="18"/>
        <v>19625</v>
      </c>
      <c r="J258" s="23">
        <v>343</v>
      </c>
      <c r="K258" s="30">
        <v>13989.573604060914</v>
      </c>
    </row>
    <row r="259" spans="2:11">
      <c r="B259" s="23">
        <f t="shared" ca="1" si="15"/>
        <v>0.36497580257727846</v>
      </c>
      <c r="C259" s="23">
        <f t="shared" ca="1" si="19"/>
        <v>253</v>
      </c>
      <c r="D259" s="23">
        <f t="shared" si="16"/>
        <v>290</v>
      </c>
      <c r="E259" s="23">
        <f t="shared" ca="1" si="17"/>
        <v>253</v>
      </c>
      <c r="F259" s="27">
        <v>65</v>
      </c>
      <c r="G259" s="27">
        <v>135</v>
      </c>
      <c r="H259" s="28">
        <f t="shared" ca="1" si="18"/>
        <v>15305</v>
      </c>
      <c r="J259" s="23">
        <v>344</v>
      </c>
      <c r="K259" s="30">
        <v>13914.705583756346</v>
      </c>
    </row>
    <row r="260" spans="2:11">
      <c r="B260" s="23">
        <f t="shared" ca="1" si="15"/>
        <v>0.24974826040797027</v>
      </c>
      <c r="C260" s="23">
        <f t="shared" ca="1" si="19"/>
        <v>218</v>
      </c>
      <c r="D260" s="23">
        <f t="shared" si="16"/>
        <v>290</v>
      </c>
      <c r="E260" s="23">
        <f t="shared" ca="1" si="17"/>
        <v>218</v>
      </c>
      <c r="F260" s="27">
        <v>65</v>
      </c>
      <c r="G260" s="27">
        <v>135</v>
      </c>
      <c r="H260" s="28">
        <f t="shared" ca="1" si="18"/>
        <v>10580</v>
      </c>
      <c r="J260" s="23">
        <v>345</v>
      </c>
      <c r="K260" s="30">
        <v>13882.736040609137</v>
      </c>
    </row>
    <row r="261" spans="2:11">
      <c r="B261" s="23">
        <f t="shared" ca="1" si="15"/>
        <v>0.19907362451656807</v>
      </c>
      <c r="C261" s="23">
        <f t="shared" ca="1" si="19"/>
        <v>200</v>
      </c>
      <c r="D261" s="23">
        <f t="shared" si="16"/>
        <v>290</v>
      </c>
      <c r="E261" s="23">
        <f t="shared" ca="1" si="17"/>
        <v>200</v>
      </c>
      <c r="F261" s="27">
        <v>65</v>
      </c>
      <c r="G261" s="27">
        <v>135</v>
      </c>
      <c r="H261" s="28">
        <f t="shared" ca="1" si="18"/>
        <v>8150</v>
      </c>
      <c r="J261" s="23">
        <v>346</v>
      </c>
      <c r="K261" s="30">
        <v>14128.715736040609</v>
      </c>
    </row>
    <row r="262" spans="2:11">
      <c r="B262" s="23">
        <f t="shared" ca="1" si="15"/>
        <v>0.25991964732915551</v>
      </c>
      <c r="C262" s="23">
        <f t="shared" ca="1" si="19"/>
        <v>221</v>
      </c>
      <c r="D262" s="23">
        <f t="shared" si="16"/>
        <v>290</v>
      </c>
      <c r="E262" s="23">
        <f t="shared" ca="1" si="17"/>
        <v>221</v>
      </c>
      <c r="F262" s="27">
        <v>65</v>
      </c>
      <c r="G262" s="27">
        <v>135</v>
      </c>
      <c r="H262" s="28">
        <f t="shared" ca="1" si="18"/>
        <v>10985</v>
      </c>
      <c r="J262" s="23">
        <v>347</v>
      </c>
      <c r="K262" s="30">
        <v>13433.807106598984</v>
      </c>
    </row>
    <row r="263" spans="2:11">
      <c r="B263" s="23">
        <f t="shared" ca="1" si="15"/>
        <v>0.25850099299189988</v>
      </c>
      <c r="C263" s="23">
        <f t="shared" ca="1" si="19"/>
        <v>221</v>
      </c>
      <c r="D263" s="23">
        <f t="shared" si="16"/>
        <v>290</v>
      </c>
      <c r="E263" s="23">
        <f t="shared" ca="1" si="17"/>
        <v>221</v>
      </c>
      <c r="F263" s="27">
        <v>65</v>
      </c>
      <c r="G263" s="27">
        <v>135</v>
      </c>
      <c r="H263" s="28">
        <f t="shared" ca="1" si="18"/>
        <v>10985</v>
      </c>
      <c r="J263" s="23">
        <v>348</v>
      </c>
      <c r="K263" s="30">
        <v>13491.746192893401</v>
      </c>
    </row>
    <row r="264" spans="2:11">
      <c r="B264" s="23">
        <f t="shared" ca="1" si="15"/>
        <v>0.52197306070192717</v>
      </c>
      <c r="C264" s="23">
        <f t="shared" ca="1" si="19"/>
        <v>295</v>
      </c>
      <c r="D264" s="23">
        <f t="shared" si="16"/>
        <v>290</v>
      </c>
      <c r="E264" s="23">
        <f t="shared" ca="1" si="17"/>
        <v>290</v>
      </c>
      <c r="F264" s="27">
        <v>65</v>
      </c>
      <c r="G264" s="27">
        <v>135</v>
      </c>
      <c r="H264" s="28">
        <f t="shared" ca="1" si="18"/>
        <v>20300</v>
      </c>
      <c r="J264" s="23">
        <v>349</v>
      </c>
      <c r="K264" s="30">
        <v>13456.48730964467</v>
      </c>
    </row>
    <row r="265" spans="2:11">
      <c r="B265" s="23">
        <f t="shared" ca="1" si="15"/>
        <v>0.35140821185990856</v>
      </c>
      <c r="C265" s="23">
        <f t="shared" ca="1" si="19"/>
        <v>249</v>
      </c>
      <c r="D265" s="23">
        <f t="shared" si="16"/>
        <v>290</v>
      </c>
      <c r="E265" s="23">
        <f t="shared" ca="1" si="17"/>
        <v>249</v>
      </c>
      <c r="F265" s="27">
        <v>65</v>
      </c>
      <c r="G265" s="27">
        <v>135</v>
      </c>
      <c r="H265" s="28">
        <f t="shared" ca="1" si="18"/>
        <v>14765</v>
      </c>
      <c r="J265" s="23">
        <v>350</v>
      </c>
      <c r="K265" s="30">
        <v>13756.192893401016</v>
      </c>
    </row>
    <row r="266" spans="2:11">
      <c r="B266" s="23">
        <f t="shared" ca="1" si="15"/>
        <v>0.22116406587501969</v>
      </c>
      <c r="C266" s="23">
        <f t="shared" ca="1" si="19"/>
        <v>208</v>
      </c>
      <c r="D266" s="23">
        <f t="shared" si="16"/>
        <v>290</v>
      </c>
      <c r="E266" s="23">
        <f t="shared" ca="1" si="17"/>
        <v>208</v>
      </c>
      <c r="F266" s="27">
        <v>65</v>
      </c>
      <c r="G266" s="27">
        <v>135</v>
      </c>
      <c r="H266" s="28">
        <f t="shared" ca="1" si="18"/>
        <v>9230</v>
      </c>
      <c r="J266" s="23">
        <v>351</v>
      </c>
      <c r="K266" s="30">
        <v>14034.791878172589</v>
      </c>
    </row>
    <row r="267" spans="2:11">
      <c r="B267" s="23">
        <f t="shared" ca="1" si="15"/>
        <v>5.0200402584532622E-4</v>
      </c>
      <c r="C267" s="23">
        <f t="shared" ca="1" si="19"/>
        <v>-59</v>
      </c>
      <c r="D267" s="23">
        <f t="shared" si="16"/>
        <v>290</v>
      </c>
      <c r="E267" s="23">
        <f t="shared" ca="1" si="17"/>
        <v>-59</v>
      </c>
      <c r="F267" s="27">
        <v>65</v>
      </c>
      <c r="G267" s="27">
        <v>135</v>
      </c>
      <c r="H267" s="28">
        <f t="shared" ca="1" si="18"/>
        <v>-26815</v>
      </c>
      <c r="J267" s="23">
        <v>352</v>
      </c>
      <c r="K267" s="30">
        <v>13549.167512690356</v>
      </c>
    </row>
    <row r="268" spans="2:11">
      <c r="B268" s="23">
        <f t="shared" ca="1" si="15"/>
        <v>0.29442369144232716</v>
      </c>
      <c r="C268" s="23">
        <f t="shared" ca="1" si="19"/>
        <v>232</v>
      </c>
      <c r="D268" s="23">
        <f t="shared" si="16"/>
        <v>290</v>
      </c>
      <c r="E268" s="23">
        <f t="shared" ca="1" si="17"/>
        <v>232</v>
      </c>
      <c r="F268" s="27">
        <v>65</v>
      </c>
      <c r="G268" s="27">
        <v>135</v>
      </c>
      <c r="H268" s="28">
        <f t="shared" ca="1" si="18"/>
        <v>12470</v>
      </c>
      <c r="J268" s="23">
        <v>353</v>
      </c>
      <c r="K268" s="30">
        <v>13633.421319796955</v>
      </c>
    </row>
    <row r="269" spans="2:11">
      <c r="B269" s="23">
        <f t="shared" ca="1" si="15"/>
        <v>0.5794057968022609</v>
      </c>
      <c r="C269" s="23">
        <f t="shared" ca="1" si="19"/>
        <v>311</v>
      </c>
      <c r="D269" s="23">
        <f t="shared" si="16"/>
        <v>290</v>
      </c>
      <c r="E269" s="23">
        <f t="shared" ca="1" si="17"/>
        <v>290</v>
      </c>
      <c r="F269" s="27">
        <v>65</v>
      </c>
      <c r="G269" s="27">
        <v>135</v>
      </c>
      <c r="H269" s="28">
        <f t="shared" ca="1" si="18"/>
        <v>20300</v>
      </c>
      <c r="J269" s="23">
        <v>354</v>
      </c>
      <c r="K269" s="30">
        <v>13895.573604060914</v>
      </c>
    </row>
    <row r="270" spans="2:11">
      <c r="B270" s="23">
        <f t="shared" ca="1" si="15"/>
        <v>0.48733227733696471</v>
      </c>
      <c r="C270" s="23">
        <f t="shared" ca="1" si="19"/>
        <v>286</v>
      </c>
      <c r="D270" s="23">
        <f t="shared" si="16"/>
        <v>290</v>
      </c>
      <c r="E270" s="23">
        <f t="shared" ca="1" si="17"/>
        <v>286</v>
      </c>
      <c r="F270" s="27">
        <v>65</v>
      </c>
      <c r="G270" s="27">
        <v>135</v>
      </c>
      <c r="H270" s="28">
        <f t="shared" ca="1" si="18"/>
        <v>19760</v>
      </c>
      <c r="J270" s="23">
        <v>355</v>
      </c>
      <c r="K270" s="30">
        <v>13605.116751269035</v>
      </c>
    </row>
    <row r="271" spans="2:11">
      <c r="B271" s="23">
        <f t="shared" ca="1" si="15"/>
        <v>0.64328846051443656</v>
      </c>
      <c r="C271" s="23">
        <f t="shared" ca="1" si="19"/>
        <v>329</v>
      </c>
      <c r="D271" s="23">
        <f t="shared" si="16"/>
        <v>290</v>
      </c>
      <c r="E271" s="23">
        <f t="shared" ca="1" si="17"/>
        <v>290</v>
      </c>
      <c r="F271" s="27">
        <v>65</v>
      </c>
      <c r="G271" s="27">
        <v>135</v>
      </c>
      <c r="H271" s="28">
        <f t="shared" ca="1" si="18"/>
        <v>20300</v>
      </c>
      <c r="J271" s="23">
        <v>356</v>
      </c>
      <c r="K271" s="30">
        <v>13456.51269035533</v>
      </c>
    </row>
    <row r="272" spans="2:11">
      <c r="B272" s="23">
        <f t="shared" ca="1" si="15"/>
        <v>0.36748123044201264</v>
      </c>
      <c r="C272" s="23">
        <f t="shared" ca="1" si="19"/>
        <v>254</v>
      </c>
      <c r="D272" s="23">
        <f t="shared" si="16"/>
        <v>290</v>
      </c>
      <c r="E272" s="23">
        <f t="shared" ca="1" si="17"/>
        <v>254</v>
      </c>
      <c r="F272" s="27">
        <v>65</v>
      </c>
      <c r="G272" s="27">
        <v>135</v>
      </c>
      <c r="H272" s="28">
        <f t="shared" ca="1" si="18"/>
        <v>15440</v>
      </c>
      <c r="J272" s="23">
        <v>357</v>
      </c>
      <c r="K272" s="30">
        <v>13766.771573604061</v>
      </c>
    </row>
    <row r="273" spans="2:11">
      <c r="B273" s="23">
        <f t="shared" ref="B273:B336" ca="1" si="20">RAND()</f>
        <v>0.47897016333257969</v>
      </c>
      <c r="C273" s="23">
        <f t="shared" ca="1" si="19"/>
        <v>284</v>
      </c>
      <c r="D273" s="23">
        <f t="shared" ref="D273:D336" si="21">$B$9</f>
        <v>290</v>
      </c>
      <c r="E273" s="23">
        <f t="shared" ref="E273:E336" ca="1" si="22">_xlfn.FLOOR.MATH(MIN(C273,D273))</f>
        <v>284</v>
      </c>
      <c r="F273" s="27">
        <v>65</v>
      </c>
      <c r="G273" s="27">
        <v>135</v>
      </c>
      <c r="H273" s="28">
        <f t="shared" ref="H273:H336" ca="1" si="23">E273*G273-D273*F273</f>
        <v>19490</v>
      </c>
      <c r="J273" s="23">
        <v>358</v>
      </c>
      <c r="K273" s="30">
        <v>12327.238578680202</v>
      </c>
    </row>
    <row r="274" spans="2:11">
      <c r="B274" s="23">
        <f t="shared" ca="1" si="20"/>
        <v>3.8538033074700828E-2</v>
      </c>
      <c r="C274" s="23">
        <f t="shared" ref="C274:C337" ca="1" si="24">_xlfn.FLOOR.MATH(_xlfn.NORM.INV(B274,$B$6,$B$7))</f>
        <v>102</v>
      </c>
      <c r="D274" s="23">
        <f t="shared" si="21"/>
        <v>290</v>
      </c>
      <c r="E274" s="23">
        <f t="shared" ca="1" si="22"/>
        <v>102</v>
      </c>
      <c r="F274" s="27">
        <v>65</v>
      </c>
      <c r="G274" s="27">
        <v>135</v>
      </c>
      <c r="H274" s="28">
        <f t="shared" ca="1" si="23"/>
        <v>-5080</v>
      </c>
      <c r="J274" s="23">
        <v>359</v>
      </c>
      <c r="K274" s="30">
        <v>13184.07614213198</v>
      </c>
    </row>
    <row r="275" spans="2:11">
      <c r="B275" s="23">
        <f t="shared" ca="1" si="20"/>
        <v>0.48044379184398522</v>
      </c>
      <c r="C275" s="23">
        <f t="shared" ca="1" si="24"/>
        <v>284</v>
      </c>
      <c r="D275" s="23">
        <f t="shared" si="21"/>
        <v>290</v>
      </c>
      <c r="E275" s="23">
        <f t="shared" ca="1" si="22"/>
        <v>284</v>
      </c>
      <c r="F275" s="27">
        <v>65</v>
      </c>
      <c r="G275" s="27">
        <v>135</v>
      </c>
      <c r="H275" s="28">
        <f t="shared" ca="1" si="23"/>
        <v>19490</v>
      </c>
      <c r="J275" s="23">
        <v>360</v>
      </c>
      <c r="K275" s="30">
        <v>13226.527918781725</v>
      </c>
    </row>
    <row r="276" spans="2:11">
      <c r="B276" s="23">
        <f t="shared" ca="1" si="20"/>
        <v>2.4828036224690653E-2</v>
      </c>
      <c r="C276" s="23">
        <f t="shared" ca="1" si="24"/>
        <v>82</v>
      </c>
      <c r="D276" s="23">
        <f t="shared" si="21"/>
        <v>290</v>
      </c>
      <c r="E276" s="23">
        <f t="shared" ca="1" si="22"/>
        <v>82</v>
      </c>
      <c r="F276" s="27">
        <v>65</v>
      </c>
      <c r="G276" s="27">
        <v>135</v>
      </c>
      <c r="H276" s="28">
        <f t="shared" ca="1" si="23"/>
        <v>-7780</v>
      </c>
      <c r="J276" s="23">
        <v>361</v>
      </c>
      <c r="K276" s="30">
        <v>13513.48730964467</v>
      </c>
    </row>
    <row r="277" spans="2:11">
      <c r="B277" s="23">
        <f t="shared" ca="1" si="20"/>
        <v>0.36315963119719652</v>
      </c>
      <c r="C277" s="23">
        <f t="shared" ca="1" si="24"/>
        <v>252</v>
      </c>
      <c r="D277" s="23">
        <f t="shared" si="21"/>
        <v>290</v>
      </c>
      <c r="E277" s="23">
        <f t="shared" ca="1" si="22"/>
        <v>252</v>
      </c>
      <c r="F277" s="27">
        <v>65</v>
      </c>
      <c r="G277" s="27">
        <v>135</v>
      </c>
      <c r="H277" s="28">
        <f t="shared" ca="1" si="23"/>
        <v>15170</v>
      </c>
      <c r="J277" s="23">
        <v>362</v>
      </c>
      <c r="K277" s="30">
        <v>12974</v>
      </c>
    </row>
    <row r="278" spans="2:11">
      <c r="B278" s="23">
        <f t="shared" ca="1" si="20"/>
        <v>0.30853801989926932</v>
      </c>
      <c r="C278" s="23">
        <f t="shared" ca="1" si="24"/>
        <v>237</v>
      </c>
      <c r="D278" s="23">
        <f t="shared" si="21"/>
        <v>290</v>
      </c>
      <c r="E278" s="23">
        <f t="shared" ca="1" si="22"/>
        <v>237</v>
      </c>
      <c r="F278" s="27">
        <v>65</v>
      </c>
      <c r="G278" s="27">
        <v>135</v>
      </c>
      <c r="H278" s="28">
        <f t="shared" ca="1" si="23"/>
        <v>13145</v>
      </c>
      <c r="J278" s="23">
        <v>363</v>
      </c>
      <c r="K278" s="30">
        <v>12703.690355329949</v>
      </c>
    </row>
    <row r="279" spans="2:11">
      <c r="B279" s="23">
        <f t="shared" ca="1" si="20"/>
        <v>0.99134032986753806</v>
      </c>
      <c r="C279" s="23">
        <f t="shared" ca="1" si="24"/>
        <v>542</v>
      </c>
      <c r="D279" s="23">
        <f t="shared" si="21"/>
        <v>290</v>
      </c>
      <c r="E279" s="23">
        <f t="shared" ca="1" si="22"/>
        <v>290</v>
      </c>
      <c r="F279" s="27">
        <v>65</v>
      </c>
      <c r="G279" s="27">
        <v>135</v>
      </c>
      <c r="H279" s="28">
        <f t="shared" ca="1" si="23"/>
        <v>20300</v>
      </c>
      <c r="J279" s="23">
        <v>364</v>
      </c>
      <c r="K279" s="30">
        <v>13193.903553299493</v>
      </c>
    </row>
    <row r="280" spans="2:11">
      <c r="B280" s="23">
        <f t="shared" ca="1" si="20"/>
        <v>4.9974494792483615E-2</v>
      </c>
      <c r="C280" s="23">
        <f t="shared" ca="1" si="24"/>
        <v>115</v>
      </c>
      <c r="D280" s="23">
        <f t="shared" si="21"/>
        <v>290</v>
      </c>
      <c r="E280" s="23">
        <f t="shared" ca="1" si="22"/>
        <v>115</v>
      </c>
      <c r="F280" s="27">
        <v>65</v>
      </c>
      <c r="G280" s="27">
        <v>135</v>
      </c>
      <c r="H280" s="28">
        <f t="shared" ca="1" si="23"/>
        <v>-3325</v>
      </c>
      <c r="J280" s="23">
        <v>365</v>
      </c>
      <c r="K280" s="30">
        <v>13604.624365482234</v>
      </c>
    </row>
    <row r="281" spans="2:11">
      <c r="B281" s="23">
        <f t="shared" ca="1" si="20"/>
        <v>0.23189035562735638</v>
      </c>
      <c r="C281" s="23">
        <f t="shared" ca="1" si="24"/>
        <v>212</v>
      </c>
      <c r="D281" s="23">
        <f t="shared" si="21"/>
        <v>290</v>
      </c>
      <c r="E281" s="23">
        <f t="shared" ca="1" si="22"/>
        <v>212</v>
      </c>
      <c r="F281" s="27">
        <v>65</v>
      </c>
      <c r="G281" s="27">
        <v>135</v>
      </c>
      <c r="H281" s="28">
        <f t="shared" ca="1" si="23"/>
        <v>9770</v>
      </c>
      <c r="J281" s="23">
        <v>366</v>
      </c>
      <c r="K281" s="30">
        <v>13387.355329949238</v>
      </c>
    </row>
    <row r="282" spans="2:11">
      <c r="B282" s="23">
        <f t="shared" ca="1" si="20"/>
        <v>0.1989349412958471</v>
      </c>
      <c r="C282" s="23">
        <f t="shared" ca="1" si="24"/>
        <v>200</v>
      </c>
      <c r="D282" s="23">
        <f t="shared" si="21"/>
        <v>290</v>
      </c>
      <c r="E282" s="23">
        <f t="shared" ca="1" si="22"/>
        <v>200</v>
      </c>
      <c r="F282" s="27">
        <v>65</v>
      </c>
      <c r="G282" s="27">
        <v>135</v>
      </c>
      <c r="H282" s="28">
        <f t="shared" ca="1" si="23"/>
        <v>8150</v>
      </c>
      <c r="J282" s="23">
        <v>367</v>
      </c>
      <c r="K282" s="30">
        <v>14017.228426395939</v>
      </c>
    </row>
    <row r="283" spans="2:11">
      <c r="B283" s="23">
        <f t="shared" ca="1" si="20"/>
        <v>3.7210255181618024E-2</v>
      </c>
      <c r="C283" s="23">
        <f t="shared" ca="1" si="24"/>
        <v>101</v>
      </c>
      <c r="D283" s="23">
        <f t="shared" si="21"/>
        <v>290</v>
      </c>
      <c r="E283" s="23">
        <f t="shared" ca="1" si="22"/>
        <v>101</v>
      </c>
      <c r="F283" s="27">
        <v>65</v>
      </c>
      <c r="G283" s="27">
        <v>135</v>
      </c>
      <c r="H283" s="28">
        <f t="shared" ca="1" si="23"/>
        <v>-5215</v>
      </c>
      <c r="J283" s="23">
        <v>368</v>
      </c>
      <c r="K283" s="30">
        <v>13560.522842639593</v>
      </c>
    </row>
    <row r="284" spans="2:11">
      <c r="B284" s="23">
        <f t="shared" ca="1" si="20"/>
        <v>0.97607201990976566</v>
      </c>
      <c r="C284" s="23">
        <f t="shared" ca="1" si="24"/>
        <v>499</v>
      </c>
      <c r="D284" s="23">
        <f t="shared" si="21"/>
        <v>290</v>
      </c>
      <c r="E284" s="23">
        <f t="shared" ca="1" si="22"/>
        <v>290</v>
      </c>
      <c r="F284" s="27">
        <v>65</v>
      </c>
      <c r="G284" s="27">
        <v>135</v>
      </c>
      <c r="H284" s="28">
        <f t="shared" ca="1" si="23"/>
        <v>20300</v>
      </c>
      <c r="J284" s="23">
        <v>369</v>
      </c>
      <c r="K284" s="30">
        <v>13491.822335025381</v>
      </c>
    </row>
    <row r="285" spans="2:11">
      <c r="B285" s="23">
        <f t="shared" ca="1" si="20"/>
        <v>0.35920922488769669</v>
      </c>
      <c r="C285" s="23">
        <f t="shared" ca="1" si="24"/>
        <v>251</v>
      </c>
      <c r="D285" s="23">
        <f t="shared" si="21"/>
        <v>290</v>
      </c>
      <c r="E285" s="23">
        <f t="shared" ca="1" si="22"/>
        <v>251</v>
      </c>
      <c r="F285" s="27">
        <v>65</v>
      </c>
      <c r="G285" s="27">
        <v>135</v>
      </c>
      <c r="H285" s="28">
        <f t="shared" ca="1" si="23"/>
        <v>15035</v>
      </c>
      <c r="J285" s="23">
        <v>370</v>
      </c>
      <c r="K285" s="30">
        <v>14323.578680203045</v>
      </c>
    </row>
    <row r="286" spans="2:11">
      <c r="B286" s="23">
        <f t="shared" ca="1" si="20"/>
        <v>0.63080245179973971</v>
      </c>
      <c r="C286" s="23">
        <f t="shared" ca="1" si="24"/>
        <v>325</v>
      </c>
      <c r="D286" s="23">
        <f t="shared" si="21"/>
        <v>290</v>
      </c>
      <c r="E286" s="23">
        <f t="shared" ca="1" si="22"/>
        <v>290</v>
      </c>
      <c r="F286" s="27">
        <v>65</v>
      </c>
      <c r="G286" s="27">
        <v>135</v>
      </c>
      <c r="H286" s="28">
        <f t="shared" ca="1" si="23"/>
        <v>20300</v>
      </c>
      <c r="J286" s="23">
        <v>371</v>
      </c>
      <c r="K286" s="30">
        <v>13463.517766497462</v>
      </c>
    </row>
    <row r="287" spans="2:11">
      <c r="B287" s="23">
        <f t="shared" ca="1" si="20"/>
        <v>0.42936790899101318</v>
      </c>
      <c r="C287" s="23">
        <f t="shared" ca="1" si="24"/>
        <v>271</v>
      </c>
      <c r="D287" s="23">
        <f t="shared" si="21"/>
        <v>290</v>
      </c>
      <c r="E287" s="23">
        <f t="shared" ca="1" si="22"/>
        <v>271</v>
      </c>
      <c r="F287" s="27">
        <v>65</v>
      </c>
      <c r="G287" s="27">
        <v>135</v>
      </c>
      <c r="H287" s="28">
        <f t="shared" ca="1" si="23"/>
        <v>17735</v>
      </c>
      <c r="J287" s="23">
        <v>372</v>
      </c>
      <c r="K287" s="30">
        <v>13759.796954314721</v>
      </c>
    </row>
    <row r="288" spans="2:11">
      <c r="B288" s="23">
        <f t="shared" ca="1" si="20"/>
        <v>0.91572955326029393</v>
      </c>
      <c r="C288" s="23">
        <f t="shared" ca="1" si="24"/>
        <v>436</v>
      </c>
      <c r="D288" s="23">
        <f t="shared" si="21"/>
        <v>290</v>
      </c>
      <c r="E288" s="23">
        <f t="shared" ca="1" si="22"/>
        <v>290</v>
      </c>
      <c r="F288" s="27">
        <v>65</v>
      </c>
      <c r="G288" s="27">
        <v>135</v>
      </c>
      <c r="H288" s="28">
        <f t="shared" ca="1" si="23"/>
        <v>20300</v>
      </c>
      <c r="J288" s="23">
        <v>373</v>
      </c>
      <c r="K288" s="30">
        <v>13256.492385786802</v>
      </c>
    </row>
    <row r="289" spans="2:11">
      <c r="B289" s="23">
        <f t="shared" ca="1" si="20"/>
        <v>0.84463260875322654</v>
      </c>
      <c r="C289" s="23">
        <f t="shared" ca="1" si="24"/>
        <v>397</v>
      </c>
      <c r="D289" s="23">
        <f t="shared" si="21"/>
        <v>290</v>
      </c>
      <c r="E289" s="23">
        <f t="shared" ca="1" si="22"/>
        <v>290</v>
      </c>
      <c r="F289" s="27">
        <v>65</v>
      </c>
      <c r="G289" s="27">
        <v>135</v>
      </c>
      <c r="H289" s="28">
        <f t="shared" ca="1" si="23"/>
        <v>20300</v>
      </c>
      <c r="J289" s="23">
        <v>374</v>
      </c>
      <c r="K289" s="30">
        <v>13599.918781725888</v>
      </c>
    </row>
    <row r="290" spans="2:11">
      <c r="B290" s="23">
        <f t="shared" ca="1" si="20"/>
        <v>0.86761715424768082</v>
      </c>
      <c r="C290" s="23">
        <f t="shared" ca="1" si="24"/>
        <v>408</v>
      </c>
      <c r="D290" s="23">
        <f t="shared" si="21"/>
        <v>290</v>
      </c>
      <c r="E290" s="23">
        <f t="shared" ca="1" si="22"/>
        <v>290</v>
      </c>
      <c r="F290" s="27">
        <v>65</v>
      </c>
      <c r="G290" s="27">
        <v>135</v>
      </c>
      <c r="H290" s="28">
        <f t="shared" ca="1" si="23"/>
        <v>20300</v>
      </c>
      <c r="J290" s="23">
        <v>375</v>
      </c>
      <c r="K290" s="30">
        <v>13116.89847715736</v>
      </c>
    </row>
    <row r="291" spans="2:11">
      <c r="B291" s="23">
        <f t="shared" ca="1" si="20"/>
        <v>0.76340316185692003</v>
      </c>
      <c r="C291" s="23">
        <f t="shared" ca="1" si="24"/>
        <v>366</v>
      </c>
      <c r="D291" s="23">
        <f t="shared" si="21"/>
        <v>290</v>
      </c>
      <c r="E291" s="23">
        <f t="shared" ca="1" si="22"/>
        <v>290</v>
      </c>
      <c r="F291" s="27">
        <v>65</v>
      </c>
      <c r="G291" s="27">
        <v>135</v>
      </c>
      <c r="H291" s="28">
        <f t="shared" ca="1" si="23"/>
        <v>20300</v>
      </c>
      <c r="J291" s="23">
        <v>376</v>
      </c>
      <c r="K291" s="30">
        <v>12730.913705583756</v>
      </c>
    </row>
    <row r="292" spans="2:11">
      <c r="B292" s="23">
        <f t="shared" ca="1" si="20"/>
        <v>0.61356744503614358</v>
      </c>
      <c r="C292" s="23">
        <f t="shared" ca="1" si="24"/>
        <v>320</v>
      </c>
      <c r="D292" s="23">
        <f t="shared" si="21"/>
        <v>290</v>
      </c>
      <c r="E292" s="23">
        <f t="shared" ca="1" si="22"/>
        <v>290</v>
      </c>
      <c r="F292" s="27">
        <v>65</v>
      </c>
      <c r="G292" s="27">
        <v>135</v>
      </c>
      <c r="H292" s="28">
        <f t="shared" ca="1" si="23"/>
        <v>20300</v>
      </c>
      <c r="J292" s="23">
        <v>377</v>
      </c>
      <c r="K292" s="30">
        <v>12479.517766497462</v>
      </c>
    </row>
    <row r="293" spans="2:11">
      <c r="B293" s="23">
        <f t="shared" ca="1" si="20"/>
        <v>0.99862156624908893</v>
      </c>
      <c r="C293" s="23">
        <f t="shared" ca="1" si="24"/>
        <v>607</v>
      </c>
      <c r="D293" s="23">
        <f t="shared" si="21"/>
        <v>290</v>
      </c>
      <c r="E293" s="23">
        <f t="shared" ca="1" si="22"/>
        <v>290</v>
      </c>
      <c r="F293" s="27">
        <v>65</v>
      </c>
      <c r="G293" s="27">
        <v>135</v>
      </c>
      <c r="H293" s="28">
        <f t="shared" ca="1" si="23"/>
        <v>20300</v>
      </c>
      <c r="J293" s="23">
        <v>378</v>
      </c>
      <c r="K293" s="30">
        <v>13000.568527918782</v>
      </c>
    </row>
    <row r="294" spans="2:11">
      <c r="B294" s="23">
        <f t="shared" ca="1" si="20"/>
        <v>0.20721236738697124</v>
      </c>
      <c r="C294" s="23">
        <f t="shared" ca="1" si="24"/>
        <v>203</v>
      </c>
      <c r="D294" s="23">
        <f t="shared" si="21"/>
        <v>290</v>
      </c>
      <c r="E294" s="23">
        <f t="shared" ca="1" si="22"/>
        <v>203</v>
      </c>
      <c r="F294" s="27">
        <v>65</v>
      </c>
      <c r="G294" s="27">
        <v>135</v>
      </c>
      <c r="H294" s="28">
        <f t="shared" ca="1" si="23"/>
        <v>8555</v>
      </c>
      <c r="J294" s="23">
        <v>379</v>
      </c>
      <c r="K294" s="30">
        <v>13303.97461928934</v>
      </c>
    </row>
    <row r="295" spans="2:11">
      <c r="B295" s="23">
        <f t="shared" ca="1" si="20"/>
        <v>0.41653660685861926</v>
      </c>
      <c r="C295" s="23">
        <f t="shared" ca="1" si="24"/>
        <v>267</v>
      </c>
      <c r="D295" s="23">
        <f t="shared" si="21"/>
        <v>290</v>
      </c>
      <c r="E295" s="23">
        <f t="shared" ca="1" si="22"/>
        <v>267</v>
      </c>
      <c r="F295" s="27">
        <v>65</v>
      </c>
      <c r="G295" s="27">
        <v>135</v>
      </c>
      <c r="H295" s="28">
        <f t="shared" ca="1" si="23"/>
        <v>17195</v>
      </c>
      <c r="J295" s="23">
        <v>380</v>
      </c>
      <c r="K295" s="30">
        <v>12386.89847715736</v>
      </c>
    </row>
    <row r="296" spans="2:11">
      <c r="B296" s="23">
        <f t="shared" ca="1" si="20"/>
        <v>3.7679930620465263E-2</v>
      </c>
      <c r="C296" s="23">
        <f t="shared" ca="1" si="24"/>
        <v>101</v>
      </c>
      <c r="D296" s="23">
        <f t="shared" si="21"/>
        <v>290</v>
      </c>
      <c r="E296" s="23">
        <f t="shared" ca="1" si="22"/>
        <v>101</v>
      </c>
      <c r="F296" s="27">
        <v>65</v>
      </c>
      <c r="G296" s="27">
        <v>135</v>
      </c>
      <c r="H296" s="28">
        <f t="shared" ca="1" si="23"/>
        <v>-5215</v>
      </c>
      <c r="J296" s="23">
        <v>381</v>
      </c>
      <c r="K296" s="30">
        <v>12870.121827411167</v>
      </c>
    </row>
    <row r="297" spans="2:11">
      <c r="B297" s="23">
        <f t="shared" ca="1" si="20"/>
        <v>0.76808613332673092</v>
      </c>
      <c r="C297" s="23">
        <f t="shared" ca="1" si="24"/>
        <v>367</v>
      </c>
      <c r="D297" s="23">
        <f t="shared" si="21"/>
        <v>290</v>
      </c>
      <c r="E297" s="23">
        <f t="shared" ca="1" si="22"/>
        <v>290</v>
      </c>
      <c r="F297" s="27">
        <v>65</v>
      </c>
      <c r="G297" s="27">
        <v>135</v>
      </c>
      <c r="H297" s="28">
        <f t="shared" ca="1" si="23"/>
        <v>20300</v>
      </c>
      <c r="J297" s="23">
        <v>382</v>
      </c>
      <c r="K297" s="30">
        <v>12364.624365482234</v>
      </c>
    </row>
    <row r="298" spans="2:11">
      <c r="B298" s="23">
        <f t="shared" ca="1" si="20"/>
        <v>0.52356687971595739</v>
      </c>
      <c r="C298" s="23">
        <f t="shared" ca="1" si="24"/>
        <v>296</v>
      </c>
      <c r="D298" s="23">
        <f t="shared" si="21"/>
        <v>290</v>
      </c>
      <c r="E298" s="23">
        <f t="shared" ca="1" si="22"/>
        <v>290</v>
      </c>
      <c r="F298" s="27">
        <v>65</v>
      </c>
      <c r="G298" s="27">
        <v>135</v>
      </c>
      <c r="H298" s="28">
        <f t="shared" ca="1" si="23"/>
        <v>20300</v>
      </c>
      <c r="J298" s="23">
        <v>383</v>
      </c>
      <c r="K298" s="30">
        <v>12304.558375634519</v>
      </c>
    </row>
    <row r="299" spans="2:11">
      <c r="B299" s="23">
        <f t="shared" ca="1" si="20"/>
        <v>6.8102626813944078E-2</v>
      </c>
      <c r="C299" s="23">
        <f t="shared" ca="1" si="24"/>
        <v>132</v>
      </c>
      <c r="D299" s="23">
        <f t="shared" si="21"/>
        <v>290</v>
      </c>
      <c r="E299" s="23">
        <f t="shared" ca="1" si="22"/>
        <v>132</v>
      </c>
      <c r="F299" s="27">
        <v>65</v>
      </c>
      <c r="G299" s="27">
        <v>135</v>
      </c>
      <c r="H299" s="28">
        <f t="shared" ca="1" si="23"/>
        <v>-1030</v>
      </c>
      <c r="J299" s="23">
        <v>384</v>
      </c>
      <c r="K299" s="30">
        <v>12445.416243654823</v>
      </c>
    </row>
    <row r="300" spans="2:11">
      <c r="B300" s="23">
        <f t="shared" ca="1" si="20"/>
        <v>0.91537607355215012</v>
      </c>
      <c r="C300" s="23">
        <f t="shared" ca="1" si="24"/>
        <v>435</v>
      </c>
      <c r="D300" s="23">
        <f t="shared" si="21"/>
        <v>290</v>
      </c>
      <c r="E300" s="23">
        <f t="shared" ca="1" si="22"/>
        <v>290</v>
      </c>
      <c r="F300" s="27">
        <v>65</v>
      </c>
      <c r="G300" s="27">
        <v>135</v>
      </c>
      <c r="H300" s="28">
        <f t="shared" ca="1" si="23"/>
        <v>20300</v>
      </c>
      <c r="J300" s="23">
        <v>385</v>
      </c>
      <c r="K300" s="30">
        <v>12082.730964467006</v>
      </c>
    </row>
    <row r="301" spans="2:11">
      <c r="B301" s="23">
        <f t="shared" ca="1" si="20"/>
        <v>0.27412245880820696</v>
      </c>
      <c r="C301" s="23">
        <f t="shared" ca="1" si="24"/>
        <v>226</v>
      </c>
      <c r="D301" s="23">
        <f t="shared" si="21"/>
        <v>290</v>
      </c>
      <c r="E301" s="23">
        <f t="shared" ca="1" si="22"/>
        <v>226</v>
      </c>
      <c r="F301" s="27">
        <v>65</v>
      </c>
      <c r="G301" s="27">
        <v>135</v>
      </c>
      <c r="H301" s="28">
        <f t="shared" ca="1" si="23"/>
        <v>11660</v>
      </c>
      <c r="J301" s="23">
        <v>386</v>
      </c>
      <c r="K301" s="30">
        <v>11846.959390862945</v>
      </c>
    </row>
    <row r="302" spans="2:11">
      <c r="B302" s="23">
        <f t="shared" ca="1" si="20"/>
        <v>0.30837995999736267</v>
      </c>
      <c r="C302" s="23">
        <f t="shared" ca="1" si="24"/>
        <v>237</v>
      </c>
      <c r="D302" s="23">
        <f t="shared" si="21"/>
        <v>290</v>
      </c>
      <c r="E302" s="23">
        <f t="shared" ca="1" si="22"/>
        <v>237</v>
      </c>
      <c r="F302" s="27">
        <v>65</v>
      </c>
      <c r="G302" s="27">
        <v>135</v>
      </c>
      <c r="H302" s="28">
        <f t="shared" ca="1" si="23"/>
        <v>13145</v>
      </c>
      <c r="J302" s="23">
        <v>387</v>
      </c>
      <c r="K302" s="30">
        <v>12834.548223350253</v>
      </c>
    </row>
    <row r="303" spans="2:11">
      <c r="B303" s="23">
        <f t="shared" ca="1" si="20"/>
        <v>0.18739423492787055</v>
      </c>
      <c r="C303" s="23">
        <f t="shared" ca="1" si="24"/>
        <v>196</v>
      </c>
      <c r="D303" s="23">
        <f t="shared" si="21"/>
        <v>290</v>
      </c>
      <c r="E303" s="23">
        <f t="shared" ca="1" si="22"/>
        <v>196</v>
      </c>
      <c r="F303" s="27">
        <v>65</v>
      </c>
      <c r="G303" s="27">
        <v>135</v>
      </c>
      <c r="H303" s="28">
        <f t="shared" ca="1" si="23"/>
        <v>7610</v>
      </c>
      <c r="J303" s="23">
        <v>388</v>
      </c>
      <c r="K303" s="30">
        <v>12509.827411167513</v>
      </c>
    </row>
    <row r="304" spans="2:11">
      <c r="B304" s="23">
        <f t="shared" ca="1" si="20"/>
        <v>0.26318803902415688</v>
      </c>
      <c r="C304" s="23">
        <f t="shared" ca="1" si="24"/>
        <v>222</v>
      </c>
      <c r="D304" s="23">
        <f t="shared" si="21"/>
        <v>290</v>
      </c>
      <c r="E304" s="23">
        <f t="shared" ca="1" si="22"/>
        <v>222</v>
      </c>
      <c r="F304" s="27">
        <v>65</v>
      </c>
      <c r="G304" s="27">
        <v>135</v>
      </c>
      <c r="H304" s="28">
        <f t="shared" ca="1" si="23"/>
        <v>11120</v>
      </c>
      <c r="J304" s="23">
        <v>389</v>
      </c>
      <c r="K304" s="30">
        <v>12245.959390862945</v>
      </c>
    </row>
    <row r="305" spans="2:11">
      <c r="B305" s="23">
        <f t="shared" ca="1" si="20"/>
        <v>0.8250176909577398</v>
      </c>
      <c r="C305" s="23">
        <f t="shared" ca="1" si="24"/>
        <v>389</v>
      </c>
      <c r="D305" s="23">
        <f t="shared" si="21"/>
        <v>290</v>
      </c>
      <c r="E305" s="23">
        <f t="shared" ca="1" si="22"/>
        <v>290</v>
      </c>
      <c r="F305" s="27">
        <v>65</v>
      </c>
      <c r="G305" s="27">
        <v>135</v>
      </c>
      <c r="H305" s="28">
        <f t="shared" ca="1" si="23"/>
        <v>20300</v>
      </c>
      <c r="J305" s="23">
        <v>390</v>
      </c>
      <c r="K305" s="30">
        <v>12647.634517766497</v>
      </c>
    </row>
    <row r="306" spans="2:11">
      <c r="B306" s="23">
        <f t="shared" ca="1" si="20"/>
        <v>0.70925575200148772</v>
      </c>
      <c r="C306" s="23">
        <f t="shared" ca="1" si="24"/>
        <v>348</v>
      </c>
      <c r="D306" s="23">
        <f t="shared" si="21"/>
        <v>290</v>
      </c>
      <c r="E306" s="23">
        <f t="shared" ca="1" si="22"/>
        <v>290</v>
      </c>
      <c r="F306" s="27">
        <v>65</v>
      </c>
      <c r="G306" s="27">
        <v>135</v>
      </c>
      <c r="H306" s="28">
        <f t="shared" ca="1" si="23"/>
        <v>20300</v>
      </c>
      <c r="J306" s="23">
        <v>391</v>
      </c>
      <c r="K306" s="30">
        <v>11916.680203045686</v>
      </c>
    </row>
    <row r="307" spans="2:11">
      <c r="B307" s="23">
        <f t="shared" ca="1" si="20"/>
        <v>0.16926998640248336</v>
      </c>
      <c r="C307" s="23">
        <f t="shared" ca="1" si="24"/>
        <v>188</v>
      </c>
      <c r="D307" s="23">
        <f t="shared" si="21"/>
        <v>290</v>
      </c>
      <c r="E307" s="23">
        <f t="shared" ca="1" si="22"/>
        <v>188</v>
      </c>
      <c r="F307" s="27">
        <v>65</v>
      </c>
      <c r="G307" s="27">
        <v>135</v>
      </c>
      <c r="H307" s="28">
        <f t="shared" ca="1" si="23"/>
        <v>6530</v>
      </c>
      <c r="J307" s="23">
        <v>392</v>
      </c>
      <c r="K307" s="30">
        <v>12191.304568527919</v>
      </c>
    </row>
    <row r="308" spans="2:11">
      <c r="B308" s="23">
        <f t="shared" ca="1" si="20"/>
        <v>0.83112289518377613</v>
      </c>
      <c r="C308" s="23">
        <f t="shared" ca="1" si="24"/>
        <v>391</v>
      </c>
      <c r="D308" s="23">
        <f t="shared" si="21"/>
        <v>290</v>
      </c>
      <c r="E308" s="23">
        <f t="shared" ca="1" si="22"/>
        <v>290</v>
      </c>
      <c r="F308" s="27">
        <v>65</v>
      </c>
      <c r="G308" s="27">
        <v>135</v>
      </c>
      <c r="H308" s="28">
        <f t="shared" ca="1" si="23"/>
        <v>20300</v>
      </c>
      <c r="J308" s="23">
        <v>393</v>
      </c>
      <c r="K308" s="30">
        <v>12272.543147208122</v>
      </c>
    </row>
    <row r="309" spans="2:11">
      <c r="B309" s="23">
        <f t="shared" ca="1" si="20"/>
        <v>0.95863054645397694</v>
      </c>
      <c r="C309" s="23">
        <f t="shared" ca="1" si="24"/>
        <v>473</v>
      </c>
      <c r="D309" s="23">
        <f t="shared" si="21"/>
        <v>290</v>
      </c>
      <c r="E309" s="23">
        <f t="shared" ca="1" si="22"/>
        <v>290</v>
      </c>
      <c r="F309" s="27">
        <v>65</v>
      </c>
      <c r="G309" s="27">
        <v>135</v>
      </c>
      <c r="H309" s="28">
        <f t="shared" ca="1" si="23"/>
        <v>20300</v>
      </c>
      <c r="J309" s="23">
        <v>394</v>
      </c>
      <c r="K309" s="30">
        <v>12418.609137055837</v>
      </c>
    </row>
    <row r="310" spans="2:11">
      <c r="B310" s="23">
        <f t="shared" ca="1" si="20"/>
        <v>0.68515945666322864</v>
      </c>
      <c r="C310" s="23">
        <f t="shared" ca="1" si="24"/>
        <v>341</v>
      </c>
      <c r="D310" s="23">
        <f t="shared" si="21"/>
        <v>290</v>
      </c>
      <c r="E310" s="23">
        <f t="shared" ca="1" si="22"/>
        <v>290</v>
      </c>
      <c r="F310" s="27">
        <v>65</v>
      </c>
      <c r="G310" s="27">
        <v>135</v>
      </c>
      <c r="H310" s="28">
        <f t="shared" ca="1" si="23"/>
        <v>20300</v>
      </c>
      <c r="J310" s="23">
        <v>395</v>
      </c>
      <c r="K310" s="30">
        <v>11916.53807106599</v>
      </c>
    </row>
    <row r="311" spans="2:11">
      <c r="B311" s="23">
        <f t="shared" ca="1" si="20"/>
        <v>0.71525117131916827</v>
      </c>
      <c r="C311" s="23">
        <f t="shared" ca="1" si="24"/>
        <v>350</v>
      </c>
      <c r="D311" s="23">
        <f t="shared" si="21"/>
        <v>290</v>
      </c>
      <c r="E311" s="23">
        <f t="shared" ca="1" si="22"/>
        <v>290</v>
      </c>
      <c r="F311" s="27">
        <v>65</v>
      </c>
      <c r="G311" s="27">
        <v>135</v>
      </c>
      <c r="H311" s="28">
        <f t="shared" ca="1" si="23"/>
        <v>20300</v>
      </c>
      <c r="J311" s="23">
        <v>396</v>
      </c>
      <c r="K311" s="30">
        <v>12298.065989847715</v>
      </c>
    </row>
    <row r="312" spans="2:11">
      <c r="B312" s="23">
        <f t="shared" ca="1" si="20"/>
        <v>0.14831052660717503</v>
      </c>
      <c r="C312" s="23">
        <f t="shared" ca="1" si="24"/>
        <v>179</v>
      </c>
      <c r="D312" s="23">
        <f t="shared" si="21"/>
        <v>290</v>
      </c>
      <c r="E312" s="23">
        <f t="shared" ca="1" si="22"/>
        <v>179</v>
      </c>
      <c r="F312" s="27">
        <v>65</v>
      </c>
      <c r="G312" s="27">
        <v>135</v>
      </c>
      <c r="H312" s="28">
        <f t="shared" ca="1" si="23"/>
        <v>5315</v>
      </c>
      <c r="J312" s="23">
        <v>397</v>
      </c>
      <c r="K312" s="30">
        <v>11551.624365482234</v>
      </c>
    </row>
    <row r="313" spans="2:11">
      <c r="B313" s="23">
        <f t="shared" ca="1" si="20"/>
        <v>0.76422667968294244</v>
      </c>
      <c r="C313" s="23">
        <f t="shared" ca="1" si="24"/>
        <v>366</v>
      </c>
      <c r="D313" s="23">
        <f t="shared" si="21"/>
        <v>290</v>
      </c>
      <c r="E313" s="23">
        <f t="shared" ca="1" si="22"/>
        <v>290</v>
      </c>
      <c r="F313" s="27">
        <v>65</v>
      </c>
      <c r="G313" s="27">
        <v>135</v>
      </c>
      <c r="H313" s="28">
        <f t="shared" ca="1" si="23"/>
        <v>20300</v>
      </c>
      <c r="J313" s="23">
        <v>398</v>
      </c>
      <c r="K313" s="30">
        <v>11929.862944162436</v>
      </c>
    </row>
    <row r="314" spans="2:11">
      <c r="B314" s="23">
        <f t="shared" ca="1" si="20"/>
        <v>0.8191452312930203</v>
      </c>
      <c r="C314" s="23">
        <f t="shared" ca="1" si="24"/>
        <v>386</v>
      </c>
      <c r="D314" s="23">
        <f t="shared" si="21"/>
        <v>290</v>
      </c>
      <c r="E314" s="23">
        <f t="shared" ca="1" si="22"/>
        <v>290</v>
      </c>
      <c r="F314" s="27">
        <v>65</v>
      </c>
      <c r="G314" s="27">
        <v>135</v>
      </c>
      <c r="H314" s="28">
        <f t="shared" ca="1" si="23"/>
        <v>20300</v>
      </c>
      <c r="J314" s="23">
        <v>399</v>
      </c>
      <c r="K314" s="30">
        <v>12506.558375634519</v>
      </c>
    </row>
    <row r="315" spans="2:11">
      <c r="B315" s="23">
        <f t="shared" ca="1" si="20"/>
        <v>0.6427416846735694</v>
      </c>
      <c r="C315" s="23">
        <f t="shared" ca="1" si="24"/>
        <v>328</v>
      </c>
      <c r="D315" s="23">
        <f t="shared" si="21"/>
        <v>290</v>
      </c>
      <c r="E315" s="23">
        <f t="shared" ca="1" si="22"/>
        <v>290</v>
      </c>
      <c r="F315" s="27">
        <v>65</v>
      </c>
      <c r="G315" s="27">
        <v>135</v>
      </c>
      <c r="H315" s="28">
        <f t="shared" ca="1" si="23"/>
        <v>20300</v>
      </c>
      <c r="J315" s="23">
        <v>400</v>
      </c>
      <c r="K315" s="30">
        <v>12422.507614213198</v>
      </c>
    </row>
    <row r="316" spans="2:11">
      <c r="B316" s="23">
        <f t="shared" ca="1" si="20"/>
        <v>2.2941645412273615E-2</v>
      </c>
      <c r="C316" s="23">
        <f t="shared" ca="1" si="24"/>
        <v>78</v>
      </c>
      <c r="D316" s="23">
        <f t="shared" si="21"/>
        <v>290</v>
      </c>
      <c r="E316" s="23">
        <f t="shared" ca="1" si="22"/>
        <v>78</v>
      </c>
      <c r="F316" s="27">
        <v>65</v>
      </c>
      <c r="G316" s="27">
        <v>135</v>
      </c>
      <c r="H316" s="28">
        <f t="shared" ca="1" si="23"/>
        <v>-8320</v>
      </c>
      <c r="J316" s="23">
        <v>401</v>
      </c>
      <c r="K316" s="30">
        <v>11346.583756345177</v>
      </c>
    </row>
    <row r="317" spans="2:11">
      <c r="B317" s="23">
        <f t="shared" ca="1" si="20"/>
        <v>0.94670894803142591</v>
      </c>
      <c r="C317" s="23">
        <f t="shared" ca="1" si="24"/>
        <v>461</v>
      </c>
      <c r="D317" s="23">
        <f t="shared" si="21"/>
        <v>290</v>
      </c>
      <c r="E317" s="23">
        <f t="shared" ca="1" si="22"/>
        <v>290</v>
      </c>
      <c r="F317" s="27">
        <v>65</v>
      </c>
      <c r="G317" s="27">
        <v>135</v>
      </c>
      <c r="H317" s="28">
        <f t="shared" ca="1" si="23"/>
        <v>20300</v>
      </c>
      <c r="J317" s="23">
        <v>402</v>
      </c>
      <c r="K317" s="30">
        <v>11857.492385786802</v>
      </c>
    </row>
    <row r="318" spans="2:11">
      <c r="B318" s="23">
        <f t="shared" ca="1" si="20"/>
        <v>0.80510011224317457</v>
      </c>
      <c r="C318" s="23">
        <f t="shared" ca="1" si="24"/>
        <v>381</v>
      </c>
      <c r="D318" s="23">
        <f t="shared" si="21"/>
        <v>290</v>
      </c>
      <c r="E318" s="23">
        <f t="shared" ca="1" si="22"/>
        <v>290</v>
      </c>
      <c r="F318" s="27">
        <v>65</v>
      </c>
      <c r="G318" s="27">
        <v>135</v>
      </c>
      <c r="H318" s="28">
        <f t="shared" ca="1" si="23"/>
        <v>20300</v>
      </c>
      <c r="J318" s="23">
        <v>403</v>
      </c>
      <c r="K318" s="30">
        <v>11785.365482233503</v>
      </c>
    </row>
    <row r="319" spans="2:11">
      <c r="B319" s="23">
        <f t="shared" ca="1" si="20"/>
        <v>0.95313574474598173</v>
      </c>
      <c r="C319" s="23">
        <f t="shared" ca="1" si="24"/>
        <v>467</v>
      </c>
      <c r="D319" s="23">
        <f t="shared" si="21"/>
        <v>290</v>
      </c>
      <c r="E319" s="23">
        <f t="shared" ca="1" si="22"/>
        <v>290</v>
      </c>
      <c r="F319" s="27">
        <v>65</v>
      </c>
      <c r="G319" s="27">
        <v>135</v>
      </c>
      <c r="H319" s="28">
        <f t="shared" ca="1" si="23"/>
        <v>20300</v>
      </c>
      <c r="J319" s="23">
        <v>404</v>
      </c>
      <c r="K319" s="30">
        <v>11432.822335025381</v>
      </c>
    </row>
    <row r="320" spans="2:11">
      <c r="B320" s="23">
        <f t="shared" ca="1" si="20"/>
        <v>0.54084924180174232</v>
      </c>
      <c r="C320" s="23">
        <f t="shared" ca="1" si="24"/>
        <v>300</v>
      </c>
      <c r="D320" s="23">
        <f t="shared" si="21"/>
        <v>290</v>
      </c>
      <c r="E320" s="23">
        <f t="shared" ca="1" si="22"/>
        <v>290</v>
      </c>
      <c r="F320" s="27">
        <v>65</v>
      </c>
      <c r="G320" s="27">
        <v>135</v>
      </c>
      <c r="H320" s="28">
        <f t="shared" ca="1" si="23"/>
        <v>20300</v>
      </c>
      <c r="J320" s="23">
        <v>405</v>
      </c>
      <c r="K320" s="30">
        <v>11447.177664974619</v>
      </c>
    </row>
    <row r="321" spans="2:11">
      <c r="B321" s="23">
        <f t="shared" ca="1" si="20"/>
        <v>0.63021478772543094</v>
      </c>
      <c r="C321" s="23">
        <f t="shared" ca="1" si="24"/>
        <v>325</v>
      </c>
      <c r="D321" s="23">
        <f t="shared" si="21"/>
        <v>290</v>
      </c>
      <c r="E321" s="23">
        <f t="shared" ca="1" si="22"/>
        <v>290</v>
      </c>
      <c r="F321" s="27">
        <v>65</v>
      </c>
      <c r="G321" s="27">
        <v>135</v>
      </c>
      <c r="H321" s="28">
        <f t="shared" ca="1" si="23"/>
        <v>20300</v>
      </c>
      <c r="J321" s="23">
        <v>406</v>
      </c>
      <c r="K321" s="30">
        <v>11641.761421319798</v>
      </c>
    </row>
    <row r="322" spans="2:11">
      <c r="B322" s="23">
        <f t="shared" ca="1" si="20"/>
        <v>0.83934918347880372</v>
      </c>
      <c r="C322" s="23">
        <f t="shared" ca="1" si="24"/>
        <v>395</v>
      </c>
      <c r="D322" s="23">
        <f t="shared" si="21"/>
        <v>290</v>
      </c>
      <c r="E322" s="23">
        <f t="shared" ca="1" si="22"/>
        <v>290</v>
      </c>
      <c r="F322" s="27">
        <v>65</v>
      </c>
      <c r="G322" s="27">
        <v>135</v>
      </c>
      <c r="H322" s="28">
        <f t="shared" ca="1" si="23"/>
        <v>20300</v>
      </c>
      <c r="J322" s="23">
        <v>407</v>
      </c>
      <c r="K322" s="30">
        <v>11825.380710659898</v>
      </c>
    </row>
    <row r="323" spans="2:11">
      <c r="B323" s="23">
        <f t="shared" ca="1" si="20"/>
        <v>0.23130375337867093</v>
      </c>
      <c r="C323" s="23">
        <f t="shared" ca="1" si="24"/>
        <v>212</v>
      </c>
      <c r="D323" s="23">
        <f t="shared" si="21"/>
        <v>290</v>
      </c>
      <c r="E323" s="23">
        <f t="shared" ca="1" si="22"/>
        <v>212</v>
      </c>
      <c r="F323" s="27">
        <v>65</v>
      </c>
      <c r="G323" s="27">
        <v>135</v>
      </c>
      <c r="H323" s="28">
        <f t="shared" ca="1" si="23"/>
        <v>9770</v>
      </c>
      <c r="J323" s="23">
        <v>408</v>
      </c>
      <c r="K323" s="30">
        <v>11378.269035532994</v>
      </c>
    </row>
    <row r="324" spans="2:11">
      <c r="B324" s="23">
        <f t="shared" ca="1" si="20"/>
        <v>0.3237844335709662</v>
      </c>
      <c r="C324" s="23">
        <f t="shared" ca="1" si="24"/>
        <v>241</v>
      </c>
      <c r="D324" s="23">
        <f t="shared" si="21"/>
        <v>290</v>
      </c>
      <c r="E324" s="23">
        <f t="shared" ca="1" si="22"/>
        <v>241</v>
      </c>
      <c r="F324" s="27">
        <v>65</v>
      </c>
      <c r="G324" s="27">
        <v>135</v>
      </c>
      <c r="H324" s="28">
        <f t="shared" ca="1" si="23"/>
        <v>13685</v>
      </c>
      <c r="J324" s="23">
        <v>409</v>
      </c>
      <c r="K324" s="30">
        <v>11399.751269035532</v>
      </c>
    </row>
    <row r="325" spans="2:11">
      <c r="B325" s="23">
        <f t="shared" ca="1" si="20"/>
        <v>0.73575421434218868</v>
      </c>
      <c r="C325" s="23">
        <f t="shared" ca="1" si="24"/>
        <v>356</v>
      </c>
      <c r="D325" s="23">
        <f t="shared" si="21"/>
        <v>290</v>
      </c>
      <c r="E325" s="23">
        <f t="shared" ca="1" si="22"/>
        <v>290</v>
      </c>
      <c r="F325" s="27">
        <v>65</v>
      </c>
      <c r="G325" s="27">
        <v>135</v>
      </c>
      <c r="H325" s="28">
        <f t="shared" ca="1" si="23"/>
        <v>20300</v>
      </c>
      <c r="J325" s="23">
        <v>410</v>
      </c>
      <c r="K325" s="30">
        <v>11915.868020304568</v>
      </c>
    </row>
    <row r="326" spans="2:11">
      <c r="B326" s="23">
        <f t="shared" ca="1" si="20"/>
        <v>0.24359771659151985</v>
      </c>
      <c r="C326" s="23">
        <f t="shared" ca="1" si="24"/>
        <v>216</v>
      </c>
      <c r="D326" s="23">
        <f t="shared" si="21"/>
        <v>290</v>
      </c>
      <c r="E326" s="23">
        <f t="shared" ca="1" si="22"/>
        <v>216</v>
      </c>
      <c r="F326" s="27">
        <v>65</v>
      </c>
      <c r="G326" s="27">
        <v>135</v>
      </c>
      <c r="H326" s="28">
        <f t="shared" ca="1" si="23"/>
        <v>10310</v>
      </c>
      <c r="J326" s="23">
        <v>411</v>
      </c>
      <c r="K326" s="30">
        <v>12272.451776649747</v>
      </c>
    </row>
    <row r="327" spans="2:11">
      <c r="B327" s="23">
        <f t="shared" ca="1" si="20"/>
        <v>0.17282997223748564</v>
      </c>
      <c r="C327" s="23">
        <f t="shared" ca="1" si="24"/>
        <v>190</v>
      </c>
      <c r="D327" s="23">
        <f t="shared" si="21"/>
        <v>290</v>
      </c>
      <c r="E327" s="23">
        <f t="shared" ca="1" si="22"/>
        <v>190</v>
      </c>
      <c r="F327" s="27">
        <v>65</v>
      </c>
      <c r="G327" s="27">
        <v>135</v>
      </c>
      <c r="H327" s="28">
        <f t="shared" ca="1" si="23"/>
        <v>6800</v>
      </c>
      <c r="J327" s="23">
        <v>412</v>
      </c>
      <c r="K327" s="30">
        <v>11843.979695431472</v>
      </c>
    </row>
    <row r="328" spans="2:11">
      <c r="B328" s="23">
        <f t="shared" ca="1" si="20"/>
        <v>0.84439709484876202</v>
      </c>
      <c r="C328" s="23">
        <f t="shared" ca="1" si="24"/>
        <v>397</v>
      </c>
      <c r="D328" s="23">
        <f t="shared" si="21"/>
        <v>290</v>
      </c>
      <c r="E328" s="23">
        <f t="shared" ca="1" si="22"/>
        <v>290</v>
      </c>
      <c r="F328" s="27">
        <v>65</v>
      </c>
      <c r="G328" s="27">
        <v>135</v>
      </c>
      <c r="H328" s="28">
        <f t="shared" ca="1" si="23"/>
        <v>20300</v>
      </c>
      <c r="J328" s="23">
        <v>413</v>
      </c>
      <c r="K328" s="30">
        <v>11255.426395939086</v>
      </c>
    </row>
    <row r="329" spans="2:11">
      <c r="B329" s="23">
        <f t="shared" ca="1" si="20"/>
        <v>4.6350425393947625E-2</v>
      </c>
      <c r="C329" s="23">
        <f t="shared" ca="1" si="24"/>
        <v>111</v>
      </c>
      <c r="D329" s="23">
        <f t="shared" si="21"/>
        <v>290</v>
      </c>
      <c r="E329" s="23">
        <f t="shared" ca="1" si="22"/>
        <v>111</v>
      </c>
      <c r="F329" s="27">
        <v>65</v>
      </c>
      <c r="G329" s="27">
        <v>135</v>
      </c>
      <c r="H329" s="28">
        <f t="shared" ca="1" si="23"/>
        <v>-3865</v>
      </c>
      <c r="J329" s="23">
        <v>414</v>
      </c>
      <c r="K329" s="30">
        <v>11484.274111675128</v>
      </c>
    </row>
    <row r="330" spans="2:11">
      <c r="B330" s="23">
        <f t="shared" ca="1" si="20"/>
        <v>0.80557747634733667</v>
      </c>
      <c r="C330" s="23">
        <f t="shared" ca="1" si="24"/>
        <v>381</v>
      </c>
      <c r="D330" s="23">
        <f t="shared" si="21"/>
        <v>290</v>
      </c>
      <c r="E330" s="23">
        <f t="shared" ca="1" si="22"/>
        <v>290</v>
      </c>
      <c r="F330" s="27">
        <v>65</v>
      </c>
      <c r="G330" s="27">
        <v>135</v>
      </c>
      <c r="H330" s="28">
        <f t="shared" ca="1" si="23"/>
        <v>20300</v>
      </c>
      <c r="J330" s="23">
        <v>415</v>
      </c>
      <c r="K330" s="30">
        <v>11696.126903553299</v>
      </c>
    </row>
    <row r="331" spans="2:11">
      <c r="B331" s="23">
        <f t="shared" ca="1" si="20"/>
        <v>0.30388252381948577</v>
      </c>
      <c r="C331" s="23">
        <f t="shared" ca="1" si="24"/>
        <v>235</v>
      </c>
      <c r="D331" s="23">
        <f t="shared" si="21"/>
        <v>290</v>
      </c>
      <c r="E331" s="23">
        <f t="shared" ca="1" si="22"/>
        <v>235</v>
      </c>
      <c r="F331" s="27">
        <v>65</v>
      </c>
      <c r="G331" s="27">
        <v>135</v>
      </c>
      <c r="H331" s="28">
        <f t="shared" ca="1" si="23"/>
        <v>12875</v>
      </c>
      <c r="J331" s="23">
        <v>416</v>
      </c>
      <c r="K331" s="30">
        <v>11081.944162436548</v>
      </c>
    </row>
    <row r="332" spans="2:11">
      <c r="B332" s="23">
        <f t="shared" ca="1" si="20"/>
        <v>0.77967865999174024</v>
      </c>
      <c r="C332" s="23">
        <f t="shared" ca="1" si="24"/>
        <v>371</v>
      </c>
      <c r="D332" s="23">
        <f t="shared" si="21"/>
        <v>290</v>
      </c>
      <c r="E332" s="23">
        <f t="shared" ca="1" si="22"/>
        <v>290</v>
      </c>
      <c r="F332" s="27">
        <v>65</v>
      </c>
      <c r="G332" s="27">
        <v>135</v>
      </c>
      <c r="H332" s="28">
        <f t="shared" ca="1" si="23"/>
        <v>20300</v>
      </c>
      <c r="J332" s="23">
        <v>417</v>
      </c>
      <c r="K332" s="30">
        <v>11047.507614213198</v>
      </c>
    </row>
    <row r="333" spans="2:11">
      <c r="B333" s="23">
        <f t="shared" ca="1" si="20"/>
        <v>0.31137747632444823</v>
      </c>
      <c r="C333" s="23">
        <f t="shared" ca="1" si="24"/>
        <v>237</v>
      </c>
      <c r="D333" s="23">
        <f t="shared" si="21"/>
        <v>290</v>
      </c>
      <c r="E333" s="23">
        <f t="shared" ca="1" si="22"/>
        <v>237</v>
      </c>
      <c r="F333" s="27">
        <v>65</v>
      </c>
      <c r="G333" s="27">
        <v>135</v>
      </c>
      <c r="H333" s="28">
        <f t="shared" ca="1" si="23"/>
        <v>13145</v>
      </c>
      <c r="J333" s="23">
        <v>418</v>
      </c>
      <c r="K333" s="30">
        <v>11302.532994923858</v>
      </c>
    </row>
    <row r="334" spans="2:11">
      <c r="B334" s="23">
        <f t="shared" ca="1" si="20"/>
        <v>0.63667963688164009</v>
      </c>
      <c r="C334" s="23">
        <f t="shared" ca="1" si="24"/>
        <v>327</v>
      </c>
      <c r="D334" s="23">
        <f t="shared" si="21"/>
        <v>290</v>
      </c>
      <c r="E334" s="23">
        <f t="shared" ca="1" si="22"/>
        <v>290</v>
      </c>
      <c r="F334" s="27">
        <v>65</v>
      </c>
      <c r="G334" s="27">
        <v>135</v>
      </c>
      <c r="H334" s="28">
        <f t="shared" ca="1" si="23"/>
        <v>20300</v>
      </c>
      <c r="J334" s="23">
        <v>419</v>
      </c>
      <c r="K334" s="30">
        <v>11855.243654822336</v>
      </c>
    </row>
    <row r="335" spans="2:11">
      <c r="B335" s="23">
        <f t="shared" ca="1" si="20"/>
        <v>0.86945782023024587</v>
      </c>
      <c r="C335" s="23">
        <f t="shared" ca="1" si="24"/>
        <v>409</v>
      </c>
      <c r="D335" s="23">
        <f t="shared" si="21"/>
        <v>290</v>
      </c>
      <c r="E335" s="23">
        <f t="shared" ca="1" si="22"/>
        <v>290</v>
      </c>
      <c r="F335" s="27">
        <v>65</v>
      </c>
      <c r="G335" s="27">
        <v>135</v>
      </c>
      <c r="H335" s="28">
        <f t="shared" ca="1" si="23"/>
        <v>20300</v>
      </c>
      <c r="J335" s="23">
        <v>420</v>
      </c>
      <c r="K335" s="30">
        <v>11405.664974619289</v>
      </c>
    </row>
    <row r="336" spans="2:11">
      <c r="B336" s="23">
        <f t="shared" ca="1" si="20"/>
        <v>0.88659418869875251</v>
      </c>
      <c r="C336" s="23">
        <f t="shared" ca="1" si="24"/>
        <v>418</v>
      </c>
      <c r="D336" s="23">
        <f t="shared" si="21"/>
        <v>290</v>
      </c>
      <c r="E336" s="23">
        <f t="shared" ca="1" si="22"/>
        <v>290</v>
      </c>
      <c r="F336" s="27">
        <v>65</v>
      </c>
      <c r="G336" s="27">
        <v>135</v>
      </c>
      <c r="H336" s="28">
        <f t="shared" ca="1" si="23"/>
        <v>20300</v>
      </c>
      <c r="J336" s="23">
        <v>421</v>
      </c>
      <c r="K336" s="30">
        <v>11194.97461928934</v>
      </c>
    </row>
    <row r="337" spans="2:11">
      <c r="B337" s="23">
        <f t="shared" ref="B337:B400" ca="1" si="25">RAND()</f>
        <v>2.8647115531547307E-2</v>
      </c>
      <c r="C337" s="23">
        <f t="shared" ca="1" si="24"/>
        <v>88</v>
      </c>
      <c r="D337" s="23">
        <f t="shared" ref="D337:D400" si="26">$B$9</f>
        <v>290</v>
      </c>
      <c r="E337" s="23">
        <f t="shared" ref="E337:E400" ca="1" si="27">_xlfn.FLOOR.MATH(MIN(C337,D337))</f>
        <v>88</v>
      </c>
      <c r="F337" s="27">
        <v>65</v>
      </c>
      <c r="G337" s="27">
        <v>135</v>
      </c>
      <c r="H337" s="28">
        <f t="shared" ref="H337:H400" ca="1" si="28">E337*G337-D337*F337</f>
        <v>-6970</v>
      </c>
      <c r="J337" s="23">
        <v>422</v>
      </c>
      <c r="K337" s="30">
        <v>10516.786802030458</v>
      </c>
    </row>
    <row r="338" spans="2:11">
      <c r="B338" s="23">
        <f t="shared" ca="1" si="25"/>
        <v>0.56238927044868581</v>
      </c>
      <c r="C338" s="23">
        <f t="shared" ref="C338:C401" ca="1" si="29">_xlfn.FLOOR.MATH(_xlfn.NORM.INV(B338,$B$6,$B$7))</f>
        <v>306</v>
      </c>
      <c r="D338" s="23">
        <f t="shared" si="26"/>
        <v>290</v>
      </c>
      <c r="E338" s="23">
        <f t="shared" ca="1" si="27"/>
        <v>290</v>
      </c>
      <c r="F338" s="27">
        <v>65</v>
      </c>
      <c r="G338" s="27">
        <v>135</v>
      </c>
      <c r="H338" s="28">
        <f t="shared" ca="1" si="28"/>
        <v>20300</v>
      </c>
      <c r="J338" s="23">
        <v>423</v>
      </c>
      <c r="K338" s="30">
        <v>10538.817258883249</v>
      </c>
    </row>
    <row r="339" spans="2:11">
      <c r="B339" s="23">
        <f t="shared" ca="1" si="25"/>
        <v>0.58066055907924963</v>
      </c>
      <c r="C339" s="23">
        <f t="shared" ca="1" si="29"/>
        <v>311</v>
      </c>
      <c r="D339" s="23">
        <f t="shared" si="26"/>
        <v>290</v>
      </c>
      <c r="E339" s="23">
        <f t="shared" ca="1" si="27"/>
        <v>290</v>
      </c>
      <c r="F339" s="27">
        <v>65</v>
      </c>
      <c r="G339" s="27">
        <v>135</v>
      </c>
      <c r="H339" s="28">
        <f t="shared" ca="1" si="28"/>
        <v>20300</v>
      </c>
      <c r="J339" s="23">
        <v>424</v>
      </c>
      <c r="K339" s="30">
        <v>11113.045685279189</v>
      </c>
    </row>
    <row r="340" spans="2:11">
      <c r="B340" s="23">
        <f t="shared" ca="1" si="25"/>
        <v>0.93270595157858727</v>
      </c>
      <c r="C340" s="23">
        <f t="shared" ca="1" si="29"/>
        <v>448</v>
      </c>
      <c r="D340" s="23">
        <f t="shared" si="26"/>
        <v>290</v>
      </c>
      <c r="E340" s="23">
        <f t="shared" ca="1" si="27"/>
        <v>290</v>
      </c>
      <c r="F340" s="27">
        <v>65</v>
      </c>
      <c r="G340" s="27">
        <v>135</v>
      </c>
      <c r="H340" s="28">
        <f t="shared" ca="1" si="28"/>
        <v>20300</v>
      </c>
      <c r="J340" s="23">
        <v>425</v>
      </c>
      <c r="K340" s="30">
        <v>10287.111675126904</v>
      </c>
    </row>
    <row r="341" spans="2:11">
      <c r="B341" s="23">
        <f t="shared" ca="1" si="25"/>
        <v>0.3345493636123269</v>
      </c>
      <c r="C341" s="23">
        <f t="shared" ca="1" si="29"/>
        <v>244</v>
      </c>
      <c r="D341" s="23">
        <f t="shared" si="26"/>
        <v>290</v>
      </c>
      <c r="E341" s="23">
        <f t="shared" ca="1" si="27"/>
        <v>244</v>
      </c>
      <c r="F341" s="27">
        <v>65</v>
      </c>
      <c r="G341" s="27">
        <v>135</v>
      </c>
      <c r="H341" s="28">
        <f t="shared" ca="1" si="28"/>
        <v>14090</v>
      </c>
      <c r="J341" s="23">
        <v>426</v>
      </c>
      <c r="K341" s="30">
        <v>11223.852791878173</v>
      </c>
    </row>
    <row r="342" spans="2:11">
      <c r="B342" s="23">
        <f t="shared" ca="1" si="25"/>
        <v>0.56849602725181947</v>
      </c>
      <c r="C342" s="23">
        <f t="shared" ca="1" si="29"/>
        <v>308</v>
      </c>
      <c r="D342" s="23">
        <f t="shared" si="26"/>
        <v>290</v>
      </c>
      <c r="E342" s="23">
        <f t="shared" ca="1" si="27"/>
        <v>290</v>
      </c>
      <c r="F342" s="27">
        <v>65</v>
      </c>
      <c r="G342" s="27">
        <v>135</v>
      </c>
      <c r="H342" s="28">
        <f t="shared" ca="1" si="28"/>
        <v>20300</v>
      </c>
      <c r="J342" s="23">
        <v>427</v>
      </c>
      <c r="K342" s="30">
        <v>11223.954314720811</v>
      </c>
    </row>
    <row r="343" spans="2:11">
      <c r="B343" s="23">
        <f t="shared" ca="1" si="25"/>
        <v>0.85154723710403157</v>
      </c>
      <c r="C343" s="23">
        <f t="shared" ca="1" si="29"/>
        <v>400</v>
      </c>
      <c r="D343" s="23">
        <f t="shared" si="26"/>
        <v>290</v>
      </c>
      <c r="E343" s="23">
        <f t="shared" ca="1" si="27"/>
        <v>290</v>
      </c>
      <c r="F343" s="27">
        <v>65</v>
      </c>
      <c r="G343" s="27">
        <v>135</v>
      </c>
      <c r="H343" s="28">
        <f t="shared" ca="1" si="28"/>
        <v>20300</v>
      </c>
      <c r="J343" s="23">
        <v>428</v>
      </c>
      <c r="K343" s="30">
        <v>11147.852791878173</v>
      </c>
    </row>
    <row r="344" spans="2:11">
      <c r="B344" s="23">
        <f t="shared" ca="1" si="25"/>
        <v>0.38012918924119599</v>
      </c>
      <c r="C344" s="23">
        <f t="shared" ca="1" si="29"/>
        <v>257</v>
      </c>
      <c r="D344" s="23">
        <f t="shared" si="26"/>
        <v>290</v>
      </c>
      <c r="E344" s="23">
        <f t="shared" ca="1" si="27"/>
        <v>257</v>
      </c>
      <c r="F344" s="27">
        <v>65</v>
      </c>
      <c r="G344" s="27">
        <v>135</v>
      </c>
      <c r="H344" s="28">
        <f t="shared" ca="1" si="28"/>
        <v>15845</v>
      </c>
      <c r="J344" s="23">
        <v>429</v>
      </c>
      <c r="K344" s="30">
        <v>11130.274111675128</v>
      </c>
    </row>
    <row r="345" spans="2:11">
      <c r="B345" s="23">
        <f t="shared" ca="1" si="25"/>
        <v>0.78458093155511088</v>
      </c>
      <c r="C345" s="23">
        <f t="shared" ca="1" si="29"/>
        <v>373</v>
      </c>
      <c r="D345" s="23">
        <f t="shared" si="26"/>
        <v>290</v>
      </c>
      <c r="E345" s="23">
        <f t="shared" ca="1" si="27"/>
        <v>290</v>
      </c>
      <c r="F345" s="27">
        <v>65</v>
      </c>
      <c r="G345" s="27">
        <v>135</v>
      </c>
      <c r="H345" s="28">
        <f t="shared" ca="1" si="28"/>
        <v>20300</v>
      </c>
      <c r="J345" s="23">
        <v>430</v>
      </c>
      <c r="K345" s="30">
        <v>10753.609137055837</v>
      </c>
    </row>
    <row r="346" spans="2:11">
      <c r="B346" s="23">
        <f t="shared" ca="1" si="25"/>
        <v>2.8414899248883185E-2</v>
      </c>
      <c r="C346" s="23">
        <f t="shared" ca="1" si="29"/>
        <v>88</v>
      </c>
      <c r="D346" s="23">
        <f t="shared" si="26"/>
        <v>290</v>
      </c>
      <c r="E346" s="23">
        <f t="shared" ca="1" si="27"/>
        <v>88</v>
      </c>
      <c r="F346" s="27">
        <v>65</v>
      </c>
      <c r="G346" s="27">
        <v>135</v>
      </c>
      <c r="H346" s="28">
        <f t="shared" ca="1" si="28"/>
        <v>-6970</v>
      </c>
      <c r="J346" s="23">
        <v>431</v>
      </c>
      <c r="K346" s="30">
        <v>10370.776649746193</v>
      </c>
    </row>
    <row r="347" spans="2:11">
      <c r="B347" s="23">
        <f t="shared" ca="1" si="25"/>
        <v>0.87470323867055977</v>
      </c>
      <c r="C347" s="23">
        <f t="shared" ca="1" si="29"/>
        <v>411</v>
      </c>
      <c r="D347" s="23">
        <f t="shared" si="26"/>
        <v>290</v>
      </c>
      <c r="E347" s="23">
        <f t="shared" ca="1" si="27"/>
        <v>290</v>
      </c>
      <c r="F347" s="27">
        <v>65</v>
      </c>
      <c r="G347" s="27">
        <v>135</v>
      </c>
      <c r="H347" s="28">
        <f t="shared" ca="1" si="28"/>
        <v>20300</v>
      </c>
      <c r="J347" s="23">
        <v>432</v>
      </c>
      <c r="K347" s="30">
        <v>10090.598984771574</v>
      </c>
    </row>
    <row r="348" spans="2:11">
      <c r="B348" s="23">
        <f t="shared" ca="1" si="25"/>
        <v>0.23395182171922402</v>
      </c>
      <c r="C348" s="23">
        <f t="shared" ca="1" si="29"/>
        <v>213</v>
      </c>
      <c r="D348" s="23">
        <f t="shared" si="26"/>
        <v>290</v>
      </c>
      <c r="E348" s="23">
        <f t="shared" ca="1" si="27"/>
        <v>213</v>
      </c>
      <c r="F348" s="27">
        <v>65</v>
      </c>
      <c r="G348" s="27">
        <v>135</v>
      </c>
      <c r="H348" s="28">
        <f t="shared" ca="1" si="28"/>
        <v>9905</v>
      </c>
      <c r="J348" s="23">
        <v>433</v>
      </c>
      <c r="K348" s="30">
        <v>11054.614213197969</v>
      </c>
    </row>
    <row r="349" spans="2:11">
      <c r="B349" s="23">
        <f t="shared" ca="1" si="25"/>
        <v>0.55391380930198075</v>
      </c>
      <c r="C349" s="23">
        <f t="shared" ca="1" si="29"/>
        <v>304</v>
      </c>
      <c r="D349" s="23">
        <f t="shared" si="26"/>
        <v>290</v>
      </c>
      <c r="E349" s="23">
        <f t="shared" ca="1" si="27"/>
        <v>290</v>
      </c>
      <c r="F349" s="27">
        <v>65</v>
      </c>
      <c r="G349" s="27">
        <v>135</v>
      </c>
      <c r="H349" s="28">
        <f t="shared" ca="1" si="28"/>
        <v>20300</v>
      </c>
      <c r="J349" s="23">
        <v>434</v>
      </c>
      <c r="K349" s="30">
        <v>9788.0456852791885</v>
      </c>
    </row>
    <row r="350" spans="2:11">
      <c r="B350" s="23">
        <f t="shared" ca="1" si="25"/>
        <v>0.69270579748348693</v>
      </c>
      <c r="C350" s="23">
        <f t="shared" ca="1" si="29"/>
        <v>343</v>
      </c>
      <c r="D350" s="23">
        <f t="shared" si="26"/>
        <v>290</v>
      </c>
      <c r="E350" s="23">
        <f t="shared" ca="1" si="27"/>
        <v>290</v>
      </c>
      <c r="F350" s="27">
        <v>65</v>
      </c>
      <c r="G350" s="27">
        <v>135</v>
      </c>
      <c r="H350" s="28">
        <f t="shared" ca="1" si="28"/>
        <v>20300</v>
      </c>
      <c r="J350" s="23">
        <v>435</v>
      </c>
      <c r="K350" s="30">
        <v>10230.700507614214</v>
      </c>
    </row>
    <row r="351" spans="2:11">
      <c r="B351" s="23">
        <f t="shared" ca="1" si="25"/>
        <v>0.7396748700288599</v>
      </c>
      <c r="C351" s="23">
        <f t="shared" ca="1" si="29"/>
        <v>358</v>
      </c>
      <c r="D351" s="23">
        <f t="shared" si="26"/>
        <v>290</v>
      </c>
      <c r="E351" s="23">
        <f t="shared" ca="1" si="27"/>
        <v>290</v>
      </c>
      <c r="F351" s="27">
        <v>65</v>
      </c>
      <c r="G351" s="27">
        <v>135</v>
      </c>
      <c r="H351" s="28">
        <f t="shared" ca="1" si="28"/>
        <v>20300</v>
      </c>
      <c r="J351" s="23">
        <v>436</v>
      </c>
      <c r="K351" s="30">
        <v>10276.989847715737</v>
      </c>
    </row>
    <row r="352" spans="2:11">
      <c r="B352" s="23">
        <f t="shared" ca="1" si="25"/>
        <v>0.39389758069893466</v>
      </c>
      <c r="C352" s="23">
        <f t="shared" ca="1" si="29"/>
        <v>261</v>
      </c>
      <c r="D352" s="23">
        <f t="shared" si="26"/>
        <v>290</v>
      </c>
      <c r="E352" s="23">
        <f t="shared" ca="1" si="27"/>
        <v>261</v>
      </c>
      <c r="F352" s="27">
        <v>65</v>
      </c>
      <c r="G352" s="27">
        <v>135</v>
      </c>
      <c r="H352" s="28">
        <f t="shared" ca="1" si="28"/>
        <v>16385</v>
      </c>
      <c r="J352" s="23">
        <v>437</v>
      </c>
      <c r="K352" s="30">
        <v>9798.9035532994931</v>
      </c>
    </row>
    <row r="353" spans="2:11">
      <c r="B353" s="23">
        <f t="shared" ca="1" si="25"/>
        <v>0.98291958051136241</v>
      </c>
      <c r="C353" s="23">
        <f t="shared" ca="1" si="29"/>
        <v>514</v>
      </c>
      <c r="D353" s="23">
        <f t="shared" si="26"/>
        <v>290</v>
      </c>
      <c r="E353" s="23">
        <f t="shared" ca="1" si="27"/>
        <v>290</v>
      </c>
      <c r="F353" s="27">
        <v>65</v>
      </c>
      <c r="G353" s="27">
        <v>135</v>
      </c>
      <c r="H353" s="28">
        <f t="shared" ca="1" si="28"/>
        <v>20300</v>
      </c>
      <c r="J353" s="23">
        <v>438</v>
      </c>
      <c r="K353" s="30">
        <v>9384.2741116751276</v>
      </c>
    </row>
    <row r="354" spans="2:11">
      <c r="B354" s="23">
        <f t="shared" ca="1" si="25"/>
        <v>0.92179893547681524</v>
      </c>
      <c r="C354" s="23">
        <f t="shared" ca="1" si="29"/>
        <v>440</v>
      </c>
      <c r="D354" s="23">
        <f t="shared" si="26"/>
        <v>290</v>
      </c>
      <c r="E354" s="23">
        <f t="shared" ca="1" si="27"/>
        <v>290</v>
      </c>
      <c r="F354" s="27">
        <v>65</v>
      </c>
      <c r="G354" s="27">
        <v>135</v>
      </c>
      <c r="H354" s="28">
        <f t="shared" ca="1" si="28"/>
        <v>20300</v>
      </c>
      <c r="J354" s="23">
        <v>439</v>
      </c>
      <c r="K354" s="30">
        <v>9393.1472081218271</v>
      </c>
    </row>
    <row r="355" spans="2:11">
      <c r="B355" s="23">
        <f t="shared" ca="1" si="25"/>
        <v>6.8982833638325247E-2</v>
      </c>
      <c r="C355" s="23">
        <f t="shared" ca="1" si="29"/>
        <v>132</v>
      </c>
      <c r="D355" s="23">
        <f t="shared" si="26"/>
        <v>290</v>
      </c>
      <c r="E355" s="23">
        <f t="shared" ca="1" si="27"/>
        <v>132</v>
      </c>
      <c r="F355" s="27">
        <v>65</v>
      </c>
      <c r="G355" s="27">
        <v>135</v>
      </c>
      <c r="H355" s="28">
        <f t="shared" ca="1" si="28"/>
        <v>-1030</v>
      </c>
      <c r="J355" s="23">
        <v>440</v>
      </c>
      <c r="K355" s="30">
        <v>10208.730964467006</v>
      </c>
    </row>
    <row r="356" spans="2:11">
      <c r="B356" s="23">
        <f t="shared" ca="1" si="25"/>
        <v>0.9817712962316979</v>
      </c>
      <c r="C356" s="23">
        <f t="shared" ca="1" si="29"/>
        <v>511</v>
      </c>
      <c r="D356" s="23">
        <f t="shared" si="26"/>
        <v>290</v>
      </c>
      <c r="E356" s="23">
        <f t="shared" ca="1" si="27"/>
        <v>290</v>
      </c>
      <c r="F356" s="27">
        <v>65</v>
      </c>
      <c r="G356" s="27">
        <v>135</v>
      </c>
      <c r="H356" s="28">
        <f t="shared" ca="1" si="28"/>
        <v>20300</v>
      </c>
      <c r="J356" s="23">
        <v>441</v>
      </c>
      <c r="K356" s="30">
        <v>9559.7360406091375</v>
      </c>
    </row>
    <row r="357" spans="2:11">
      <c r="B357" s="23">
        <f t="shared" ca="1" si="25"/>
        <v>0.1918011774632431</v>
      </c>
      <c r="C357" s="23">
        <f t="shared" ca="1" si="29"/>
        <v>197</v>
      </c>
      <c r="D357" s="23">
        <f t="shared" si="26"/>
        <v>290</v>
      </c>
      <c r="E357" s="23">
        <f t="shared" ca="1" si="27"/>
        <v>197</v>
      </c>
      <c r="F357" s="27">
        <v>65</v>
      </c>
      <c r="G357" s="27">
        <v>135</v>
      </c>
      <c r="H357" s="28">
        <f t="shared" ca="1" si="28"/>
        <v>7745</v>
      </c>
      <c r="J357" s="23">
        <v>442</v>
      </c>
      <c r="K357" s="30">
        <v>9768.8477157360412</v>
      </c>
    </row>
    <row r="358" spans="2:11">
      <c r="B358" s="23">
        <f t="shared" ca="1" si="25"/>
        <v>0.80776356666631188</v>
      </c>
      <c r="C358" s="23">
        <f t="shared" ca="1" si="29"/>
        <v>382</v>
      </c>
      <c r="D358" s="23">
        <f t="shared" si="26"/>
        <v>290</v>
      </c>
      <c r="E358" s="23">
        <f t="shared" ca="1" si="27"/>
        <v>290</v>
      </c>
      <c r="F358" s="27">
        <v>65</v>
      </c>
      <c r="G358" s="27">
        <v>135</v>
      </c>
      <c r="H358" s="28">
        <f t="shared" ca="1" si="28"/>
        <v>20300</v>
      </c>
      <c r="J358" s="23">
        <v>443</v>
      </c>
      <c r="K358" s="30">
        <v>9098.609137055837</v>
      </c>
    </row>
    <row r="359" spans="2:11">
      <c r="B359" s="23">
        <f t="shared" ca="1" si="25"/>
        <v>0.62400209820351527</v>
      </c>
      <c r="C359" s="23">
        <f t="shared" ca="1" si="29"/>
        <v>323</v>
      </c>
      <c r="D359" s="23">
        <f t="shared" si="26"/>
        <v>290</v>
      </c>
      <c r="E359" s="23">
        <f t="shared" ca="1" si="27"/>
        <v>290</v>
      </c>
      <c r="F359" s="27">
        <v>65</v>
      </c>
      <c r="G359" s="27">
        <v>135</v>
      </c>
      <c r="H359" s="28">
        <f t="shared" ca="1" si="28"/>
        <v>20300</v>
      </c>
      <c r="J359" s="23">
        <v>444</v>
      </c>
      <c r="K359" s="30">
        <v>9956.6802030456856</v>
      </c>
    </row>
    <row r="360" spans="2:11">
      <c r="B360" s="23">
        <f t="shared" ca="1" si="25"/>
        <v>0.39492549882477301</v>
      </c>
      <c r="C360" s="23">
        <f t="shared" ca="1" si="29"/>
        <v>261</v>
      </c>
      <c r="D360" s="23">
        <f t="shared" si="26"/>
        <v>290</v>
      </c>
      <c r="E360" s="23">
        <f t="shared" ca="1" si="27"/>
        <v>261</v>
      </c>
      <c r="F360" s="27">
        <v>65</v>
      </c>
      <c r="G360" s="27">
        <v>135</v>
      </c>
      <c r="H360" s="28">
        <f t="shared" ca="1" si="28"/>
        <v>16385</v>
      </c>
      <c r="J360" s="23">
        <v>445</v>
      </c>
      <c r="K360" s="30">
        <v>9373.609137055837</v>
      </c>
    </row>
    <row r="361" spans="2:11">
      <c r="B361" s="23">
        <f t="shared" ca="1" si="25"/>
        <v>0.42853889932103573</v>
      </c>
      <c r="C361" s="23">
        <f t="shared" ca="1" si="29"/>
        <v>270</v>
      </c>
      <c r="D361" s="23">
        <f t="shared" si="26"/>
        <v>290</v>
      </c>
      <c r="E361" s="23">
        <f t="shared" ca="1" si="27"/>
        <v>270</v>
      </c>
      <c r="F361" s="27">
        <v>65</v>
      </c>
      <c r="G361" s="27">
        <v>135</v>
      </c>
      <c r="H361" s="28">
        <f t="shared" ca="1" si="28"/>
        <v>17600</v>
      </c>
      <c r="J361" s="23">
        <v>446</v>
      </c>
      <c r="K361" s="30">
        <v>9871.9086294416247</v>
      </c>
    </row>
    <row r="362" spans="2:11">
      <c r="B362" s="23">
        <f t="shared" ca="1" si="25"/>
        <v>0.73781872756346267</v>
      </c>
      <c r="C362" s="23">
        <f t="shared" ca="1" si="29"/>
        <v>357</v>
      </c>
      <c r="D362" s="23">
        <f t="shared" si="26"/>
        <v>290</v>
      </c>
      <c r="E362" s="23">
        <f t="shared" ca="1" si="27"/>
        <v>290</v>
      </c>
      <c r="F362" s="27">
        <v>65</v>
      </c>
      <c r="G362" s="27">
        <v>135</v>
      </c>
      <c r="H362" s="28">
        <f t="shared" ca="1" si="28"/>
        <v>20300</v>
      </c>
      <c r="J362" s="23">
        <v>447</v>
      </c>
      <c r="K362" s="30">
        <v>9813.0761421319803</v>
      </c>
    </row>
    <row r="363" spans="2:11">
      <c r="B363" s="23">
        <f t="shared" ca="1" si="25"/>
        <v>0.75705250302331095</v>
      </c>
      <c r="C363" s="23">
        <f t="shared" ca="1" si="29"/>
        <v>363</v>
      </c>
      <c r="D363" s="23">
        <f t="shared" si="26"/>
        <v>290</v>
      </c>
      <c r="E363" s="23">
        <f t="shared" ca="1" si="27"/>
        <v>290</v>
      </c>
      <c r="F363" s="27">
        <v>65</v>
      </c>
      <c r="G363" s="27">
        <v>135</v>
      </c>
      <c r="H363" s="28">
        <f t="shared" ca="1" si="28"/>
        <v>20300</v>
      </c>
      <c r="J363" s="23">
        <v>448</v>
      </c>
      <c r="K363" s="30">
        <v>10113.32994923858</v>
      </c>
    </row>
    <row r="364" spans="2:11">
      <c r="B364" s="23">
        <f t="shared" ca="1" si="25"/>
        <v>0.69497486254234719</v>
      </c>
      <c r="C364" s="23">
        <f t="shared" ca="1" si="29"/>
        <v>344</v>
      </c>
      <c r="D364" s="23">
        <f t="shared" si="26"/>
        <v>290</v>
      </c>
      <c r="E364" s="23">
        <f t="shared" ca="1" si="27"/>
        <v>290</v>
      </c>
      <c r="F364" s="27">
        <v>65</v>
      </c>
      <c r="G364" s="27">
        <v>135</v>
      </c>
      <c r="H364" s="28">
        <f t="shared" ca="1" si="28"/>
        <v>20300</v>
      </c>
      <c r="J364" s="23">
        <v>449</v>
      </c>
      <c r="K364" s="30">
        <v>10048.055837563452</v>
      </c>
    </row>
    <row r="365" spans="2:11">
      <c r="B365" s="23">
        <f t="shared" ca="1" si="25"/>
        <v>0.46407847271404357</v>
      </c>
      <c r="C365" s="23">
        <f t="shared" ca="1" si="29"/>
        <v>280</v>
      </c>
      <c r="D365" s="23">
        <f t="shared" si="26"/>
        <v>290</v>
      </c>
      <c r="E365" s="23">
        <f t="shared" ca="1" si="27"/>
        <v>280</v>
      </c>
      <c r="F365" s="27">
        <v>65</v>
      </c>
      <c r="G365" s="27">
        <v>135</v>
      </c>
      <c r="H365" s="28">
        <f t="shared" ca="1" si="28"/>
        <v>18950</v>
      </c>
      <c r="J365" s="23">
        <v>450</v>
      </c>
      <c r="K365" s="30">
        <v>9035.4517766497465</v>
      </c>
    </row>
    <row r="366" spans="2:11">
      <c r="B366" s="23">
        <f t="shared" ca="1" si="25"/>
        <v>0.93788178936862765</v>
      </c>
      <c r="C366" s="23">
        <f t="shared" ca="1" si="29"/>
        <v>452</v>
      </c>
      <c r="D366" s="23">
        <f t="shared" si="26"/>
        <v>290</v>
      </c>
      <c r="E366" s="23">
        <f t="shared" ca="1" si="27"/>
        <v>290</v>
      </c>
      <c r="F366" s="27">
        <v>65</v>
      </c>
      <c r="G366" s="27">
        <v>135</v>
      </c>
      <c r="H366" s="28">
        <f t="shared" ca="1" si="28"/>
        <v>20300</v>
      </c>
      <c r="J366" s="23">
        <v>451</v>
      </c>
      <c r="K366" s="30">
        <v>9362.4314720812181</v>
      </c>
    </row>
    <row r="367" spans="2:11">
      <c r="B367" s="23">
        <f t="shared" ca="1" si="25"/>
        <v>0.59236520534857029</v>
      </c>
      <c r="C367" s="23">
        <f t="shared" ca="1" si="29"/>
        <v>314</v>
      </c>
      <c r="D367" s="23">
        <f t="shared" si="26"/>
        <v>290</v>
      </c>
      <c r="E367" s="23">
        <f t="shared" ca="1" si="27"/>
        <v>290</v>
      </c>
      <c r="F367" s="27">
        <v>65</v>
      </c>
      <c r="G367" s="27">
        <v>135</v>
      </c>
      <c r="H367" s="28">
        <f t="shared" ca="1" si="28"/>
        <v>20300</v>
      </c>
      <c r="J367" s="23">
        <v>452</v>
      </c>
      <c r="K367" s="30">
        <v>8780.3197969543144</v>
      </c>
    </row>
    <row r="368" spans="2:11">
      <c r="B368" s="23">
        <f t="shared" ca="1" si="25"/>
        <v>0.36421670636236947</v>
      </c>
      <c r="C368" s="23">
        <f t="shared" ca="1" si="29"/>
        <v>253</v>
      </c>
      <c r="D368" s="23">
        <f t="shared" si="26"/>
        <v>290</v>
      </c>
      <c r="E368" s="23">
        <f t="shared" ca="1" si="27"/>
        <v>253</v>
      </c>
      <c r="F368" s="27">
        <v>65</v>
      </c>
      <c r="G368" s="27">
        <v>135</v>
      </c>
      <c r="H368" s="28">
        <f t="shared" ca="1" si="28"/>
        <v>15305</v>
      </c>
      <c r="J368" s="23">
        <v>453</v>
      </c>
      <c r="K368" s="30">
        <v>9542.1776649746189</v>
      </c>
    </row>
    <row r="369" spans="2:11">
      <c r="B369" s="23">
        <f t="shared" ca="1" si="25"/>
        <v>0.87295088840504531</v>
      </c>
      <c r="C369" s="23">
        <f t="shared" ca="1" si="29"/>
        <v>410</v>
      </c>
      <c r="D369" s="23">
        <f t="shared" si="26"/>
        <v>290</v>
      </c>
      <c r="E369" s="23">
        <f t="shared" ca="1" si="27"/>
        <v>290</v>
      </c>
      <c r="F369" s="27">
        <v>65</v>
      </c>
      <c r="G369" s="27">
        <v>135</v>
      </c>
      <c r="H369" s="28">
        <f t="shared" ca="1" si="28"/>
        <v>20300</v>
      </c>
      <c r="J369" s="23">
        <v>454</v>
      </c>
      <c r="K369" s="30">
        <v>9171.9543147208115</v>
      </c>
    </row>
    <row r="370" spans="2:11">
      <c r="B370" s="23">
        <f t="shared" ca="1" si="25"/>
        <v>0.58279212019611137</v>
      </c>
      <c r="C370" s="23">
        <f t="shared" ca="1" si="29"/>
        <v>312</v>
      </c>
      <c r="D370" s="23">
        <f t="shared" si="26"/>
        <v>290</v>
      </c>
      <c r="E370" s="23">
        <f t="shared" ca="1" si="27"/>
        <v>290</v>
      </c>
      <c r="F370" s="27">
        <v>65</v>
      </c>
      <c r="G370" s="27">
        <v>135</v>
      </c>
      <c r="H370" s="28">
        <f t="shared" ca="1" si="28"/>
        <v>20300</v>
      </c>
      <c r="J370" s="23">
        <v>455</v>
      </c>
      <c r="K370" s="30">
        <v>9664.2233502538074</v>
      </c>
    </row>
    <row r="371" spans="2:11">
      <c r="B371" s="23">
        <f t="shared" ca="1" si="25"/>
        <v>0.21923766593349503</v>
      </c>
      <c r="C371" s="23">
        <f t="shared" ca="1" si="29"/>
        <v>207</v>
      </c>
      <c r="D371" s="23">
        <f t="shared" si="26"/>
        <v>290</v>
      </c>
      <c r="E371" s="23">
        <f t="shared" ca="1" si="27"/>
        <v>207</v>
      </c>
      <c r="F371" s="27">
        <v>65</v>
      </c>
      <c r="G371" s="27">
        <v>135</v>
      </c>
      <c r="H371" s="28">
        <f t="shared" ca="1" si="28"/>
        <v>9095</v>
      </c>
      <c r="J371" s="23">
        <v>456</v>
      </c>
      <c r="K371" s="30">
        <v>8762.0862944162436</v>
      </c>
    </row>
    <row r="372" spans="2:11">
      <c r="B372" s="23">
        <f t="shared" ca="1" si="25"/>
        <v>0.17765649406532791</v>
      </c>
      <c r="C372" s="23">
        <f t="shared" ca="1" si="29"/>
        <v>192</v>
      </c>
      <c r="D372" s="23">
        <f t="shared" si="26"/>
        <v>290</v>
      </c>
      <c r="E372" s="23">
        <f t="shared" ca="1" si="27"/>
        <v>192</v>
      </c>
      <c r="F372" s="27">
        <v>65</v>
      </c>
      <c r="G372" s="27">
        <v>135</v>
      </c>
      <c r="H372" s="28">
        <f t="shared" ca="1" si="28"/>
        <v>7070</v>
      </c>
      <c r="J372" s="23">
        <v>457</v>
      </c>
      <c r="K372" s="30">
        <v>9194.4619289340098</v>
      </c>
    </row>
    <row r="373" spans="2:11">
      <c r="B373" s="23">
        <f t="shared" ca="1" si="25"/>
        <v>0.73761706665329196</v>
      </c>
      <c r="C373" s="23">
        <f t="shared" ca="1" si="29"/>
        <v>357</v>
      </c>
      <c r="D373" s="23">
        <f t="shared" si="26"/>
        <v>290</v>
      </c>
      <c r="E373" s="23">
        <f t="shared" ca="1" si="27"/>
        <v>290</v>
      </c>
      <c r="F373" s="27">
        <v>65</v>
      </c>
      <c r="G373" s="27">
        <v>135</v>
      </c>
      <c r="H373" s="28">
        <f t="shared" ca="1" si="28"/>
        <v>20300</v>
      </c>
      <c r="J373" s="23">
        <v>458</v>
      </c>
      <c r="K373" s="30">
        <v>8476.1167512690354</v>
      </c>
    </row>
    <row r="374" spans="2:11">
      <c r="B374" s="23">
        <f t="shared" ca="1" si="25"/>
        <v>3.4303787770599614E-2</v>
      </c>
      <c r="C374" s="23">
        <f t="shared" ca="1" si="29"/>
        <v>97</v>
      </c>
      <c r="D374" s="23">
        <f t="shared" si="26"/>
        <v>290</v>
      </c>
      <c r="E374" s="23">
        <f t="shared" ca="1" si="27"/>
        <v>97</v>
      </c>
      <c r="F374" s="27">
        <v>65</v>
      </c>
      <c r="G374" s="27">
        <v>135</v>
      </c>
      <c r="H374" s="28">
        <f t="shared" ca="1" si="28"/>
        <v>-5755</v>
      </c>
      <c r="J374" s="23">
        <v>459</v>
      </c>
      <c r="K374" s="30">
        <v>9313.3553299492378</v>
      </c>
    </row>
    <row r="375" spans="2:11">
      <c r="B375" s="23">
        <f t="shared" ca="1" si="25"/>
        <v>1.7044880396201667E-2</v>
      </c>
      <c r="C375" s="23">
        <f t="shared" ca="1" si="29"/>
        <v>65</v>
      </c>
      <c r="D375" s="23">
        <f t="shared" si="26"/>
        <v>290</v>
      </c>
      <c r="E375" s="23">
        <f t="shared" ca="1" si="27"/>
        <v>65</v>
      </c>
      <c r="F375" s="27">
        <v>65</v>
      </c>
      <c r="G375" s="27">
        <v>135</v>
      </c>
      <c r="H375" s="28">
        <f t="shared" ca="1" si="28"/>
        <v>-10075</v>
      </c>
      <c r="J375" s="23">
        <v>460</v>
      </c>
      <c r="K375" s="30">
        <v>8874.7411167512691</v>
      </c>
    </row>
    <row r="376" spans="2:11">
      <c r="B376" s="23">
        <f t="shared" ca="1" si="25"/>
        <v>0.29723644207625144</v>
      </c>
      <c r="C376" s="23">
        <f t="shared" ca="1" si="29"/>
        <v>233</v>
      </c>
      <c r="D376" s="23">
        <f t="shared" si="26"/>
        <v>290</v>
      </c>
      <c r="E376" s="23">
        <f t="shared" ca="1" si="27"/>
        <v>233</v>
      </c>
      <c r="F376" s="27">
        <v>65</v>
      </c>
      <c r="G376" s="27">
        <v>135</v>
      </c>
      <c r="H376" s="28">
        <f t="shared" ca="1" si="28"/>
        <v>12605</v>
      </c>
      <c r="J376" s="23">
        <v>461</v>
      </c>
      <c r="K376" s="30">
        <v>9131.1370558375638</v>
      </c>
    </row>
    <row r="377" spans="2:11">
      <c r="B377" s="23">
        <f t="shared" ca="1" si="25"/>
        <v>0.14340279643590614</v>
      </c>
      <c r="C377" s="23">
        <f t="shared" ca="1" si="29"/>
        <v>177</v>
      </c>
      <c r="D377" s="23">
        <f t="shared" si="26"/>
        <v>290</v>
      </c>
      <c r="E377" s="23">
        <f t="shared" ca="1" si="27"/>
        <v>177</v>
      </c>
      <c r="F377" s="27">
        <v>65</v>
      </c>
      <c r="G377" s="27">
        <v>135</v>
      </c>
      <c r="H377" s="28">
        <f t="shared" ca="1" si="28"/>
        <v>5045</v>
      </c>
      <c r="J377" s="23">
        <v>462</v>
      </c>
      <c r="K377" s="30">
        <v>8512.9796954314716</v>
      </c>
    </row>
    <row r="378" spans="2:11">
      <c r="B378" s="23">
        <f t="shared" ca="1" si="25"/>
        <v>0.67505768592760851</v>
      </c>
      <c r="C378" s="23">
        <f t="shared" ca="1" si="29"/>
        <v>338</v>
      </c>
      <c r="D378" s="23">
        <f t="shared" si="26"/>
        <v>290</v>
      </c>
      <c r="E378" s="23">
        <f t="shared" ca="1" si="27"/>
        <v>290</v>
      </c>
      <c r="F378" s="27">
        <v>65</v>
      </c>
      <c r="G378" s="27">
        <v>135</v>
      </c>
      <c r="H378" s="28">
        <f t="shared" ca="1" si="28"/>
        <v>20300</v>
      </c>
      <c r="J378" s="23">
        <v>463</v>
      </c>
      <c r="K378" s="30">
        <v>8617.7918781725893</v>
      </c>
    </row>
    <row r="379" spans="2:11">
      <c r="B379" s="23">
        <f t="shared" ca="1" si="25"/>
        <v>0.85385396853013207</v>
      </c>
      <c r="C379" s="23">
        <f t="shared" ca="1" si="29"/>
        <v>401</v>
      </c>
      <c r="D379" s="23">
        <f t="shared" si="26"/>
        <v>290</v>
      </c>
      <c r="E379" s="23">
        <f t="shared" ca="1" si="27"/>
        <v>290</v>
      </c>
      <c r="F379" s="27">
        <v>65</v>
      </c>
      <c r="G379" s="27">
        <v>135</v>
      </c>
      <c r="H379" s="28">
        <f t="shared" ca="1" si="28"/>
        <v>20300</v>
      </c>
      <c r="J379" s="23">
        <v>464</v>
      </c>
      <c r="K379" s="30">
        <v>8959.8477157360412</v>
      </c>
    </row>
    <row r="380" spans="2:11">
      <c r="B380" s="23">
        <f t="shared" ca="1" si="25"/>
        <v>0.20081717406664668</v>
      </c>
      <c r="C380" s="23">
        <f t="shared" ca="1" si="29"/>
        <v>201</v>
      </c>
      <c r="D380" s="23">
        <f t="shared" si="26"/>
        <v>290</v>
      </c>
      <c r="E380" s="23">
        <f t="shared" ca="1" si="27"/>
        <v>201</v>
      </c>
      <c r="F380" s="27">
        <v>65</v>
      </c>
      <c r="G380" s="27">
        <v>135</v>
      </c>
      <c r="H380" s="28">
        <f t="shared" ca="1" si="28"/>
        <v>8285</v>
      </c>
      <c r="J380" s="23">
        <v>465</v>
      </c>
      <c r="K380" s="30">
        <v>8704.4771573604066</v>
      </c>
    </row>
    <row r="381" spans="2:11">
      <c r="B381" s="23">
        <f t="shared" ca="1" si="25"/>
        <v>1.7098401296708921E-2</v>
      </c>
      <c r="C381" s="23">
        <f t="shared" ca="1" si="29"/>
        <v>65</v>
      </c>
      <c r="D381" s="23">
        <f t="shared" si="26"/>
        <v>290</v>
      </c>
      <c r="E381" s="23">
        <f t="shared" ca="1" si="27"/>
        <v>65</v>
      </c>
      <c r="F381" s="27">
        <v>65</v>
      </c>
      <c r="G381" s="27">
        <v>135</v>
      </c>
      <c r="H381" s="28">
        <f t="shared" ca="1" si="28"/>
        <v>-10075</v>
      </c>
      <c r="J381" s="23">
        <v>466</v>
      </c>
      <c r="K381" s="30">
        <v>8871.6497461928939</v>
      </c>
    </row>
    <row r="382" spans="2:11">
      <c r="B382" s="23">
        <f t="shared" ca="1" si="25"/>
        <v>0.21754197875951187</v>
      </c>
      <c r="C382" s="23">
        <f t="shared" ca="1" si="29"/>
        <v>207</v>
      </c>
      <c r="D382" s="23">
        <f t="shared" si="26"/>
        <v>290</v>
      </c>
      <c r="E382" s="23">
        <f t="shared" ca="1" si="27"/>
        <v>207</v>
      </c>
      <c r="F382" s="27">
        <v>65</v>
      </c>
      <c r="G382" s="27">
        <v>135</v>
      </c>
      <c r="H382" s="28">
        <f t="shared" ca="1" si="28"/>
        <v>9095</v>
      </c>
      <c r="J382" s="23">
        <v>467</v>
      </c>
      <c r="K382" s="30">
        <v>8277.4771573604066</v>
      </c>
    </row>
    <row r="383" spans="2:11">
      <c r="B383" s="23">
        <f t="shared" ca="1" si="25"/>
        <v>0.7991558346604033</v>
      </c>
      <c r="C383" s="23">
        <f t="shared" ca="1" si="29"/>
        <v>378</v>
      </c>
      <c r="D383" s="23">
        <f t="shared" si="26"/>
        <v>290</v>
      </c>
      <c r="E383" s="23">
        <f t="shared" ca="1" si="27"/>
        <v>290</v>
      </c>
      <c r="F383" s="27">
        <v>65</v>
      </c>
      <c r="G383" s="27">
        <v>135</v>
      </c>
      <c r="H383" s="28">
        <f t="shared" ca="1" si="28"/>
        <v>20300</v>
      </c>
      <c r="J383" s="23">
        <v>468</v>
      </c>
      <c r="K383" s="30">
        <v>8584.9949238578683</v>
      </c>
    </row>
    <row r="384" spans="2:11">
      <c r="B384" s="23">
        <f t="shared" ca="1" si="25"/>
        <v>0.10625216539332105</v>
      </c>
      <c r="C384" s="23">
        <f t="shared" ca="1" si="29"/>
        <v>157</v>
      </c>
      <c r="D384" s="23">
        <f t="shared" si="26"/>
        <v>290</v>
      </c>
      <c r="E384" s="23">
        <f t="shared" ca="1" si="27"/>
        <v>157</v>
      </c>
      <c r="F384" s="27">
        <v>65</v>
      </c>
      <c r="G384" s="27">
        <v>135</v>
      </c>
      <c r="H384" s="28">
        <f t="shared" ca="1" si="28"/>
        <v>2345</v>
      </c>
      <c r="J384" s="23">
        <v>469</v>
      </c>
      <c r="K384" s="30">
        <v>8199.284263959391</v>
      </c>
    </row>
    <row r="385" spans="2:11">
      <c r="B385" s="23">
        <f t="shared" ca="1" si="25"/>
        <v>0.98914916176808532</v>
      </c>
      <c r="C385" s="23">
        <f t="shared" ca="1" si="29"/>
        <v>533</v>
      </c>
      <c r="D385" s="23">
        <f t="shared" si="26"/>
        <v>290</v>
      </c>
      <c r="E385" s="23">
        <f t="shared" ca="1" si="27"/>
        <v>290</v>
      </c>
      <c r="F385" s="27">
        <v>65</v>
      </c>
      <c r="G385" s="27">
        <v>135</v>
      </c>
      <c r="H385" s="28">
        <f t="shared" ca="1" si="28"/>
        <v>20300</v>
      </c>
      <c r="J385" s="23">
        <v>470</v>
      </c>
      <c r="K385" s="30">
        <v>7912.6649746192898</v>
      </c>
    </row>
    <row r="386" spans="2:11">
      <c r="B386" s="23">
        <f t="shared" ca="1" si="25"/>
        <v>0.63870374922187756</v>
      </c>
      <c r="C386" s="23">
        <f t="shared" ca="1" si="29"/>
        <v>327</v>
      </c>
      <c r="D386" s="23">
        <f t="shared" si="26"/>
        <v>290</v>
      </c>
      <c r="E386" s="23">
        <f t="shared" ca="1" si="27"/>
        <v>290</v>
      </c>
      <c r="F386" s="27">
        <v>65</v>
      </c>
      <c r="G386" s="27">
        <v>135</v>
      </c>
      <c r="H386" s="28">
        <f t="shared" ca="1" si="28"/>
        <v>20300</v>
      </c>
      <c r="J386" s="23">
        <v>471</v>
      </c>
      <c r="K386" s="30">
        <v>8340.9289340101532</v>
      </c>
    </row>
    <row r="387" spans="2:11">
      <c r="B387" s="23">
        <f t="shared" ca="1" si="25"/>
        <v>0.20281222333763027</v>
      </c>
      <c r="C387" s="23">
        <f t="shared" ca="1" si="29"/>
        <v>201</v>
      </c>
      <c r="D387" s="23">
        <f t="shared" si="26"/>
        <v>290</v>
      </c>
      <c r="E387" s="23">
        <f t="shared" ca="1" si="27"/>
        <v>201</v>
      </c>
      <c r="F387" s="27">
        <v>65</v>
      </c>
      <c r="G387" s="27">
        <v>135</v>
      </c>
      <c r="H387" s="28">
        <f t="shared" ca="1" si="28"/>
        <v>8285</v>
      </c>
      <c r="J387" s="23">
        <v>472</v>
      </c>
      <c r="K387" s="30">
        <v>8227.8223350253811</v>
      </c>
    </row>
    <row r="388" spans="2:11">
      <c r="B388" s="23">
        <f t="shared" ca="1" si="25"/>
        <v>0.87203652189023728</v>
      </c>
      <c r="C388" s="23">
        <f t="shared" ca="1" si="29"/>
        <v>410</v>
      </c>
      <c r="D388" s="23">
        <f t="shared" si="26"/>
        <v>290</v>
      </c>
      <c r="E388" s="23">
        <f t="shared" ca="1" si="27"/>
        <v>290</v>
      </c>
      <c r="F388" s="27">
        <v>65</v>
      </c>
      <c r="G388" s="27">
        <v>135</v>
      </c>
      <c r="H388" s="28">
        <f t="shared" ca="1" si="28"/>
        <v>20300</v>
      </c>
      <c r="J388" s="23">
        <v>473</v>
      </c>
      <c r="K388" s="30">
        <v>8335.9238578680197</v>
      </c>
    </row>
    <row r="389" spans="2:11">
      <c r="B389" s="23">
        <f t="shared" ca="1" si="25"/>
        <v>0.70505225028940932</v>
      </c>
      <c r="C389" s="23">
        <f t="shared" ca="1" si="29"/>
        <v>347</v>
      </c>
      <c r="D389" s="23">
        <f t="shared" si="26"/>
        <v>290</v>
      </c>
      <c r="E389" s="23">
        <f t="shared" ca="1" si="27"/>
        <v>290</v>
      </c>
      <c r="F389" s="27">
        <v>65</v>
      </c>
      <c r="G389" s="27">
        <v>135</v>
      </c>
      <c r="H389" s="28">
        <f t="shared" ca="1" si="28"/>
        <v>20300</v>
      </c>
      <c r="J389" s="23">
        <v>474</v>
      </c>
      <c r="K389" s="30">
        <v>7863.7309644670049</v>
      </c>
    </row>
    <row r="390" spans="2:11">
      <c r="B390" s="23">
        <f t="shared" ca="1" si="25"/>
        <v>0.71012062165293399</v>
      </c>
      <c r="C390" s="23">
        <f t="shared" ca="1" si="29"/>
        <v>348</v>
      </c>
      <c r="D390" s="23">
        <f t="shared" si="26"/>
        <v>290</v>
      </c>
      <c r="E390" s="23">
        <f t="shared" ca="1" si="27"/>
        <v>290</v>
      </c>
      <c r="F390" s="27">
        <v>65</v>
      </c>
      <c r="G390" s="27">
        <v>135</v>
      </c>
      <c r="H390" s="28">
        <f t="shared" ca="1" si="28"/>
        <v>20300</v>
      </c>
      <c r="J390" s="23">
        <v>475</v>
      </c>
      <c r="K390" s="30">
        <v>7533.2538071065992</v>
      </c>
    </row>
    <row r="391" spans="2:11">
      <c r="B391" s="23">
        <f t="shared" ca="1" si="25"/>
        <v>0.53747596813380016</v>
      </c>
      <c r="C391" s="23">
        <f t="shared" ca="1" si="29"/>
        <v>300</v>
      </c>
      <c r="D391" s="23">
        <f t="shared" si="26"/>
        <v>290</v>
      </c>
      <c r="E391" s="23">
        <f t="shared" ca="1" si="27"/>
        <v>290</v>
      </c>
      <c r="F391" s="27">
        <v>65</v>
      </c>
      <c r="G391" s="27">
        <v>135</v>
      </c>
      <c r="H391" s="28">
        <f t="shared" ca="1" si="28"/>
        <v>20300</v>
      </c>
      <c r="J391" s="23">
        <v>476</v>
      </c>
      <c r="K391" s="30">
        <v>8093.0913705583753</v>
      </c>
    </row>
    <row r="392" spans="2:11">
      <c r="B392" s="23">
        <f t="shared" ca="1" si="25"/>
        <v>0.56984894106467354</v>
      </c>
      <c r="C392" s="23">
        <f t="shared" ca="1" si="29"/>
        <v>308</v>
      </c>
      <c r="D392" s="23">
        <f t="shared" si="26"/>
        <v>290</v>
      </c>
      <c r="E392" s="23">
        <f t="shared" ca="1" si="27"/>
        <v>290</v>
      </c>
      <c r="F392" s="27">
        <v>65</v>
      </c>
      <c r="G392" s="27">
        <v>135</v>
      </c>
      <c r="H392" s="28">
        <f t="shared" ca="1" si="28"/>
        <v>20300</v>
      </c>
      <c r="J392" s="23">
        <v>477</v>
      </c>
      <c r="K392" s="30">
        <v>8036.7258883248733</v>
      </c>
    </row>
    <row r="393" spans="2:11">
      <c r="B393" s="23">
        <f t="shared" ca="1" si="25"/>
        <v>0.58329336919536101</v>
      </c>
      <c r="C393" s="23">
        <f t="shared" ca="1" si="29"/>
        <v>312</v>
      </c>
      <c r="D393" s="23">
        <f t="shared" si="26"/>
        <v>290</v>
      </c>
      <c r="E393" s="23">
        <f t="shared" ca="1" si="27"/>
        <v>290</v>
      </c>
      <c r="F393" s="27">
        <v>65</v>
      </c>
      <c r="G393" s="27">
        <v>135</v>
      </c>
      <c r="H393" s="28">
        <f t="shared" ca="1" si="28"/>
        <v>20300</v>
      </c>
      <c r="J393" s="23">
        <v>478</v>
      </c>
      <c r="K393" s="30">
        <v>7521.2233502538074</v>
      </c>
    </row>
    <row r="394" spans="2:11">
      <c r="B394" s="23">
        <f t="shared" ca="1" si="25"/>
        <v>0.92806370787788084</v>
      </c>
      <c r="C394" s="23">
        <f t="shared" ca="1" si="29"/>
        <v>444</v>
      </c>
      <c r="D394" s="23">
        <f t="shared" si="26"/>
        <v>290</v>
      </c>
      <c r="E394" s="23">
        <f t="shared" ca="1" si="27"/>
        <v>290</v>
      </c>
      <c r="F394" s="27">
        <v>65</v>
      </c>
      <c r="G394" s="27">
        <v>135</v>
      </c>
      <c r="H394" s="28">
        <f t="shared" ca="1" si="28"/>
        <v>20300</v>
      </c>
      <c r="J394" s="23">
        <v>479</v>
      </c>
      <c r="K394" s="30">
        <v>7370.0152284263959</v>
      </c>
    </row>
    <row r="395" spans="2:11">
      <c r="B395" s="23">
        <f t="shared" ca="1" si="25"/>
        <v>0.18888987204742935</v>
      </c>
      <c r="C395" s="23">
        <f t="shared" ca="1" si="29"/>
        <v>196</v>
      </c>
      <c r="D395" s="23">
        <f t="shared" si="26"/>
        <v>290</v>
      </c>
      <c r="E395" s="23">
        <f t="shared" ca="1" si="27"/>
        <v>196</v>
      </c>
      <c r="F395" s="27">
        <v>65</v>
      </c>
      <c r="G395" s="27">
        <v>135</v>
      </c>
      <c r="H395" s="28">
        <f t="shared" ca="1" si="28"/>
        <v>7610</v>
      </c>
      <c r="J395" s="23">
        <v>480</v>
      </c>
      <c r="K395" s="30">
        <v>8260.7055837563457</v>
      </c>
    </row>
    <row r="396" spans="2:11">
      <c r="B396" s="23">
        <f t="shared" ca="1" si="25"/>
        <v>0.22356277451118334</v>
      </c>
      <c r="C396" s="23">
        <f t="shared" ca="1" si="29"/>
        <v>209</v>
      </c>
      <c r="D396" s="23">
        <f t="shared" si="26"/>
        <v>290</v>
      </c>
      <c r="E396" s="23">
        <f t="shared" ca="1" si="27"/>
        <v>209</v>
      </c>
      <c r="F396" s="27">
        <v>65</v>
      </c>
      <c r="G396" s="27">
        <v>135</v>
      </c>
      <c r="H396" s="28">
        <f t="shared" ca="1" si="28"/>
        <v>9365</v>
      </c>
      <c r="J396" s="23">
        <v>481</v>
      </c>
      <c r="K396" s="30">
        <v>7730.6751269035531</v>
      </c>
    </row>
    <row r="397" spans="2:11">
      <c r="B397" s="23">
        <f t="shared" ca="1" si="25"/>
        <v>0.15903990233648491</v>
      </c>
      <c r="C397" s="23">
        <f t="shared" ca="1" si="29"/>
        <v>184</v>
      </c>
      <c r="D397" s="23">
        <f t="shared" si="26"/>
        <v>290</v>
      </c>
      <c r="E397" s="23">
        <f t="shared" ca="1" si="27"/>
        <v>184</v>
      </c>
      <c r="F397" s="27">
        <v>65</v>
      </c>
      <c r="G397" s="27">
        <v>135</v>
      </c>
      <c r="H397" s="28">
        <f t="shared" ca="1" si="28"/>
        <v>5990</v>
      </c>
      <c r="J397" s="23">
        <v>482</v>
      </c>
      <c r="K397" s="30">
        <v>7708.7106598984774</v>
      </c>
    </row>
    <row r="398" spans="2:11">
      <c r="B398" s="23">
        <f t="shared" ca="1" si="25"/>
        <v>8.9979765992069805E-3</v>
      </c>
      <c r="C398" s="23">
        <f t="shared" ca="1" si="29"/>
        <v>39</v>
      </c>
      <c r="D398" s="23">
        <f t="shared" si="26"/>
        <v>290</v>
      </c>
      <c r="E398" s="23">
        <f t="shared" ca="1" si="27"/>
        <v>39</v>
      </c>
      <c r="F398" s="27">
        <v>65</v>
      </c>
      <c r="G398" s="27">
        <v>135</v>
      </c>
      <c r="H398" s="28">
        <f t="shared" ca="1" si="28"/>
        <v>-13585</v>
      </c>
      <c r="J398" s="23">
        <v>483</v>
      </c>
      <c r="K398" s="30">
        <v>7724.5736040609136</v>
      </c>
    </row>
    <row r="399" spans="2:11">
      <c r="B399" s="23">
        <f t="shared" ca="1" si="25"/>
        <v>0.22976854873745323</v>
      </c>
      <c r="C399" s="23">
        <f t="shared" ca="1" si="29"/>
        <v>211</v>
      </c>
      <c r="D399" s="23">
        <f t="shared" si="26"/>
        <v>290</v>
      </c>
      <c r="E399" s="23">
        <f t="shared" ca="1" si="27"/>
        <v>211</v>
      </c>
      <c r="F399" s="27">
        <v>65</v>
      </c>
      <c r="G399" s="27">
        <v>135</v>
      </c>
      <c r="H399" s="28">
        <f t="shared" ca="1" si="28"/>
        <v>9635</v>
      </c>
      <c r="J399" s="23">
        <v>484</v>
      </c>
      <c r="K399" s="30">
        <v>7441.3807106598988</v>
      </c>
    </row>
    <row r="400" spans="2:11">
      <c r="B400" s="23">
        <f t="shared" ca="1" si="25"/>
        <v>6.6610809942264981E-2</v>
      </c>
      <c r="C400" s="23">
        <f t="shared" ca="1" si="29"/>
        <v>130</v>
      </c>
      <c r="D400" s="23">
        <f t="shared" si="26"/>
        <v>290</v>
      </c>
      <c r="E400" s="23">
        <f t="shared" ca="1" si="27"/>
        <v>130</v>
      </c>
      <c r="F400" s="27">
        <v>65</v>
      </c>
      <c r="G400" s="27">
        <v>135</v>
      </c>
      <c r="H400" s="28">
        <f t="shared" ca="1" si="28"/>
        <v>-1300</v>
      </c>
      <c r="J400" s="23">
        <v>485</v>
      </c>
      <c r="K400" s="30">
        <v>7205.6091370558379</v>
      </c>
    </row>
    <row r="401" spans="2:11">
      <c r="B401" s="23">
        <f t="shared" ref="B401:B464" ca="1" si="30">RAND()</f>
        <v>0.74567592989824616</v>
      </c>
      <c r="C401" s="23">
        <f t="shared" ca="1" si="29"/>
        <v>360</v>
      </c>
      <c r="D401" s="23">
        <f t="shared" ref="D401:D464" si="31">$B$9</f>
        <v>290</v>
      </c>
      <c r="E401" s="23">
        <f t="shared" ref="E401:E464" ca="1" si="32">_xlfn.FLOOR.MATH(MIN(C401,D401))</f>
        <v>290</v>
      </c>
      <c r="F401" s="27">
        <v>65</v>
      </c>
      <c r="G401" s="27">
        <v>135</v>
      </c>
      <c r="H401" s="28">
        <f t="shared" ref="H401:H464" ca="1" si="33">E401*G401-D401*F401</f>
        <v>20300</v>
      </c>
      <c r="J401" s="23">
        <v>486</v>
      </c>
      <c r="K401" s="30">
        <v>7369.2182741116749</v>
      </c>
    </row>
    <row r="402" spans="2:11">
      <c r="B402" s="23">
        <f t="shared" ca="1" si="30"/>
        <v>0.61996496364952569</v>
      </c>
      <c r="C402" s="23">
        <f t="shared" ref="C402:C465" ca="1" si="34">_xlfn.FLOOR.MATH(_xlfn.NORM.INV(B402,$B$6,$B$7))</f>
        <v>322</v>
      </c>
      <c r="D402" s="23">
        <f t="shared" si="31"/>
        <v>290</v>
      </c>
      <c r="E402" s="23">
        <f t="shared" ca="1" si="32"/>
        <v>290</v>
      </c>
      <c r="F402" s="27">
        <v>65</v>
      </c>
      <c r="G402" s="27">
        <v>135</v>
      </c>
      <c r="H402" s="28">
        <f t="shared" ca="1" si="33"/>
        <v>20300</v>
      </c>
      <c r="J402" s="23">
        <v>487</v>
      </c>
      <c r="K402" s="30">
        <v>7235.9644670050766</v>
      </c>
    </row>
    <row r="403" spans="2:11">
      <c r="B403" s="23">
        <f t="shared" ca="1" si="30"/>
        <v>0.61999220512100084</v>
      </c>
      <c r="C403" s="23">
        <f t="shared" ca="1" si="34"/>
        <v>322</v>
      </c>
      <c r="D403" s="23">
        <f t="shared" si="31"/>
        <v>290</v>
      </c>
      <c r="E403" s="23">
        <f t="shared" ca="1" si="32"/>
        <v>290</v>
      </c>
      <c r="F403" s="27">
        <v>65</v>
      </c>
      <c r="G403" s="27">
        <v>135</v>
      </c>
      <c r="H403" s="28">
        <f t="shared" ca="1" si="33"/>
        <v>20300</v>
      </c>
      <c r="J403" s="23">
        <v>488</v>
      </c>
      <c r="K403" s="30">
        <v>6853.5431472081218</v>
      </c>
    </row>
    <row r="404" spans="2:11">
      <c r="B404" s="23">
        <f t="shared" ca="1" si="30"/>
        <v>0.96288562121159627</v>
      </c>
      <c r="C404" s="23">
        <f t="shared" ca="1" si="34"/>
        <v>479</v>
      </c>
      <c r="D404" s="23">
        <f t="shared" si="31"/>
        <v>290</v>
      </c>
      <c r="E404" s="23">
        <f t="shared" ca="1" si="32"/>
        <v>290</v>
      </c>
      <c r="F404" s="27">
        <v>65</v>
      </c>
      <c r="G404" s="27">
        <v>135</v>
      </c>
      <c r="H404" s="28">
        <f t="shared" ca="1" si="33"/>
        <v>20300</v>
      </c>
      <c r="J404" s="23">
        <v>489</v>
      </c>
      <c r="K404" s="30">
        <v>7528.7817258883251</v>
      </c>
    </row>
    <row r="405" spans="2:11">
      <c r="B405" s="23">
        <f t="shared" ca="1" si="30"/>
        <v>0.80855693461849842</v>
      </c>
      <c r="C405" s="23">
        <f t="shared" ca="1" si="34"/>
        <v>382</v>
      </c>
      <c r="D405" s="23">
        <f t="shared" si="31"/>
        <v>290</v>
      </c>
      <c r="E405" s="23">
        <f t="shared" ca="1" si="32"/>
        <v>290</v>
      </c>
      <c r="F405" s="27">
        <v>65</v>
      </c>
      <c r="G405" s="27">
        <v>135</v>
      </c>
      <c r="H405" s="28">
        <f t="shared" ca="1" si="33"/>
        <v>20300</v>
      </c>
      <c r="J405" s="23">
        <v>490</v>
      </c>
      <c r="K405" s="30">
        <v>7310.0050761421317</v>
      </c>
    </row>
    <row r="406" spans="2:11">
      <c r="B406" s="23">
        <f t="shared" ca="1" si="30"/>
        <v>0.45455754570022699</v>
      </c>
      <c r="C406" s="23">
        <f t="shared" ca="1" si="34"/>
        <v>277</v>
      </c>
      <c r="D406" s="23">
        <f t="shared" si="31"/>
        <v>290</v>
      </c>
      <c r="E406" s="23">
        <f t="shared" ca="1" si="32"/>
        <v>277</v>
      </c>
      <c r="F406" s="27">
        <v>65</v>
      </c>
      <c r="G406" s="27">
        <v>135</v>
      </c>
      <c r="H406" s="28">
        <f t="shared" ca="1" si="33"/>
        <v>18545</v>
      </c>
      <c r="J406" s="23">
        <v>491</v>
      </c>
      <c r="K406" s="30">
        <v>7072.040609137056</v>
      </c>
    </row>
    <row r="407" spans="2:11">
      <c r="B407" s="23">
        <f t="shared" ca="1" si="30"/>
        <v>0.19909007254636313</v>
      </c>
      <c r="C407" s="23">
        <f t="shared" ca="1" si="34"/>
        <v>200</v>
      </c>
      <c r="D407" s="23">
        <f t="shared" si="31"/>
        <v>290</v>
      </c>
      <c r="E407" s="23">
        <f t="shared" ca="1" si="32"/>
        <v>200</v>
      </c>
      <c r="F407" s="27">
        <v>65</v>
      </c>
      <c r="G407" s="27">
        <v>135</v>
      </c>
      <c r="H407" s="28">
        <f t="shared" ca="1" si="33"/>
        <v>8150</v>
      </c>
      <c r="J407" s="23">
        <v>492</v>
      </c>
      <c r="K407" s="30">
        <v>7434.1065989847712</v>
      </c>
    </row>
    <row r="408" spans="2:11">
      <c r="B408" s="23">
        <f t="shared" ca="1" si="30"/>
        <v>0.81872997668063374</v>
      </c>
      <c r="C408" s="23">
        <f t="shared" ca="1" si="34"/>
        <v>386</v>
      </c>
      <c r="D408" s="23">
        <f t="shared" si="31"/>
        <v>290</v>
      </c>
      <c r="E408" s="23">
        <f t="shared" ca="1" si="32"/>
        <v>290</v>
      </c>
      <c r="F408" s="27">
        <v>65</v>
      </c>
      <c r="G408" s="27">
        <v>135</v>
      </c>
      <c r="H408" s="28">
        <f t="shared" ca="1" si="33"/>
        <v>20300</v>
      </c>
      <c r="J408" s="23">
        <v>493</v>
      </c>
      <c r="K408" s="30">
        <v>6500.0355329949234</v>
      </c>
    </row>
    <row r="409" spans="2:11">
      <c r="B409" s="23">
        <f t="shared" ca="1" si="30"/>
        <v>0.95624982067903141</v>
      </c>
      <c r="C409" s="23">
        <f t="shared" ca="1" si="34"/>
        <v>471</v>
      </c>
      <c r="D409" s="23">
        <f t="shared" si="31"/>
        <v>290</v>
      </c>
      <c r="E409" s="23">
        <f t="shared" ca="1" si="32"/>
        <v>290</v>
      </c>
      <c r="F409" s="27">
        <v>65</v>
      </c>
      <c r="G409" s="27">
        <v>135</v>
      </c>
      <c r="H409" s="28">
        <f t="shared" ca="1" si="33"/>
        <v>20300</v>
      </c>
      <c r="J409" s="23">
        <v>494</v>
      </c>
      <c r="K409" s="30">
        <v>6773.0152284263959</v>
      </c>
    </row>
    <row r="410" spans="2:11">
      <c r="B410" s="23">
        <f t="shared" ca="1" si="30"/>
        <v>0.53303556006043495</v>
      </c>
      <c r="C410" s="23">
        <f t="shared" ca="1" si="34"/>
        <v>298</v>
      </c>
      <c r="D410" s="23">
        <f t="shared" si="31"/>
        <v>290</v>
      </c>
      <c r="E410" s="23">
        <f t="shared" ca="1" si="32"/>
        <v>290</v>
      </c>
      <c r="F410" s="27">
        <v>65</v>
      </c>
      <c r="G410" s="27">
        <v>135</v>
      </c>
      <c r="H410" s="28">
        <f t="shared" ca="1" si="33"/>
        <v>20300</v>
      </c>
      <c r="J410" s="23">
        <v>495</v>
      </c>
      <c r="K410" s="30">
        <v>6543.1370558375638</v>
      </c>
    </row>
    <row r="411" spans="2:11">
      <c r="B411" s="23">
        <f t="shared" ca="1" si="30"/>
        <v>6.15704266462056E-2</v>
      </c>
      <c r="C411" s="23">
        <f t="shared" ca="1" si="34"/>
        <v>126</v>
      </c>
      <c r="D411" s="23">
        <f t="shared" si="31"/>
        <v>290</v>
      </c>
      <c r="E411" s="23">
        <f t="shared" ca="1" si="32"/>
        <v>126</v>
      </c>
      <c r="F411" s="27">
        <v>65</v>
      </c>
      <c r="G411" s="27">
        <v>135</v>
      </c>
      <c r="H411" s="28">
        <f t="shared" ca="1" si="33"/>
        <v>-1840</v>
      </c>
      <c r="J411" s="23">
        <v>496</v>
      </c>
      <c r="K411" s="30">
        <v>5989.2588832487309</v>
      </c>
    </row>
    <row r="412" spans="2:11">
      <c r="B412" s="23">
        <f t="shared" ca="1" si="30"/>
        <v>0.36928975817335052</v>
      </c>
      <c r="C412" s="23">
        <f t="shared" ca="1" si="34"/>
        <v>254</v>
      </c>
      <c r="D412" s="23">
        <f t="shared" si="31"/>
        <v>290</v>
      </c>
      <c r="E412" s="23">
        <f t="shared" ca="1" si="32"/>
        <v>254</v>
      </c>
      <c r="F412" s="27">
        <v>65</v>
      </c>
      <c r="G412" s="27">
        <v>135</v>
      </c>
      <c r="H412" s="28">
        <f t="shared" ca="1" si="33"/>
        <v>15440</v>
      </c>
      <c r="J412" s="23">
        <v>497</v>
      </c>
      <c r="K412" s="30">
        <v>6618.1725888324872</v>
      </c>
    </row>
    <row r="413" spans="2:11">
      <c r="B413" s="23">
        <f t="shared" ca="1" si="30"/>
        <v>7.3595660877734947E-2</v>
      </c>
      <c r="C413" s="23">
        <f t="shared" ca="1" si="34"/>
        <v>136</v>
      </c>
      <c r="D413" s="23">
        <f t="shared" si="31"/>
        <v>290</v>
      </c>
      <c r="E413" s="23">
        <f t="shared" ca="1" si="32"/>
        <v>136</v>
      </c>
      <c r="F413" s="27">
        <v>65</v>
      </c>
      <c r="G413" s="27">
        <v>135</v>
      </c>
      <c r="H413" s="28">
        <f t="shared" ca="1" si="33"/>
        <v>-490</v>
      </c>
      <c r="J413" s="23">
        <v>498</v>
      </c>
      <c r="K413" s="30">
        <v>6005.4974619289342</v>
      </c>
    </row>
    <row r="414" spans="2:11">
      <c r="B414" s="23">
        <f t="shared" ca="1" si="30"/>
        <v>0.52528966924577758</v>
      </c>
      <c r="C414" s="23">
        <f t="shared" ca="1" si="34"/>
        <v>296</v>
      </c>
      <c r="D414" s="23">
        <f t="shared" si="31"/>
        <v>290</v>
      </c>
      <c r="E414" s="23">
        <f t="shared" ca="1" si="32"/>
        <v>290</v>
      </c>
      <c r="F414" s="27">
        <v>65</v>
      </c>
      <c r="G414" s="27">
        <v>135</v>
      </c>
      <c r="H414" s="28">
        <f t="shared" ca="1" si="33"/>
        <v>20300</v>
      </c>
      <c r="J414" s="23">
        <v>499</v>
      </c>
      <c r="K414" s="30">
        <v>6706.3654822335029</v>
      </c>
    </row>
    <row r="415" spans="2:11">
      <c r="B415" s="23">
        <f t="shared" ca="1" si="30"/>
        <v>0.13645819302404516</v>
      </c>
      <c r="C415" s="23">
        <f t="shared" ca="1" si="34"/>
        <v>173</v>
      </c>
      <c r="D415" s="23">
        <f t="shared" si="31"/>
        <v>290</v>
      </c>
      <c r="E415" s="23">
        <f t="shared" ca="1" si="32"/>
        <v>173</v>
      </c>
      <c r="F415" s="27">
        <v>65</v>
      </c>
      <c r="G415" s="27">
        <v>135</v>
      </c>
      <c r="H415" s="28">
        <f t="shared" ca="1" si="33"/>
        <v>4505</v>
      </c>
      <c r="J415" s="23">
        <v>500</v>
      </c>
      <c r="K415" s="30">
        <v>6449.2131979695432</v>
      </c>
    </row>
    <row r="416" spans="2:11">
      <c r="B416" s="23">
        <f t="shared" ca="1" si="30"/>
        <v>0.8658183797421668</v>
      </c>
      <c r="C416" s="23">
        <f t="shared" ca="1" si="34"/>
        <v>407</v>
      </c>
      <c r="D416" s="23">
        <f t="shared" si="31"/>
        <v>290</v>
      </c>
      <c r="E416" s="23">
        <f t="shared" ca="1" si="32"/>
        <v>290</v>
      </c>
      <c r="F416" s="27">
        <v>65</v>
      </c>
      <c r="G416" s="27">
        <v>135</v>
      </c>
      <c r="H416" s="28">
        <f ca="1">E416*G416-D416*F416</f>
        <v>20300</v>
      </c>
    </row>
    <row r="417" spans="2:8">
      <c r="B417" s="23">
        <f t="shared" ca="1" si="30"/>
        <v>0.76222708698105146</v>
      </c>
      <c r="C417" s="23">
        <f t="shared" ca="1" si="34"/>
        <v>365</v>
      </c>
      <c r="D417" s="23">
        <f t="shared" si="31"/>
        <v>290</v>
      </c>
      <c r="E417" s="23">
        <f t="shared" ca="1" si="32"/>
        <v>290</v>
      </c>
      <c r="F417" s="27">
        <v>65</v>
      </c>
      <c r="G417" s="27">
        <v>135</v>
      </c>
      <c r="H417" s="28">
        <f t="shared" ca="1" si="33"/>
        <v>20300</v>
      </c>
    </row>
    <row r="418" spans="2:8">
      <c r="B418" s="23">
        <f t="shared" ca="1" si="30"/>
        <v>0.5884085730849633</v>
      </c>
      <c r="C418" s="23">
        <f t="shared" ca="1" si="34"/>
        <v>313</v>
      </c>
      <c r="D418" s="23">
        <f t="shared" si="31"/>
        <v>290</v>
      </c>
      <c r="E418" s="23">
        <f t="shared" ca="1" si="32"/>
        <v>290</v>
      </c>
      <c r="F418" s="27">
        <v>65</v>
      </c>
      <c r="G418" s="27">
        <v>135</v>
      </c>
      <c r="H418" s="28">
        <f t="shared" ca="1" si="33"/>
        <v>20300</v>
      </c>
    </row>
    <row r="419" spans="2:8">
      <c r="B419" s="23">
        <f t="shared" ca="1" si="30"/>
        <v>0.37148889715666122</v>
      </c>
      <c r="C419" s="23">
        <f t="shared" ca="1" si="34"/>
        <v>255</v>
      </c>
      <c r="D419" s="23">
        <f t="shared" si="31"/>
        <v>290</v>
      </c>
      <c r="E419" s="23">
        <f t="shared" ca="1" si="32"/>
        <v>255</v>
      </c>
      <c r="F419" s="27">
        <v>65</v>
      </c>
      <c r="G419" s="27">
        <v>135</v>
      </c>
      <c r="H419" s="28">
        <f t="shared" ca="1" si="33"/>
        <v>15575</v>
      </c>
    </row>
    <row r="420" spans="2:8">
      <c r="B420" s="23">
        <f t="shared" ca="1" si="30"/>
        <v>0.31682435366988571</v>
      </c>
      <c r="C420" s="23">
        <f t="shared" ca="1" si="34"/>
        <v>239</v>
      </c>
      <c r="D420" s="23">
        <f t="shared" si="31"/>
        <v>290</v>
      </c>
      <c r="E420" s="23">
        <f t="shared" ca="1" si="32"/>
        <v>239</v>
      </c>
      <c r="F420" s="27">
        <v>65</v>
      </c>
      <c r="G420" s="27">
        <v>135</v>
      </c>
      <c r="H420" s="28">
        <f t="shared" ca="1" si="33"/>
        <v>13415</v>
      </c>
    </row>
    <row r="421" spans="2:8">
      <c r="B421" s="23">
        <f t="shared" ca="1" si="30"/>
        <v>0.61102939619301977</v>
      </c>
      <c r="C421" s="23">
        <f t="shared" ca="1" si="34"/>
        <v>319</v>
      </c>
      <c r="D421" s="23">
        <f t="shared" si="31"/>
        <v>290</v>
      </c>
      <c r="E421" s="23">
        <f t="shared" ca="1" si="32"/>
        <v>290</v>
      </c>
      <c r="F421" s="27">
        <v>65</v>
      </c>
      <c r="G421" s="27">
        <v>135</v>
      </c>
      <c r="H421" s="28">
        <f t="shared" ca="1" si="33"/>
        <v>20300</v>
      </c>
    </row>
    <row r="422" spans="2:8">
      <c r="B422" s="23">
        <f t="shared" ca="1" si="30"/>
        <v>0.77561854218984183</v>
      </c>
      <c r="C422" s="23">
        <f t="shared" ca="1" si="34"/>
        <v>370</v>
      </c>
      <c r="D422" s="23">
        <f t="shared" si="31"/>
        <v>290</v>
      </c>
      <c r="E422" s="23">
        <f t="shared" ca="1" si="32"/>
        <v>290</v>
      </c>
      <c r="F422" s="27">
        <v>65</v>
      </c>
      <c r="G422" s="27">
        <v>135</v>
      </c>
      <c r="H422" s="28">
        <f t="shared" ca="1" si="33"/>
        <v>20300</v>
      </c>
    </row>
    <row r="423" spans="2:8">
      <c r="B423" s="23">
        <f t="shared" ca="1" si="30"/>
        <v>0.23159259656358855</v>
      </c>
      <c r="C423" s="23">
        <f t="shared" ca="1" si="34"/>
        <v>212</v>
      </c>
      <c r="D423" s="23">
        <f t="shared" si="31"/>
        <v>290</v>
      </c>
      <c r="E423" s="23">
        <f t="shared" ca="1" si="32"/>
        <v>212</v>
      </c>
      <c r="F423" s="27">
        <v>65</v>
      </c>
      <c r="G423" s="27">
        <v>135</v>
      </c>
      <c r="H423" s="28">
        <f ca="1">E423*G423-D423*F423</f>
        <v>9770</v>
      </c>
    </row>
    <row r="424" spans="2:8">
      <c r="B424" s="23">
        <f t="shared" ca="1" si="30"/>
        <v>0.81372567114342598</v>
      </c>
      <c r="C424" s="23">
        <f t="shared" ca="1" si="34"/>
        <v>384</v>
      </c>
      <c r="D424" s="23">
        <f t="shared" si="31"/>
        <v>290</v>
      </c>
      <c r="E424" s="23">
        <f t="shared" ca="1" si="32"/>
        <v>290</v>
      </c>
      <c r="F424" s="27">
        <v>65</v>
      </c>
      <c r="G424" s="27">
        <v>135</v>
      </c>
      <c r="H424" s="28">
        <f t="shared" ca="1" si="33"/>
        <v>20300</v>
      </c>
    </row>
    <row r="425" spans="2:8">
      <c r="B425" s="23">
        <f t="shared" ca="1" si="30"/>
        <v>0.51942055734476544</v>
      </c>
      <c r="C425" s="23">
        <f t="shared" ca="1" si="34"/>
        <v>295</v>
      </c>
      <c r="D425" s="23">
        <f t="shared" si="31"/>
        <v>290</v>
      </c>
      <c r="E425" s="23">
        <f t="shared" ca="1" si="32"/>
        <v>290</v>
      </c>
      <c r="F425" s="27">
        <v>65</v>
      </c>
      <c r="G425" s="27">
        <v>135</v>
      </c>
      <c r="H425" s="28">
        <f t="shared" ca="1" si="33"/>
        <v>20300</v>
      </c>
    </row>
    <row r="426" spans="2:8">
      <c r="B426" s="23">
        <f t="shared" ca="1" si="30"/>
        <v>0.94483283794210815</v>
      </c>
      <c r="C426" s="23">
        <f t="shared" ca="1" si="34"/>
        <v>459</v>
      </c>
      <c r="D426" s="23">
        <f t="shared" si="31"/>
        <v>290</v>
      </c>
      <c r="E426" s="23">
        <f t="shared" ca="1" si="32"/>
        <v>290</v>
      </c>
      <c r="F426" s="27">
        <v>65</v>
      </c>
      <c r="G426" s="27">
        <v>135</v>
      </c>
      <c r="H426" s="28">
        <f t="shared" ca="1" si="33"/>
        <v>20300</v>
      </c>
    </row>
    <row r="427" spans="2:8">
      <c r="B427" s="23">
        <f t="shared" ca="1" si="30"/>
        <v>0.37608536743939669</v>
      </c>
      <c r="C427" s="23">
        <f t="shared" ca="1" si="34"/>
        <v>256</v>
      </c>
      <c r="D427" s="23">
        <f t="shared" si="31"/>
        <v>290</v>
      </c>
      <c r="E427" s="23">
        <f t="shared" ca="1" si="32"/>
        <v>256</v>
      </c>
      <c r="F427" s="27">
        <v>65</v>
      </c>
      <c r="G427" s="27">
        <v>135</v>
      </c>
      <c r="H427" s="28">
        <f t="shared" ca="1" si="33"/>
        <v>15710</v>
      </c>
    </row>
    <row r="428" spans="2:8">
      <c r="B428" s="23">
        <f t="shared" ca="1" si="30"/>
        <v>1.4841424167085782E-3</v>
      </c>
      <c r="C428" s="23">
        <f t="shared" ca="1" si="34"/>
        <v>-25</v>
      </c>
      <c r="D428" s="23">
        <f t="shared" si="31"/>
        <v>290</v>
      </c>
      <c r="E428" s="23">
        <f t="shared" ca="1" si="32"/>
        <v>-25</v>
      </c>
      <c r="F428" s="27">
        <v>65</v>
      </c>
      <c r="G428" s="27">
        <v>135</v>
      </c>
      <c r="H428" s="28">
        <f t="shared" ca="1" si="33"/>
        <v>-22225</v>
      </c>
    </row>
    <row r="429" spans="2:8">
      <c r="B429" s="23">
        <f t="shared" ca="1" si="30"/>
        <v>0.66109312970449208</v>
      </c>
      <c r="C429" s="23">
        <f t="shared" ca="1" si="34"/>
        <v>334</v>
      </c>
      <c r="D429" s="23">
        <f t="shared" si="31"/>
        <v>290</v>
      </c>
      <c r="E429" s="23">
        <f t="shared" ca="1" si="32"/>
        <v>290</v>
      </c>
      <c r="F429" s="27">
        <v>65</v>
      </c>
      <c r="G429" s="27">
        <v>135</v>
      </c>
      <c r="H429" s="28">
        <f t="shared" ca="1" si="33"/>
        <v>20300</v>
      </c>
    </row>
    <row r="430" spans="2:8">
      <c r="B430" s="23">
        <f t="shared" ca="1" si="30"/>
        <v>0.96758486160110324</v>
      </c>
      <c r="C430" s="23">
        <f t="shared" ca="1" si="34"/>
        <v>485</v>
      </c>
      <c r="D430" s="23">
        <f t="shared" si="31"/>
        <v>290</v>
      </c>
      <c r="E430" s="23">
        <f t="shared" ca="1" si="32"/>
        <v>290</v>
      </c>
      <c r="F430" s="27">
        <v>65</v>
      </c>
      <c r="G430" s="27">
        <v>135</v>
      </c>
      <c r="H430" s="28">
        <f t="shared" ca="1" si="33"/>
        <v>20300</v>
      </c>
    </row>
    <row r="431" spans="2:8">
      <c r="B431" s="23">
        <f t="shared" ca="1" si="30"/>
        <v>0.66940537886470231</v>
      </c>
      <c r="C431" s="23">
        <f t="shared" ca="1" si="34"/>
        <v>336</v>
      </c>
      <c r="D431" s="23">
        <f t="shared" si="31"/>
        <v>290</v>
      </c>
      <c r="E431" s="23">
        <f t="shared" ca="1" si="32"/>
        <v>290</v>
      </c>
      <c r="F431" s="27">
        <v>65</v>
      </c>
      <c r="G431" s="27">
        <v>135</v>
      </c>
      <c r="H431" s="28">
        <f t="shared" ca="1" si="33"/>
        <v>20300</v>
      </c>
    </row>
    <row r="432" spans="2:8">
      <c r="B432" s="23">
        <f t="shared" ca="1" si="30"/>
        <v>0.71538768801219887</v>
      </c>
      <c r="C432" s="23">
        <f t="shared" ca="1" si="34"/>
        <v>350</v>
      </c>
      <c r="D432" s="23">
        <f t="shared" si="31"/>
        <v>290</v>
      </c>
      <c r="E432" s="23">
        <f t="shared" ca="1" si="32"/>
        <v>290</v>
      </c>
      <c r="F432" s="27">
        <v>65</v>
      </c>
      <c r="G432" s="27">
        <v>135</v>
      </c>
      <c r="H432" s="28">
        <f t="shared" ca="1" si="33"/>
        <v>20300</v>
      </c>
    </row>
    <row r="433" spans="2:8">
      <c r="B433" s="23">
        <f t="shared" ca="1" si="30"/>
        <v>0.79313282436865296</v>
      </c>
      <c r="C433" s="23">
        <f t="shared" ca="1" si="34"/>
        <v>376</v>
      </c>
      <c r="D433" s="23">
        <f t="shared" si="31"/>
        <v>290</v>
      </c>
      <c r="E433" s="23">
        <f t="shared" ca="1" si="32"/>
        <v>290</v>
      </c>
      <c r="F433" s="27">
        <v>65</v>
      </c>
      <c r="G433" s="27">
        <v>135</v>
      </c>
      <c r="H433" s="28">
        <f t="shared" ca="1" si="33"/>
        <v>20300</v>
      </c>
    </row>
    <row r="434" spans="2:8">
      <c r="B434" s="23">
        <f t="shared" ca="1" si="30"/>
        <v>7.7707842312406794E-2</v>
      </c>
      <c r="C434" s="23">
        <f t="shared" ca="1" si="34"/>
        <v>139</v>
      </c>
      <c r="D434" s="23">
        <f t="shared" si="31"/>
        <v>290</v>
      </c>
      <c r="E434" s="23">
        <f t="shared" ca="1" si="32"/>
        <v>139</v>
      </c>
      <c r="F434" s="27">
        <v>65</v>
      </c>
      <c r="G434" s="27">
        <v>135</v>
      </c>
      <c r="H434" s="28">
        <f t="shared" ca="1" si="33"/>
        <v>-85</v>
      </c>
    </row>
    <row r="435" spans="2:8">
      <c r="B435" s="23">
        <f t="shared" ca="1" si="30"/>
        <v>0.38572970644388338</v>
      </c>
      <c r="C435" s="23">
        <f t="shared" ca="1" si="34"/>
        <v>259</v>
      </c>
      <c r="D435" s="23">
        <f t="shared" si="31"/>
        <v>290</v>
      </c>
      <c r="E435" s="23">
        <f t="shared" ca="1" si="32"/>
        <v>259</v>
      </c>
      <c r="F435" s="27">
        <v>65</v>
      </c>
      <c r="G435" s="27">
        <v>135</v>
      </c>
      <c r="H435" s="28">
        <f t="shared" ca="1" si="33"/>
        <v>16115</v>
      </c>
    </row>
    <row r="436" spans="2:8">
      <c r="B436" s="23">
        <f t="shared" ca="1" si="30"/>
        <v>0.80154375044281401</v>
      </c>
      <c r="C436" s="23">
        <f t="shared" ca="1" si="34"/>
        <v>379</v>
      </c>
      <c r="D436" s="23">
        <f t="shared" si="31"/>
        <v>290</v>
      </c>
      <c r="E436" s="23">
        <f t="shared" ca="1" si="32"/>
        <v>290</v>
      </c>
      <c r="F436" s="27">
        <v>65</v>
      </c>
      <c r="G436" s="27">
        <v>135</v>
      </c>
      <c r="H436" s="28">
        <f t="shared" ca="1" si="33"/>
        <v>20300</v>
      </c>
    </row>
    <row r="437" spans="2:8">
      <c r="B437" s="23">
        <f t="shared" ca="1" si="30"/>
        <v>0.48273201886518213</v>
      </c>
      <c r="C437" s="23">
        <f t="shared" ca="1" si="34"/>
        <v>285</v>
      </c>
      <c r="D437" s="23">
        <f t="shared" si="31"/>
        <v>290</v>
      </c>
      <c r="E437" s="23">
        <f t="shared" ca="1" si="32"/>
        <v>285</v>
      </c>
      <c r="F437" s="27">
        <v>65</v>
      </c>
      <c r="G437" s="27">
        <v>135</v>
      </c>
      <c r="H437" s="28">
        <f t="shared" ca="1" si="33"/>
        <v>19625</v>
      </c>
    </row>
    <row r="438" spans="2:8">
      <c r="B438" s="23">
        <f t="shared" ca="1" si="30"/>
        <v>7.7071467941264959E-2</v>
      </c>
      <c r="C438" s="23">
        <f t="shared" ca="1" si="34"/>
        <v>139</v>
      </c>
      <c r="D438" s="23">
        <f t="shared" si="31"/>
        <v>290</v>
      </c>
      <c r="E438" s="23">
        <f t="shared" ca="1" si="32"/>
        <v>139</v>
      </c>
      <c r="F438" s="27">
        <v>65</v>
      </c>
      <c r="G438" s="27">
        <v>135</v>
      </c>
      <c r="H438" s="28">
        <f t="shared" ca="1" si="33"/>
        <v>-85</v>
      </c>
    </row>
    <row r="439" spans="2:8">
      <c r="B439" s="23">
        <f t="shared" ca="1" si="30"/>
        <v>0.69724476998436957</v>
      </c>
      <c r="C439" s="23">
        <f t="shared" ca="1" si="34"/>
        <v>344</v>
      </c>
      <c r="D439" s="23">
        <f t="shared" si="31"/>
        <v>290</v>
      </c>
      <c r="E439" s="23">
        <f t="shared" ca="1" si="32"/>
        <v>290</v>
      </c>
      <c r="F439" s="27">
        <v>65</v>
      </c>
      <c r="G439" s="27">
        <v>135</v>
      </c>
      <c r="H439" s="28">
        <f t="shared" ca="1" si="33"/>
        <v>20300</v>
      </c>
    </row>
    <row r="440" spans="2:8">
      <c r="B440" s="23">
        <f t="shared" ca="1" si="30"/>
        <v>0.46903301264128805</v>
      </c>
      <c r="C440" s="23">
        <f t="shared" ca="1" si="34"/>
        <v>281</v>
      </c>
      <c r="D440" s="23">
        <f t="shared" si="31"/>
        <v>290</v>
      </c>
      <c r="E440" s="23">
        <f t="shared" ca="1" si="32"/>
        <v>281</v>
      </c>
      <c r="F440" s="27">
        <v>65</v>
      </c>
      <c r="G440" s="27">
        <v>135</v>
      </c>
      <c r="H440" s="28">
        <f t="shared" ca="1" si="33"/>
        <v>19085</v>
      </c>
    </row>
    <row r="441" spans="2:8">
      <c r="B441" s="23">
        <f t="shared" ca="1" si="30"/>
        <v>0.91441355430394078</v>
      </c>
      <c r="C441" s="23">
        <f t="shared" ca="1" si="34"/>
        <v>435</v>
      </c>
      <c r="D441" s="23">
        <f t="shared" si="31"/>
        <v>290</v>
      </c>
      <c r="E441" s="23">
        <f t="shared" ca="1" si="32"/>
        <v>290</v>
      </c>
      <c r="F441" s="27">
        <v>65</v>
      </c>
      <c r="G441" s="27">
        <v>135</v>
      </c>
      <c r="H441" s="28">
        <f t="shared" ca="1" si="33"/>
        <v>20300</v>
      </c>
    </row>
    <row r="442" spans="2:8">
      <c r="B442" s="23">
        <f t="shared" ca="1" si="30"/>
        <v>0.33083294931918439</v>
      </c>
      <c r="C442" s="23">
        <f t="shared" ca="1" si="34"/>
        <v>243</v>
      </c>
      <c r="D442" s="23">
        <f t="shared" si="31"/>
        <v>290</v>
      </c>
      <c r="E442" s="23">
        <f t="shared" ca="1" si="32"/>
        <v>243</v>
      </c>
      <c r="F442" s="27">
        <v>65</v>
      </c>
      <c r="G442" s="27">
        <v>135</v>
      </c>
      <c r="H442" s="28">
        <f t="shared" ca="1" si="33"/>
        <v>13955</v>
      </c>
    </row>
    <row r="443" spans="2:8">
      <c r="B443" s="23">
        <f t="shared" ca="1" si="30"/>
        <v>0.66263751670859627</v>
      </c>
      <c r="C443" s="23">
        <f t="shared" ca="1" si="34"/>
        <v>334</v>
      </c>
      <c r="D443" s="23">
        <f t="shared" si="31"/>
        <v>290</v>
      </c>
      <c r="E443" s="23">
        <f t="shared" ca="1" si="32"/>
        <v>290</v>
      </c>
      <c r="F443" s="27">
        <v>65</v>
      </c>
      <c r="G443" s="27">
        <v>135</v>
      </c>
      <c r="H443" s="28">
        <f t="shared" ca="1" si="33"/>
        <v>20300</v>
      </c>
    </row>
    <row r="444" spans="2:8">
      <c r="B444" s="23">
        <f t="shared" ca="1" si="30"/>
        <v>7.8885020916378057E-2</v>
      </c>
      <c r="C444" s="23">
        <f t="shared" ca="1" si="34"/>
        <v>140</v>
      </c>
      <c r="D444" s="23">
        <f t="shared" si="31"/>
        <v>290</v>
      </c>
      <c r="E444" s="23">
        <f t="shared" ca="1" si="32"/>
        <v>140</v>
      </c>
      <c r="F444" s="27">
        <v>65</v>
      </c>
      <c r="G444" s="27">
        <v>135</v>
      </c>
      <c r="H444" s="28">
        <f t="shared" ca="1" si="33"/>
        <v>50</v>
      </c>
    </row>
    <row r="445" spans="2:8">
      <c r="B445" s="23">
        <f t="shared" ca="1" si="30"/>
        <v>0.89896101386805538</v>
      </c>
      <c r="C445" s="23">
        <f t="shared" ca="1" si="34"/>
        <v>425</v>
      </c>
      <c r="D445" s="23">
        <f t="shared" si="31"/>
        <v>290</v>
      </c>
      <c r="E445" s="23">
        <f t="shared" ca="1" si="32"/>
        <v>290</v>
      </c>
      <c r="F445" s="27">
        <v>65</v>
      </c>
      <c r="G445" s="27">
        <v>135</v>
      </c>
      <c r="H445" s="28">
        <f t="shared" ca="1" si="33"/>
        <v>20300</v>
      </c>
    </row>
    <row r="446" spans="2:8">
      <c r="B446" s="23">
        <f t="shared" ca="1" si="30"/>
        <v>0.37002401555563902</v>
      </c>
      <c r="C446" s="23">
        <f t="shared" ca="1" si="34"/>
        <v>254</v>
      </c>
      <c r="D446" s="23">
        <f t="shared" si="31"/>
        <v>290</v>
      </c>
      <c r="E446" s="23">
        <f t="shared" ca="1" si="32"/>
        <v>254</v>
      </c>
      <c r="F446" s="27">
        <v>65</v>
      </c>
      <c r="G446" s="27">
        <v>135</v>
      </c>
      <c r="H446" s="28">
        <f t="shared" ca="1" si="33"/>
        <v>15440</v>
      </c>
    </row>
    <row r="447" spans="2:8">
      <c r="B447" s="23">
        <f t="shared" ca="1" si="30"/>
        <v>0.18067920613181065</v>
      </c>
      <c r="C447" s="23">
        <f t="shared" ca="1" si="34"/>
        <v>193</v>
      </c>
      <c r="D447" s="23">
        <f t="shared" si="31"/>
        <v>290</v>
      </c>
      <c r="E447" s="23">
        <f t="shared" ca="1" si="32"/>
        <v>193</v>
      </c>
      <c r="F447" s="27">
        <v>65</v>
      </c>
      <c r="G447" s="27">
        <v>135</v>
      </c>
      <c r="H447" s="28">
        <f t="shared" ca="1" si="33"/>
        <v>7205</v>
      </c>
    </row>
    <row r="448" spans="2:8">
      <c r="B448" s="23">
        <f t="shared" ca="1" si="30"/>
        <v>0.45752835269500669</v>
      </c>
      <c r="C448" s="23">
        <f t="shared" ca="1" si="34"/>
        <v>278</v>
      </c>
      <c r="D448" s="23">
        <f t="shared" si="31"/>
        <v>290</v>
      </c>
      <c r="E448" s="23">
        <f t="shared" ca="1" si="32"/>
        <v>278</v>
      </c>
      <c r="F448" s="27">
        <v>65</v>
      </c>
      <c r="G448" s="27">
        <v>135</v>
      </c>
      <c r="H448" s="28">
        <f t="shared" ca="1" si="33"/>
        <v>18680</v>
      </c>
    </row>
    <row r="449" spans="2:8">
      <c r="B449" s="23">
        <f t="shared" ca="1" si="30"/>
        <v>1.9993177130617323E-2</v>
      </c>
      <c r="C449" s="23">
        <f t="shared" ca="1" si="34"/>
        <v>72</v>
      </c>
      <c r="D449" s="23">
        <f t="shared" si="31"/>
        <v>290</v>
      </c>
      <c r="E449" s="23">
        <f t="shared" ca="1" si="32"/>
        <v>72</v>
      </c>
      <c r="F449" s="27">
        <v>65</v>
      </c>
      <c r="G449" s="27">
        <v>135</v>
      </c>
      <c r="H449" s="28">
        <f t="shared" ca="1" si="33"/>
        <v>-9130</v>
      </c>
    </row>
    <row r="450" spans="2:8">
      <c r="B450" s="23">
        <f t="shared" ca="1" si="30"/>
        <v>5.6223197784421863E-5</v>
      </c>
      <c r="C450" s="23">
        <f t="shared" ca="1" si="34"/>
        <v>-120</v>
      </c>
      <c r="D450" s="23">
        <f t="shared" si="31"/>
        <v>290</v>
      </c>
      <c r="E450" s="23">
        <f t="shared" ca="1" si="32"/>
        <v>-120</v>
      </c>
      <c r="F450" s="27">
        <v>65</v>
      </c>
      <c r="G450" s="27">
        <v>135</v>
      </c>
      <c r="H450" s="28">
        <f t="shared" ca="1" si="33"/>
        <v>-35050</v>
      </c>
    </row>
    <row r="451" spans="2:8">
      <c r="B451" s="23">
        <f t="shared" ca="1" si="30"/>
        <v>0.11343817975593606</v>
      </c>
      <c r="C451" s="23">
        <f t="shared" ca="1" si="34"/>
        <v>162</v>
      </c>
      <c r="D451" s="23">
        <f t="shared" si="31"/>
        <v>290</v>
      </c>
      <c r="E451" s="23">
        <f t="shared" ca="1" si="32"/>
        <v>162</v>
      </c>
      <c r="F451" s="27">
        <v>65</v>
      </c>
      <c r="G451" s="27">
        <v>135</v>
      </c>
      <c r="H451" s="28">
        <f t="shared" ca="1" si="33"/>
        <v>3020</v>
      </c>
    </row>
    <row r="452" spans="2:8">
      <c r="B452" s="23">
        <f t="shared" ca="1" si="30"/>
        <v>0.72066225133730344</v>
      </c>
      <c r="C452" s="23">
        <f t="shared" ca="1" si="34"/>
        <v>352</v>
      </c>
      <c r="D452" s="23">
        <f t="shared" si="31"/>
        <v>290</v>
      </c>
      <c r="E452" s="23">
        <f t="shared" ca="1" si="32"/>
        <v>290</v>
      </c>
      <c r="F452" s="27">
        <v>65</v>
      </c>
      <c r="G452" s="27">
        <v>135</v>
      </c>
      <c r="H452" s="28">
        <f t="shared" ca="1" si="33"/>
        <v>20300</v>
      </c>
    </row>
    <row r="453" spans="2:8">
      <c r="B453" s="23">
        <f t="shared" ca="1" si="30"/>
        <v>0.21472160600358769</v>
      </c>
      <c r="C453" s="23">
        <f t="shared" ca="1" si="34"/>
        <v>206</v>
      </c>
      <c r="D453" s="23">
        <f t="shared" si="31"/>
        <v>290</v>
      </c>
      <c r="E453" s="23">
        <f t="shared" ca="1" si="32"/>
        <v>206</v>
      </c>
      <c r="F453" s="27">
        <v>65</v>
      </c>
      <c r="G453" s="27">
        <v>135</v>
      </c>
      <c r="H453" s="28">
        <f t="shared" ca="1" si="33"/>
        <v>8960</v>
      </c>
    </row>
    <row r="454" spans="2:8">
      <c r="B454" s="23">
        <f t="shared" ca="1" si="30"/>
        <v>0.8743161506791266</v>
      </c>
      <c r="C454" s="23">
        <f t="shared" ca="1" si="34"/>
        <v>411</v>
      </c>
      <c r="D454" s="23">
        <f t="shared" si="31"/>
        <v>290</v>
      </c>
      <c r="E454" s="23">
        <f t="shared" ca="1" si="32"/>
        <v>290</v>
      </c>
      <c r="F454" s="27">
        <v>65</v>
      </c>
      <c r="G454" s="27">
        <v>135</v>
      </c>
      <c r="H454" s="28">
        <f t="shared" ca="1" si="33"/>
        <v>20300</v>
      </c>
    </row>
    <row r="455" spans="2:8">
      <c r="B455" s="23">
        <f t="shared" ca="1" si="30"/>
        <v>0.36852010047755279</v>
      </c>
      <c r="C455" s="23">
        <f t="shared" ca="1" si="34"/>
        <v>254</v>
      </c>
      <c r="D455" s="23">
        <f t="shared" si="31"/>
        <v>290</v>
      </c>
      <c r="E455" s="23">
        <f t="shared" ca="1" si="32"/>
        <v>254</v>
      </c>
      <c r="F455" s="27">
        <v>65</v>
      </c>
      <c r="G455" s="27">
        <v>135</v>
      </c>
      <c r="H455" s="28">
        <f t="shared" ca="1" si="33"/>
        <v>15440</v>
      </c>
    </row>
    <row r="456" spans="2:8">
      <c r="B456" s="23">
        <f t="shared" ca="1" si="30"/>
        <v>0.61610878530897184</v>
      </c>
      <c r="C456" s="23">
        <f t="shared" ca="1" si="34"/>
        <v>321</v>
      </c>
      <c r="D456" s="23">
        <f t="shared" si="31"/>
        <v>290</v>
      </c>
      <c r="E456" s="23">
        <f t="shared" ca="1" si="32"/>
        <v>290</v>
      </c>
      <c r="F456" s="27">
        <v>65</v>
      </c>
      <c r="G456" s="27">
        <v>135</v>
      </c>
      <c r="H456" s="28">
        <f t="shared" ca="1" si="33"/>
        <v>20300</v>
      </c>
    </row>
    <row r="457" spans="2:8">
      <c r="B457" s="23">
        <f t="shared" ca="1" si="30"/>
        <v>0.91985362813845029</v>
      </c>
      <c r="C457" s="23">
        <f t="shared" ca="1" si="34"/>
        <v>438</v>
      </c>
      <c r="D457" s="23">
        <f t="shared" si="31"/>
        <v>290</v>
      </c>
      <c r="E457" s="23">
        <f t="shared" ca="1" si="32"/>
        <v>290</v>
      </c>
      <c r="F457" s="27">
        <v>65</v>
      </c>
      <c r="G457" s="27">
        <v>135</v>
      </c>
      <c r="H457" s="28">
        <f t="shared" ca="1" si="33"/>
        <v>20300</v>
      </c>
    </row>
    <row r="458" spans="2:8">
      <c r="B458" s="23">
        <f t="shared" ca="1" si="30"/>
        <v>0.81877215168725404</v>
      </c>
      <c r="C458" s="23">
        <f t="shared" ca="1" si="34"/>
        <v>386</v>
      </c>
      <c r="D458" s="23">
        <f t="shared" si="31"/>
        <v>290</v>
      </c>
      <c r="E458" s="23">
        <f t="shared" ca="1" si="32"/>
        <v>290</v>
      </c>
      <c r="F458" s="27">
        <v>65</v>
      </c>
      <c r="G458" s="27">
        <v>135</v>
      </c>
      <c r="H458" s="28">
        <f t="shared" ca="1" si="33"/>
        <v>20300</v>
      </c>
    </row>
    <row r="459" spans="2:8">
      <c r="B459" s="23">
        <f t="shared" ca="1" si="30"/>
        <v>0.16920276243426824</v>
      </c>
      <c r="C459" s="23">
        <f t="shared" ca="1" si="34"/>
        <v>188</v>
      </c>
      <c r="D459" s="23">
        <f t="shared" si="31"/>
        <v>290</v>
      </c>
      <c r="E459" s="23">
        <f t="shared" ca="1" si="32"/>
        <v>188</v>
      </c>
      <c r="F459" s="27">
        <v>65</v>
      </c>
      <c r="G459" s="27">
        <v>135</v>
      </c>
      <c r="H459" s="28">
        <f t="shared" ca="1" si="33"/>
        <v>6530</v>
      </c>
    </row>
    <row r="460" spans="2:8">
      <c r="B460" s="23">
        <f t="shared" ca="1" si="30"/>
        <v>0.11610272103753583</v>
      </c>
      <c r="C460" s="23">
        <f t="shared" ca="1" si="34"/>
        <v>163</v>
      </c>
      <c r="D460" s="23">
        <f t="shared" si="31"/>
        <v>290</v>
      </c>
      <c r="E460" s="23">
        <f t="shared" ca="1" si="32"/>
        <v>163</v>
      </c>
      <c r="F460" s="27">
        <v>65</v>
      </c>
      <c r="G460" s="27">
        <v>135</v>
      </c>
      <c r="H460" s="28">
        <f t="shared" ca="1" si="33"/>
        <v>3155</v>
      </c>
    </row>
    <row r="461" spans="2:8">
      <c r="B461" s="23">
        <f t="shared" ca="1" si="30"/>
        <v>0.59292396789016588</v>
      </c>
      <c r="C461" s="23">
        <f t="shared" ca="1" si="34"/>
        <v>314</v>
      </c>
      <c r="D461" s="23">
        <f t="shared" si="31"/>
        <v>290</v>
      </c>
      <c r="E461" s="23">
        <f t="shared" ca="1" si="32"/>
        <v>290</v>
      </c>
      <c r="F461" s="27">
        <v>65</v>
      </c>
      <c r="G461" s="27">
        <v>135</v>
      </c>
      <c r="H461" s="28">
        <f t="shared" ca="1" si="33"/>
        <v>20300</v>
      </c>
    </row>
    <row r="462" spans="2:8">
      <c r="B462" s="23">
        <f t="shared" ca="1" si="30"/>
        <v>0.50573665509530952</v>
      </c>
      <c r="C462" s="23">
        <f t="shared" ca="1" si="34"/>
        <v>291</v>
      </c>
      <c r="D462" s="23">
        <f t="shared" si="31"/>
        <v>290</v>
      </c>
      <c r="E462" s="23">
        <f t="shared" ca="1" si="32"/>
        <v>290</v>
      </c>
      <c r="F462" s="27">
        <v>65</v>
      </c>
      <c r="G462" s="27">
        <v>135</v>
      </c>
      <c r="H462" s="28">
        <f t="shared" ca="1" si="33"/>
        <v>20300</v>
      </c>
    </row>
    <row r="463" spans="2:8">
      <c r="B463" s="23">
        <f t="shared" ca="1" si="30"/>
        <v>0.75624167844722534</v>
      </c>
      <c r="C463" s="23">
        <f t="shared" ca="1" si="34"/>
        <v>363</v>
      </c>
      <c r="D463" s="23">
        <f t="shared" si="31"/>
        <v>290</v>
      </c>
      <c r="E463" s="23">
        <f t="shared" ca="1" si="32"/>
        <v>290</v>
      </c>
      <c r="F463" s="27">
        <v>65</v>
      </c>
      <c r="G463" s="27">
        <v>135</v>
      </c>
      <c r="H463" s="28">
        <f t="shared" ca="1" si="33"/>
        <v>20300</v>
      </c>
    </row>
    <row r="464" spans="2:8">
      <c r="B464" s="23">
        <f t="shared" ca="1" si="30"/>
        <v>0.59190363002506374</v>
      </c>
      <c r="C464" s="23">
        <f t="shared" ca="1" si="34"/>
        <v>314</v>
      </c>
      <c r="D464" s="23">
        <f t="shared" si="31"/>
        <v>290</v>
      </c>
      <c r="E464" s="23">
        <f t="shared" ca="1" si="32"/>
        <v>290</v>
      </c>
      <c r="F464" s="27">
        <v>65</v>
      </c>
      <c r="G464" s="27">
        <v>135</v>
      </c>
      <c r="H464" s="28">
        <f t="shared" ca="1" si="33"/>
        <v>20300</v>
      </c>
    </row>
    <row r="465" spans="2:8">
      <c r="B465" s="23">
        <f t="shared" ref="B465:B528" ca="1" si="35">RAND()</f>
        <v>0.77971250178755169</v>
      </c>
      <c r="C465" s="23">
        <f t="shared" ca="1" si="34"/>
        <v>371</v>
      </c>
      <c r="D465" s="23">
        <f t="shared" ref="D465:D528" si="36">$B$9</f>
        <v>290</v>
      </c>
      <c r="E465" s="23">
        <f t="shared" ref="E465:E528" ca="1" si="37">_xlfn.FLOOR.MATH(MIN(C465,D465))</f>
        <v>290</v>
      </c>
      <c r="F465" s="27">
        <v>65</v>
      </c>
      <c r="G465" s="27">
        <v>135</v>
      </c>
      <c r="H465" s="28">
        <f t="shared" ref="H465:H528" ca="1" si="38">E465*G465-D465*F465</f>
        <v>20300</v>
      </c>
    </row>
    <row r="466" spans="2:8">
      <c r="B466" s="23">
        <f t="shared" ca="1" si="35"/>
        <v>0.29655933382272737</v>
      </c>
      <c r="C466" s="23">
        <f t="shared" ref="C466:C529" ca="1" si="39">_xlfn.FLOOR.MATH(_xlfn.NORM.INV(B466,$B$6,$B$7))</f>
        <v>233</v>
      </c>
      <c r="D466" s="23">
        <f t="shared" si="36"/>
        <v>290</v>
      </c>
      <c r="E466" s="23">
        <f t="shared" ca="1" si="37"/>
        <v>233</v>
      </c>
      <c r="F466" s="27">
        <v>65</v>
      </c>
      <c r="G466" s="27">
        <v>135</v>
      </c>
      <c r="H466" s="28">
        <f t="shared" ca="1" si="38"/>
        <v>12605</v>
      </c>
    </row>
    <row r="467" spans="2:8">
      <c r="B467" s="23">
        <f t="shared" ca="1" si="35"/>
        <v>0.67852204022062457</v>
      </c>
      <c r="C467" s="23">
        <f t="shared" ca="1" si="39"/>
        <v>339</v>
      </c>
      <c r="D467" s="23">
        <f t="shared" si="36"/>
        <v>290</v>
      </c>
      <c r="E467" s="23">
        <f t="shared" ca="1" si="37"/>
        <v>290</v>
      </c>
      <c r="F467" s="27">
        <v>65</v>
      </c>
      <c r="G467" s="27">
        <v>135</v>
      </c>
      <c r="H467" s="28">
        <f t="shared" ca="1" si="38"/>
        <v>20300</v>
      </c>
    </row>
    <row r="468" spans="2:8">
      <c r="B468" s="23">
        <f t="shared" ca="1" si="35"/>
        <v>0.11164190467480783</v>
      </c>
      <c r="C468" s="23">
        <f t="shared" ca="1" si="39"/>
        <v>161</v>
      </c>
      <c r="D468" s="23">
        <f t="shared" si="36"/>
        <v>290</v>
      </c>
      <c r="E468" s="23">
        <f t="shared" ca="1" si="37"/>
        <v>161</v>
      </c>
      <c r="F468" s="27">
        <v>65</v>
      </c>
      <c r="G468" s="27">
        <v>135</v>
      </c>
      <c r="H468" s="28">
        <f t="shared" ca="1" si="38"/>
        <v>2885</v>
      </c>
    </row>
    <row r="469" spans="2:8">
      <c r="B469" s="23">
        <f t="shared" ca="1" si="35"/>
        <v>0.44731436325575102</v>
      </c>
      <c r="C469" s="23">
        <f t="shared" ca="1" si="39"/>
        <v>276</v>
      </c>
      <c r="D469" s="23">
        <f t="shared" si="36"/>
        <v>290</v>
      </c>
      <c r="E469" s="23">
        <f t="shared" ca="1" si="37"/>
        <v>276</v>
      </c>
      <c r="F469" s="27">
        <v>65</v>
      </c>
      <c r="G469" s="27">
        <v>135</v>
      </c>
      <c r="H469" s="28">
        <f t="shared" ca="1" si="38"/>
        <v>18410</v>
      </c>
    </row>
    <row r="470" spans="2:8">
      <c r="B470" s="23">
        <f t="shared" ca="1" si="35"/>
        <v>0.67315662000386289</v>
      </c>
      <c r="C470" s="23">
        <f t="shared" ca="1" si="39"/>
        <v>337</v>
      </c>
      <c r="D470" s="23">
        <f t="shared" si="36"/>
        <v>290</v>
      </c>
      <c r="E470" s="23">
        <f t="shared" ca="1" si="37"/>
        <v>290</v>
      </c>
      <c r="F470" s="27">
        <v>65</v>
      </c>
      <c r="G470" s="27">
        <v>135</v>
      </c>
      <c r="H470" s="28">
        <f t="shared" ca="1" si="38"/>
        <v>20300</v>
      </c>
    </row>
    <row r="471" spans="2:8">
      <c r="B471" s="23">
        <f t="shared" ca="1" si="35"/>
        <v>0.36146286780051184</v>
      </c>
      <c r="C471" s="23">
        <f t="shared" ca="1" si="39"/>
        <v>252</v>
      </c>
      <c r="D471" s="23">
        <f t="shared" si="36"/>
        <v>290</v>
      </c>
      <c r="E471" s="23">
        <f t="shared" ca="1" si="37"/>
        <v>252</v>
      </c>
      <c r="F471" s="27">
        <v>65</v>
      </c>
      <c r="G471" s="27">
        <v>135</v>
      </c>
      <c r="H471" s="28">
        <f t="shared" ca="1" si="38"/>
        <v>15170</v>
      </c>
    </row>
    <row r="472" spans="2:8">
      <c r="B472" s="23">
        <f t="shared" ca="1" si="35"/>
        <v>0.59973986308788629</v>
      </c>
      <c r="C472" s="23">
        <f t="shared" ca="1" si="39"/>
        <v>316</v>
      </c>
      <c r="D472" s="23">
        <f t="shared" si="36"/>
        <v>290</v>
      </c>
      <c r="E472" s="23">
        <f t="shared" ca="1" si="37"/>
        <v>290</v>
      </c>
      <c r="F472" s="27">
        <v>65</v>
      </c>
      <c r="G472" s="27">
        <v>135</v>
      </c>
      <c r="H472" s="28">
        <f t="shared" ca="1" si="38"/>
        <v>20300</v>
      </c>
    </row>
    <row r="473" spans="2:8">
      <c r="B473" s="23">
        <f t="shared" ca="1" si="35"/>
        <v>6.512348550055691E-2</v>
      </c>
      <c r="C473" s="23">
        <f t="shared" ca="1" si="39"/>
        <v>129</v>
      </c>
      <c r="D473" s="23">
        <f t="shared" si="36"/>
        <v>290</v>
      </c>
      <c r="E473" s="23">
        <f t="shared" ca="1" si="37"/>
        <v>129</v>
      </c>
      <c r="F473" s="27">
        <v>65</v>
      </c>
      <c r="G473" s="27">
        <v>135</v>
      </c>
      <c r="H473" s="28">
        <f t="shared" ca="1" si="38"/>
        <v>-1435</v>
      </c>
    </row>
    <row r="474" spans="2:8">
      <c r="B474" s="23">
        <f t="shared" ca="1" si="35"/>
        <v>0.68460216119040596</v>
      </c>
      <c r="C474" s="23">
        <f t="shared" ca="1" si="39"/>
        <v>341</v>
      </c>
      <c r="D474" s="23">
        <f t="shared" si="36"/>
        <v>290</v>
      </c>
      <c r="E474" s="23">
        <f t="shared" ca="1" si="37"/>
        <v>290</v>
      </c>
      <c r="F474" s="27">
        <v>65</v>
      </c>
      <c r="G474" s="27">
        <v>135</v>
      </c>
      <c r="H474" s="28">
        <f t="shared" ca="1" si="38"/>
        <v>20300</v>
      </c>
    </row>
    <row r="475" spans="2:8">
      <c r="B475" s="23">
        <f t="shared" ca="1" si="35"/>
        <v>0.88166937195994322</v>
      </c>
      <c r="C475" s="23">
        <f t="shared" ca="1" si="39"/>
        <v>415</v>
      </c>
      <c r="D475" s="23">
        <f t="shared" si="36"/>
        <v>290</v>
      </c>
      <c r="E475" s="23">
        <f t="shared" ca="1" si="37"/>
        <v>290</v>
      </c>
      <c r="F475" s="27">
        <v>65</v>
      </c>
      <c r="G475" s="27">
        <v>135</v>
      </c>
      <c r="H475" s="28">
        <f t="shared" ca="1" si="38"/>
        <v>20300</v>
      </c>
    </row>
    <row r="476" spans="2:8">
      <c r="B476" s="23">
        <f t="shared" ca="1" si="35"/>
        <v>0.31652355072979543</v>
      </c>
      <c r="C476" s="23">
        <f t="shared" ca="1" si="39"/>
        <v>239</v>
      </c>
      <c r="D476" s="23">
        <f t="shared" si="36"/>
        <v>290</v>
      </c>
      <c r="E476" s="23">
        <f t="shared" ca="1" si="37"/>
        <v>239</v>
      </c>
      <c r="F476" s="27">
        <v>65</v>
      </c>
      <c r="G476" s="27">
        <v>135</v>
      </c>
      <c r="H476" s="28">
        <f t="shared" ca="1" si="38"/>
        <v>13415</v>
      </c>
    </row>
    <row r="477" spans="2:8">
      <c r="B477" s="23">
        <f t="shared" ca="1" si="35"/>
        <v>0.24292656962068393</v>
      </c>
      <c r="C477" s="23">
        <f t="shared" ca="1" si="39"/>
        <v>216</v>
      </c>
      <c r="D477" s="23">
        <f t="shared" si="36"/>
        <v>290</v>
      </c>
      <c r="E477" s="23">
        <f t="shared" ca="1" si="37"/>
        <v>216</v>
      </c>
      <c r="F477" s="27">
        <v>65</v>
      </c>
      <c r="G477" s="27">
        <v>135</v>
      </c>
      <c r="H477" s="28">
        <f t="shared" ca="1" si="38"/>
        <v>10310</v>
      </c>
    </row>
    <row r="478" spans="2:8">
      <c r="B478" s="23">
        <f t="shared" ca="1" si="35"/>
        <v>0.93304305526682407</v>
      </c>
      <c r="C478" s="23">
        <f t="shared" ca="1" si="39"/>
        <v>448</v>
      </c>
      <c r="D478" s="23">
        <f t="shared" si="36"/>
        <v>290</v>
      </c>
      <c r="E478" s="23">
        <f t="shared" ca="1" si="37"/>
        <v>290</v>
      </c>
      <c r="F478" s="27">
        <v>65</v>
      </c>
      <c r="G478" s="27">
        <v>135</v>
      </c>
      <c r="H478" s="28">
        <f t="shared" ca="1" si="38"/>
        <v>20300</v>
      </c>
    </row>
    <row r="479" spans="2:8">
      <c r="B479" s="23">
        <f t="shared" ca="1" si="35"/>
        <v>6.4943868533399618E-2</v>
      </c>
      <c r="C479" s="23">
        <f t="shared" ca="1" si="39"/>
        <v>129</v>
      </c>
      <c r="D479" s="23">
        <f t="shared" si="36"/>
        <v>290</v>
      </c>
      <c r="E479" s="23">
        <f t="shared" ca="1" si="37"/>
        <v>129</v>
      </c>
      <c r="F479" s="27">
        <v>65</v>
      </c>
      <c r="G479" s="27">
        <v>135</v>
      </c>
      <c r="H479" s="28">
        <f t="shared" ca="1" si="38"/>
        <v>-1435</v>
      </c>
    </row>
    <row r="480" spans="2:8">
      <c r="B480" s="23">
        <f t="shared" ca="1" si="35"/>
        <v>0.77817167011854382</v>
      </c>
      <c r="C480" s="23">
        <f t="shared" ca="1" si="39"/>
        <v>371</v>
      </c>
      <c r="D480" s="23">
        <f t="shared" si="36"/>
        <v>290</v>
      </c>
      <c r="E480" s="23">
        <f t="shared" ca="1" si="37"/>
        <v>290</v>
      </c>
      <c r="F480" s="27">
        <v>65</v>
      </c>
      <c r="G480" s="27">
        <v>135</v>
      </c>
      <c r="H480" s="28">
        <f t="shared" ca="1" si="38"/>
        <v>20300</v>
      </c>
    </row>
    <row r="481" spans="2:8">
      <c r="B481" s="23">
        <f t="shared" ca="1" si="35"/>
        <v>4.067702671662643E-2</v>
      </c>
      <c r="C481" s="23">
        <f t="shared" ca="1" si="39"/>
        <v>105</v>
      </c>
      <c r="D481" s="23">
        <f t="shared" si="36"/>
        <v>290</v>
      </c>
      <c r="E481" s="23">
        <f t="shared" ca="1" si="37"/>
        <v>105</v>
      </c>
      <c r="F481" s="27">
        <v>65</v>
      </c>
      <c r="G481" s="27">
        <v>135</v>
      </c>
      <c r="H481" s="28">
        <f t="shared" ca="1" si="38"/>
        <v>-4675</v>
      </c>
    </row>
    <row r="482" spans="2:8">
      <c r="B482" s="23">
        <f t="shared" ca="1" si="35"/>
        <v>0.86089949228869145</v>
      </c>
      <c r="C482" s="23">
        <f t="shared" ca="1" si="39"/>
        <v>405</v>
      </c>
      <c r="D482" s="23">
        <f t="shared" si="36"/>
        <v>290</v>
      </c>
      <c r="E482" s="23">
        <f t="shared" ca="1" si="37"/>
        <v>290</v>
      </c>
      <c r="F482" s="27">
        <v>65</v>
      </c>
      <c r="G482" s="27">
        <v>135</v>
      </c>
      <c r="H482" s="28">
        <f t="shared" ca="1" si="38"/>
        <v>20300</v>
      </c>
    </row>
    <row r="483" spans="2:8">
      <c r="B483" s="23">
        <f t="shared" ca="1" si="35"/>
        <v>0.13157148408837327</v>
      </c>
      <c r="C483" s="23">
        <f t="shared" ca="1" si="39"/>
        <v>171</v>
      </c>
      <c r="D483" s="23">
        <f t="shared" si="36"/>
        <v>290</v>
      </c>
      <c r="E483" s="23">
        <f t="shared" ca="1" si="37"/>
        <v>171</v>
      </c>
      <c r="F483" s="27">
        <v>65</v>
      </c>
      <c r="G483" s="27">
        <v>135</v>
      </c>
      <c r="H483" s="28">
        <f t="shared" ca="1" si="38"/>
        <v>4235</v>
      </c>
    </row>
    <row r="484" spans="2:8">
      <c r="B484" s="23">
        <f t="shared" ca="1" si="35"/>
        <v>0.58596400265896398</v>
      </c>
      <c r="C484" s="23">
        <f t="shared" ca="1" si="39"/>
        <v>313</v>
      </c>
      <c r="D484" s="23">
        <f t="shared" si="36"/>
        <v>290</v>
      </c>
      <c r="E484" s="23">
        <f t="shared" ca="1" si="37"/>
        <v>290</v>
      </c>
      <c r="F484" s="27">
        <v>65</v>
      </c>
      <c r="G484" s="27">
        <v>135</v>
      </c>
      <c r="H484" s="28">
        <f t="shared" ca="1" si="38"/>
        <v>20300</v>
      </c>
    </row>
    <row r="485" spans="2:8">
      <c r="B485" s="23">
        <f t="shared" ca="1" si="35"/>
        <v>0.69201564621460521</v>
      </c>
      <c r="C485" s="23">
        <f t="shared" ca="1" si="39"/>
        <v>343</v>
      </c>
      <c r="D485" s="23">
        <f t="shared" si="36"/>
        <v>290</v>
      </c>
      <c r="E485" s="23">
        <f t="shared" ca="1" si="37"/>
        <v>290</v>
      </c>
      <c r="F485" s="27">
        <v>65</v>
      </c>
      <c r="G485" s="27">
        <v>135</v>
      </c>
      <c r="H485" s="28">
        <f t="shared" ca="1" si="38"/>
        <v>20300</v>
      </c>
    </row>
    <row r="486" spans="2:8">
      <c r="B486" s="23">
        <f t="shared" ca="1" si="35"/>
        <v>0.97044360594877765</v>
      </c>
      <c r="C486" s="23">
        <f t="shared" ca="1" si="39"/>
        <v>490</v>
      </c>
      <c r="D486" s="23">
        <f t="shared" si="36"/>
        <v>290</v>
      </c>
      <c r="E486" s="23">
        <f t="shared" ca="1" si="37"/>
        <v>290</v>
      </c>
      <c r="F486" s="27">
        <v>65</v>
      </c>
      <c r="G486" s="27">
        <v>135</v>
      </c>
      <c r="H486" s="28">
        <f t="shared" ca="1" si="38"/>
        <v>20300</v>
      </c>
    </row>
    <row r="487" spans="2:8">
      <c r="B487" s="23">
        <f t="shared" ca="1" si="35"/>
        <v>0.74405780630627016</v>
      </c>
      <c r="C487" s="23">
        <f t="shared" ca="1" si="39"/>
        <v>359</v>
      </c>
      <c r="D487" s="23">
        <f t="shared" si="36"/>
        <v>290</v>
      </c>
      <c r="E487" s="23">
        <f t="shared" ca="1" si="37"/>
        <v>290</v>
      </c>
      <c r="F487" s="27">
        <v>65</v>
      </c>
      <c r="G487" s="27">
        <v>135</v>
      </c>
      <c r="H487" s="28">
        <f t="shared" ca="1" si="38"/>
        <v>20300</v>
      </c>
    </row>
    <row r="488" spans="2:8">
      <c r="B488" s="23">
        <f t="shared" ca="1" si="35"/>
        <v>0.28250992578366863</v>
      </c>
      <c r="C488" s="23">
        <f t="shared" ca="1" si="39"/>
        <v>229</v>
      </c>
      <c r="D488" s="23">
        <f t="shared" si="36"/>
        <v>290</v>
      </c>
      <c r="E488" s="23">
        <f t="shared" ca="1" si="37"/>
        <v>229</v>
      </c>
      <c r="F488" s="27">
        <v>65</v>
      </c>
      <c r="G488" s="27">
        <v>135</v>
      </c>
      <c r="H488" s="28">
        <f t="shared" ca="1" si="38"/>
        <v>12065</v>
      </c>
    </row>
    <row r="489" spans="2:8">
      <c r="B489" s="23">
        <f t="shared" ca="1" si="35"/>
        <v>0.81571907530148835</v>
      </c>
      <c r="C489" s="23">
        <f t="shared" ca="1" si="39"/>
        <v>385</v>
      </c>
      <c r="D489" s="23">
        <f t="shared" si="36"/>
        <v>290</v>
      </c>
      <c r="E489" s="23">
        <f t="shared" ca="1" si="37"/>
        <v>290</v>
      </c>
      <c r="F489" s="27">
        <v>65</v>
      </c>
      <c r="G489" s="27">
        <v>135</v>
      </c>
      <c r="H489" s="28">
        <f t="shared" ca="1" si="38"/>
        <v>20300</v>
      </c>
    </row>
    <row r="490" spans="2:8">
      <c r="B490" s="23">
        <f t="shared" ca="1" si="35"/>
        <v>0.11337254235529071</v>
      </c>
      <c r="C490" s="23">
        <f t="shared" ca="1" si="39"/>
        <v>161</v>
      </c>
      <c r="D490" s="23">
        <f t="shared" si="36"/>
        <v>290</v>
      </c>
      <c r="E490" s="23">
        <f t="shared" ca="1" si="37"/>
        <v>161</v>
      </c>
      <c r="F490" s="27">
        <v>65</v>
      </c>
      <c r="G490" s="27">
        <v>135</v>
      </c>
      <c r="H490" s="28">
        <f t="shared" ca="1" si="38"/>
        <v>2885</v>
      </c>
    </row>
    <row r="491" spans="2:8">
      <c r="B491" s="23">
        <f t="shared" ca="1" si="35"/>
        <v>0.10564571801373868</v>
      </c>
      <c r="C491" s="23">
        <f t="shared" ca="1" si="39"/>
        <v>157</v>
      </c>
      <c r="D491" s="23">
        <f t="shared" si="36"/>
        <v>290</v>
      </c>
      <c r="E491" s="23">
        <f t="shared" ca="1" si="37"/>
        <v>157</v>
      </c>
      <c r="F491" s="27">
        <v>65</v>
      </c>
      <c r="G491" s="27">
        <v>135</v>
      </c>
      <c r="H491" s="28">
        <f t="shared" ca="1" si="38"/>
        <v>2345</v>
      </c>
    </row>
    <row r="492" spans="2:8">
      <c r="B492" s="23">
        <f t="shared" ca="1" si="35"/>
        <v>0.55783271385752264</v>
      </c>
      <c r="C492" s="23">
        <f t="shared" ca="1" si="39"/>
        <v>305</v>
      </c>
      <c r="D492" s="23">
        <f t="shared" si="36"/>
        <v>290</v>
      </c>
      <c r="E492" s="23">
        <f t="shared" ca="1" si="37"/>
        <v>290</v>
      </c>
      <c r="F492" s="27">
        <v>65</v>
      </c>
      <c r="G492" s="27">
        <v>135</v>
      </c>
      <c r="H492" s="28">
        <f t="shared" ca="1" si="38"/>
        <v>20300</v>
      </c>
    </row>
    <row r="493" spans="2:8">
      <c r="B493" s="23">
        <f t="shared" ca="1" si="35"/>
        <v>0.26640742348223279</v>
      </c>
      <c r="C493" s="23">
        <f t="shared" ca="1" si="39"/>
        <v>223</v>
      </c>
      <c r="D493" s="23">
        <f t="shared" si="36"/>
        <v>290</v>
      </c>
      <c r="E493" s="23">
        <f t="shared" ca="1" si="37"/>
        <v>223</v>
      </c>
      <c r="F493" s="27">
        <v>65</v>
      </c>
      <c r="G493" s="27">
        <v>135</v>
      </c>
      <c r="H493" s="28">
        <f t="shared" ca="1" si="38"/>
        <v>11255</v>
      </c>
    </row>
    <row r="494" spans="2:8">
      <c r="B494" s="23">
        <f t="shared" ca="1" si="35"/>
        <v>0.98127366275142869</v>
      </c>
      <c r="C494" s="23">
        <f t="shared" ca="1" si="39"/>
        <v>510</v>
      </c>
      <c r="D494" s="23">
        <f t="shared" si="36"/>
        <v>290</v>
      </c>
      <c r="E494" s="23">
        <f t="shared" ca="1" si="37"/>
        <v>290</v>
      </c>
      <c r="F494" s="27">
        <v>65</v>
      </c>
      <c r="G494" s="27">
        <v>135</v>
      </c>
      <c r="H494" s="28">
        <f t="shared" ca="1" si="38"/>
        <v>20300</v>
      </c>
    </row>
    <row r="495" spans="2:8">
      <c r="B495" s="23">
        <f t="shared" ca="1" si="35"/>
        <v>0.90036993337464488</v>
      </c>
      <c r="C495" s="23">
        <f t="shared" ca="1" si="39"/>
        <v>426</v>
      </c>
      <c r="D495" s="23">
        <f t="shared" si="36"/>
        <v>290</v>
      </c>
      <c r="E495" s="23">
        <f t="shared" ca="1" si="37"/>
        <v>290</v>
      </c>
      <c r="F495" s="27">
        <v>65</v>
      </c>
      <c r="G495" s="27">
        <v>135</v>
      </c>
      <c r="H495" s="28">
        <f t="shared" ca="1" si="38"/>
        <v>20300</v>
      </c>
    </row>
    <row r="496" spans="2:8">
      <c r="B496" s="23">
        <f t="shared" ca="1" si="35"/>
        <v>0.77650154980336261</v>
      </c>
      <c r="C496" s="23">
        <f t="shared" ca="1" si="39"/>
        <v>370</v>
      </c>
      <c r="D496" s="23">
        <f t="shared" si="36"/>
        <v>290</v>
      </c>
      <c r="E496" s="23">
        <f t="shared" ca="1" si="37"/>
        <v>290</v>
      </c>
      <c r="F496" s="27">
        <v>65</v>
      </c>
      <c r="G496" s="27">
        <v>135</v>
      </c>
      <c r="H496" s="28">
        <f t="shared" ca="1" si="38"/>
        <v>20300</v>
      </c>
    </row>
    <row r="497" spans="2:8">
      <c r="B497" s="23">
        <f t="shared" ca="1" si="35"/>
        <v>0.9021796325577881</v>
      </c>
      <c r="C497" s="23">
        <f t="shared" ca="1" si="39"/>
        <v>427</v>
      </c>
      <c r="D497" s="23">
        <f t="shared" si="36"/>
        <v>290</v>
      </c>
      <c r="E497" s="23">
        <f t="shared" ca="1" si="37"/>
        <v>290</v>
      </c>
      <c r="F497" s="27">
        <v>65</v>
      </c>
      <c r="G497" s="27">
        <v>135</v>
      </c>
      <c r="H497" s="28">
        <f t="shared" ca="1" si="38"/>
        <v>20300</v>
      </c>
    </row>
    <row r="498" spans="2:8">
      <c r="B498" s="23">
        <f t="shared" ca="1" si="35"/>
        <v>0.15715760086578068</v>
      </c>
      <c r="C498" s="23">
        <f t="shared" ca="1" si="39"/>
        <v>183</v>
      </c>
      <c r="D498" s="23">
        <f t="shared" si="36"/>
        <v>290</v>
      </c>
      <c r="E498" s="23">
        <f t="shared" ca="1" si="37"/>
        <v>183</v>
      </c>
      <c r="F498" s="27">
        <v>65</v>
      </c>
      <c r="G498" s="27">
        <v>135</v>
      </c>
      <c r="H498" s="28">
        <f t="shared" ca="1" si="38"/>
        <v>5855</v>
      </c>
    </row>
    <row r="499" spans="2:8">
      <c r="B499" s="23">
        <f t="shared" ca="1" si="35"/>
        <v>0.35525981990650912</v>
      </c>
      <c r="C499" s="23">
        <f t="shared" ca="1" si="39"/>
        <v>250</v>
      </c>
      <c r="D499" s="23">
        <f t="shared" si="36"/>
        <v>290</v>
      </c>
      <c r="E499" s="23">
        <f t="shared" ca="1" si="37"/>
        <v>250</v>
      </c>
      <c r="F499" s="27">
        <v>65</v>
      </c>
      <c r="G499" s="27">
        <v>135</v>
      </c>
      <c r="H499" s="28">
        <f t="shared" ca="1" si="38"/>
        <v>14900</v>
      </c>
    </row>
    <row r="500" spans="2:8">
      <c r="B500" s="23">
        <f t="shared" ca="1" si="35"/>
        <v>0.1484474763590149</v>
      </c>
      <c r="C500" s="23">
        <f t="shared" ca="1" si="39"/>
        <v>179</v>
      </c>
      <c r="D500" s="23">
        <f t="shared" si="36"/>
        <v>290</v>
      </c>
      <c r="E500" s="23">
        <f t="shared" ca="1" si="37"/>
        <v>179</v>
      </c>
      <c r="F500" s="27">
        <v>65</v>
      </c>
      <c r="G500" s="27">
        <v>135</v>
      </c>
      <c r="H500" s="28">
        <f t="shared" ca="1" si="38"/>
        <v>5315</v>
      </c>
    </row>
    <row r="501" spans="2:8">
      <c r="B501" s="23">
        <f t="shared" ca="1" si="35"/>
        <v>0.69144328624521578</v>
      </c>
      <c r="C501" s="23">
        <f t="shared" ca="1" si="39"/>
        <v>343</v>
      </c>
      <c r="D501" s="23">
        <f t="shared" si="36"/>
        <v>290</v>
      </c>
      <c r="E501" s="23">
        <f t="shared" ca="1" si="37"/>
        <v>290</v>
      </c>
      <c r="F501" s="27">
        <v>65</v>
      </c>
      <c r="G501" s="27">
        <v>135</v>
      </c>
      <c r="H501" s="28">
        <f t="shared" ca="1" si="38"/>
        <v>20300</v>
      </c>
    </row>
    <row r="502" spans="2:8">
      <c r="B502" s="23">
        <f t="shared" ca="1" si="35"/>
        <v>0.27480177174387876</v>
      </c>
      <c r="C502" s="23">
        <f t="shared" ca="1" si="39"/>
        <v>226</v>
      </c>
      <c r="D502" s="23">
        <f t="shared" si="36"/>
        <v>290</v>
      </c>
      <c r="E502" s="23">
        <f t="shared" ca="1" si="37"/>
        <v>226</v>
      </c>
      <c r="F502" s="27">
        <v>65</v>
      </c>
      <c r="G502" s="27">
        <v>135</v>
      </c>
      <c r="H502" s="28">
        <f t="shared" ca="1" si="38"/>
        <v>11660</v>
      </c>
    </row>
    <row r="503" spans="2:8">
      <c r="B503" s="23">
        <f t="shared" ca="1" si="35"/>
        <v>1.3603766780036053E-2</v>
      </c>
      <c r="C503" s="23">
        <f t="shared" ca="1" si="39"/>
        <v>56</v>
      </c>
      <c r="D503" s="23">
        <f t="shared" si="36"/>
        <v>290</v>
      </c>
      <c r="E503" s="23">
        <f t="shared" ca="1" si="37"/>
        <v>56</v>
      </c>
      <c r="F503" s="27">
        <v>65</v>
      </c>
      <c r="G503" s="27">
        <v>135</v>
      </c>
      <c r="H503" s="28">
        <f t="shared" ca="1" si="38"/>
        <v>-11290</v>
      </c>
    </row>
    <row r="504" spans="2:8">
      <c r="B504" s="23">
        <f t="shared" ca="1" si="35"/>
        <v>0.97723483606727024</v>
      </c>
      <c r="C504" s="23">
        <f t="shared" ca="1" si="39"/>
        <v>502</v>
      </c>
      <c r="D504" s="23">
        <f t="shared" si="36"/>
        <v>290</v>
      </c>
      <c r="E504" s="23">
        <f t="shared" ca="1" si="37"/>
        <v>290</v>
      </c>
      <c r="F504" s="27">
        <v>65</v>
      </c>
      <c r="G504" s="27">
        <v>135</v>
      </c>
      <c r="H504" s="28">
        <f t="shared" ca="1" si="38"/>
        <v>20300</v>
      </c>
    </row>
    <row r="505" spans="2:8">
      <c r="B505" s="23">
        <f t="shared" ca="1" si="35"/>
        <v>0.19477783991656938</v>
      </c>
      <c r="C505" s="23">
        <f t="shared" ca="1" si="39"/>
        <v>198</v>
      </c>
      <c r="D505" s="23">
        <f t="shared" si="36"/>
        <v>290</v>
      </c>
      <c r="E505" s="23">
        <f t="shared" ca="1" si="37"/>
        <v>198</v>
      </c>
      <c r="F505" s="27">
        <v>65</v>
      </c>
      <c r="G505" s="27">
        <v>135</v>
      </c>
      <c r="H505" s="28">
        <f t="shared" ca="1" si="38"/>
        <v>7880</v>
      </c>
    </row>
    <row r="506" spans="2:8">
      <c r="B506" s="23">
        <f t="shared" ca="1" si="35"/>
        <v>4.5307000283046905E-3</v>
      </c>
      <c r="C506" s="23">
        <f t="shared" ca="1" si="39"/>
        <v>13</v>
      </c>
      <c r="D506" s="23">
        <f t="shared" si="36"/>
        <v>290</v>
      </c>
      <c r="E506" s="23">
        <f t="shared" ca="1" si="37"/>
        <v>13</v>
      </c>
      <c r="F506" s="27">
        <v>65</v>
      </c>
      <c r="G506" s="27">
        <v>135</v>
      </c>
      <c r="H506" s="28">
        <f t="shared" ca="1" si="38"/>
        <v>-17095</v>
      </c>
    </row>
    <row r="507" spans="2:8">
      <c r="B507" s="23">
        <f t="shared" ca="1" si="35"/>
        <v>0.20488114714961758</v>
      </c>
      <c r="C507" s="23">
        <f t="shared" ca="1" si="39"/>
        <v>202</v>
      </c>
      <c r="D507" s="23">
        <f t="shared" si="36"/>
        <v>290</v>
      </c>
      <c r="E507" s="23">
        <f t="shared" ca="1" si="37"/>
        <v>202</v>
      </c>
      <c r="F507" s="27">
        <v>65</v>
      </c>
      <c r="G507" s="27">
        <v>135</v>
      </c>
      <c r="H507" s="28">
        <f t="shared" ca="1" si="38"/>
        <v>8420</v>
      </c>
    </row>
    <row r="508" spans="2:8">
      <c r="B508" s="23">
        <f t="shared" ca="1" si="35"/>
        <v>0.83264049065607937</v>
      </c>
      <c r="C508" s="23">
        <f t="shared" ca="1" si="39"/>
        <v>392</v>
      </c>
      <c r="D508" s="23">
        <f t="shared" si="36"/>
        <v>290</v>
      </c>
      <c r="E508" s="23">
        <f t="shared" ca="1" si="37"/>
        <v>290</v>
      </c>
      <c r="F508" s="27">
        <v>65</v>
      </c>
      <c r="G508" s="27">
        <v>135</v>
      </c>
      <c r="H508" s="28">
        <f t="shared" ca="1" si="38"/>
        <v>20300</v>
      </c>
    </row>
    <row r="509" spans="2:8">
      <c r="B509" s="23">
        <f t="shared" ca="1" si="35"/>
        <v>0.10721124566911278</v>
      </c>
      <c r="C509" s="23">
        <f t="shared" ca="1" si="39"/>
        <v>158</v>
      </c>
      <c r="D509" s="23">
        <f t="shared" si="36"/>
        <v>290</v>
      </c>
      <c r="E509" s="23">
        <f t="shared" ca="1" si="37"/>
        <v>158</v>
      </c>
      <c r="F509" s="27">
        <v>65</v>
      </c>
      <c r="G509" s="27">
        <v>135</v>
      </c>
      <c r="H509" s="28">
        <f t="shared" ca="1" si="38"/>
        <v>2480</v>
      </c>
    </row>
    <row r="510" spans="2:8">
      <c r="B510" s="23">
        <f t="shared" ca="1" si="35"/>
        <v>6.6345806778684846E-2</v>
      </c>
      <c r="C510" s="23">
        <f t="shared" ca="1" si="39"/>
        <v>130</v>
      </c>
      <c r="D510" s="23">
        <f t="shared" si="36"/>
        <v>290</v>
      </c>
      <c r="E510" s="23">
        <f t="shared" ca="1" si="37"/>
        <v>130</v>
      </c>
      <c r="F510" s="27">
        <v>65</v>
      </c>
      <c r="G510" s="27">
        <v>135</v>
      </c>
      <c r="H510" s="28">
        <f t="shared" ca="1" si="38"/>
        <v>-1300</v>
      </c>
    </row>
    <row r="511" spans="2:8">
      <c r="B511" s="23">
        <f t="shared" ca="1" si="35"/>
        <v>0.20630174910662402</v>
      </c>
      <c r="C511" s="23">
        <f t="shared" ca="1" si="39"/>
        <v>203</v>
      </c>
      <c r="D511" s="23">
        <f t="shared" si="36"/>
        <v>290</v>
      </c>
      <c r="E511" s="23">
        <f t="shared" ca="1" si="37"/>
        <v>203</v>
      </c>
      <c r="F511" s="27">
        <v>65</v>
      </c>
      <c r="G511" s="27">
        <v>135</v>
      </c>
      <c r="H511" s="28">
        <f t="shared" ca="1" si="38"/>
        <v>8555</v>
      </c>
    </row>
    <row r="512" spans="2:8">
      <c r="B512" s="23">
        <f t="shared" ca="1" si="35"/>
        <v>0.19536867053401119</v>
      </c>
      <c r="C512" s="23">
        <f t="shared" ca="1" si="39"/>
        <v>199</v>
      </c>
      <c r="D512" s="23">
        <f t="shared" si="36"/>
        <v>290</v>
      </c>
      <c r="E512" s="23">
        <f t="shared" ca="1" si="37"/>
        <v>199</v>
      </c>
      <c r="F512" s="27">
        <v>65</v>
      </c>
      <c r="G512" s="27">
        <v>135</v>
      </c>
      <c r="H512" s="28">
        <f t="shared" ca="1" si="38"/>
        <v>8015</v>
      </c>
    </row>
    <row r="513" spans="2:8">
      <c r="B513" s="23">
        <f t="shared" ca="1" si="35"/>
        <v>0.6067286726675023</v>
      </c>
      <c r="C513" s="23">
        <f t="shared" ca="1" si="39"/>
        <v>318</v>
      </c>
      <c r="D513" s="23">
        <f t="shared" si="36"/>
        <v>290</v>
      </c>
      <c r="E513" s="23">
        <f t="shared" ca="1" si="37"/>
        <v>290</v>
      </c>
      <c r="F513" s="27">
        <v>65</v>
      </c>
      <c r="G513" s="27">
        <v>135</v>
      </c>
      <c r="H513" s="28">
        <f t="shared" ca="1" si="38"/>
        <v>20300</v>
      </c>
    </row>
    <row r="514" spans="2:8">
      <c r="B514" s="23">
        <f t="shared" ca="1" si="35"/>
        <v>0.4885498756761989</v>
      </c>
      <c r="C514" s="23">
        <f t="shared" ca="1" si="39"/>
        <v>287</v>
      </c>
      <c r="D514" s="23">
        <f t="shared" si="36"/>
        <v>290</v>
      </c>
      <c r="E514" s="23">
        <f t="shared" ca="1" si="37"/>
        <v>287</v>
      </c>
      <c r="F514" s="27">
        <v>65</v>
      </c>
      <c r="G514" s="27">
        <v>135</v>
      </c>
      <c r="H514" s="28">
        <f t="shared" ca="1" si="38"/>
        <v>19895</v>
      </c>
    </row>
    <row r="515" spans="2:8">
      <c r="B515" s="23">
        <f t="shared" ca="1" si="35"/>
        <v>0.18400437336198661</v>
      </c>
      <c r="C515" s="23">
        <f t="shared" ca="1" si="39"/>
        <v>194</v>
      </c>
      <c r="D515" s="23">
        <f t="shared" si="36"/>
        <v>290</v>
      </c>
      <c r="E515" s="23">
        <f t="shared" ca="1" si="37"/>
        <v>194</v>
      </c>
      <c r="F515" s="27">
        <v>65</v>
      </c>
      <c r="G515" s="27">
        <v>135</v>
      </c>
      <c r="H515" s="28">
        <f t="shared" ca="1" si="38"/>
        <v>7340</v>
      </c>
    </row>
    <row r="516" spans="2:8">
      <c r="B516" s="23">
        <f t="shared" ca="1" si="35"/>
        <v>0.30404081218904722</v>
      </c>
      <c r="C516" s="23">
        <f t="shared" ca="1" si="39"/>
        <v>235</v>
      </c>
      <c r="D516" s="23">
        <f t="shared" si="36"/>
        <v>290</v>
      </c>
      <c r="E516" s="23">
        <f t="shared" ca="1" si="37"/>
        <v>235</v>
      </c>
      <c r="F516" s="27">
        <v>65</v>
      </c>
      <c r="G516" s="27">
        <v>135</v>
      </c>
      <c r="H516" s="28">
        <f t="shared" ca="1" si="38"/>
        <v>12875</v>
      </c>
    </row>
    <row r="517" spans="2:8">
      <c r="B517" s="23">
        <f t="shared" ca="1" si="35"/>
        <v>0.57530988499978319</v>
      </c>
      <c r="C517" s="23">
        <f t="shared" ca="1" si="39"/>
        <v>310</v>
      </c>
      <c r="D517" s="23">
        <f t="shared" si="36"/>
        <v>290</v>
      </c>
      <c r="E517" s="23">
        <f t="shared" ca="1" si="37"/>
        <v>290</v>
      </c>
      <c r="F517" s="27">
        <v>65</v>
      </c>
      <c r="G517" s="27">
        <v>135</v>
      </c>
      <c r="H517" s="28">
        <f t="shared" ca="1" si="38"/>
        <v>20300</v>
      </c>
    </row>
    <row r="518" spans="2:8">
      <c r="B518" s="23">
        <f t="shared" ca="1" si="35"/>
        <v>0.65447820689418834</v>
      </c>
      <c r="C518" s="23">
        <f t="shared" ca="1" si="39"/>
        <v>332</v>
      </c>
      <c r="D518" s="23">
        <f t="shared" si="36"/>
        <v>290</v>
      </c>
      <c r="E518" s="23">
        <f t="shared" ca="1" si="37"/>
        <v>290</v>
      </c>
      <c r="F518" s="27">
        <v>65</v>
      </c>
      <c r="G518" s="27">
        <v>135</v>
      </c>
      <c r="H518" s="28">
        <f t="shared" ca="1" si="38"/>
        <v>20300</v>
      </c>
    </row>
    <row r="519" spans="2:8">
      <c r="B519" s="23">
        <f t="shared" ca="1" si="35"/>
        <v>0.18536639868590044</v>
      </c>
      <c r="C519" s="23">
        <f t="shared" ca="1" si="39"/>
        <v>195</v>
      </c>
      <c r="D519" s="23">
        <f t="shared" si="36"/>
        <v>290</v>
      </c>
      <c r="E519" s="23">
        <f t="shared" ca="1" si="37"/>
        <v>195</v>
      </c>
      <c r="F519" s="27">
        <v>65</v>
      </c>
      <c r="G519" s="27">
        <v>135</v>
      </c>
      <c r="H519" s="28">
        <f t="shared" ca="1" si="38"/>
        <v>7475</v>
      </c>
    </row>
    <row r="520" spans="2:8">
      <c r="B520" s="23">
        <f t="shared" ca="1" si="35"/>
        <v>0.70764402935462778</v>
      </c>
      <c r="C520" s="23">
        <f t="shared" ca="1" si="39"/>
        <v>348</v>
      </c>
      <c r="D520" s="23">
        <f t="shared" si="36"/>
        <v>290</v>
      </c>
      <c r="E520" s="23">
        <f t="shared" ca="1" si="37"/>
        <v>290</v>
      </c>
      <c r="F520" s="27">
        <v>65</v>
      </c>
      <c r="G520" s="27">
        <v>135</v>
      </c>
      <c r="H520" s="28">
        <f t="shared" ca="1" si="38"/>
        <v>20300</v>
      </c>
    </row>
    <row r="521" spans="2:8">
      <c r="B521" s="23">
        <f t="shared" ca="1" si="35"/>
        <v>0.10149774575002846</v>
      </c>
      <c r="C521" s="23">
        <f t="shared" ca="1" si="39"/>
        <v>155</v>
      </c>
      <c r="D521" s="23">
        <f t="shared" si="36"/>
        <v>290</v>
      </c>
      <c r="E521" s="23">
        <f t="shared" ca="1" si="37"/>
        <v>155</v>
      </c>
      <c r="F521" s="27">
        <v>65</v>
      </c>
      <c r="G521" s="27">
        <v>135</v>
      </c>
      <c r="H521" s="28">
        <f t="shared" ca="1" si="38"/>
        <v>2075</v>
      </c>
    </row>
    <row r="522" spans="2:8">
      <c r="B522" s="23">
        <f t="shared" ca="1" si="35"/>
        <v>0.18856125665494106</v>
      </c>
      <c r="C522" s="23">
        <f t="shared" ca="1" si="39"/>
        <v>196</v>
      </c>
      <c r="D522" s="23">
        <f t="shared" si="36"/>
        <v>290</v>
      </c>
      <c r="E522" s="23">
        <f t="shared" ca="1" si="37"/>
        <v>196</v>
      </c>
      <c r="F522" s="27">
        <v>65</v>
      </c>
      <c r="G522" s="27">
        <v>135</v>
      </c>
      <c r="H522" s="28">
        <f t="shared" ca="1" si="38"/>
        <v>7610</v>
      </c>
    </row>
    <row r="523" spans="2:8">
      <c r="B523" s="23">
        <f t="shared" ca="1" si="35"/>
        <v>0.37802014943628692</v>
      </c>
      <c r="C523" s="23">
        <f t="shared" ca="1" si="39"/>
        <v>257</v>
      </c>
      <c r="D523" s="23">
        <f t="shared" si="36"/>
        <v>290</v>
      </c>
      <c r="E523" s="23">
        <f t="shared" ca="1" si="37"/>
        <v>257</v>
      </c>
      <c r="F523" s="27">
        <v>65</v>
      </c>
      <c r="G523" s="27">
        <v>135</v>
      </c>
      <c r="H523" s="28">
        <f t="shared" ca="1" si="38"/>
        <v>15845</v>
      </c>
    </row>
    <row r="524" spans="2:8">
      <c r="B524" s="23">
        <f t="shared" ca="1" si="35"/>
        <v>0.28369156001373574</v>
      </c>
      <c r="C524" s="23">
        <f t="shared" ca="1" si="39"/>
        <v>229</v>
      </c>
      <c r="D524" s="23">
        <f t="shared" si="36"/>
        <v>290</v>
      </c>
      <c r="E524" s="23">
        <f t="shared" ca="1" si="37"/>
        <v>229</v>
      </c>
      <c r="F524" s="27">
        <v>65</v>
      </c>
      <c r="G524" s="27">
        <v>135</v>
      </c>
      <c r="H524" s="28">
        <f t="shared" ca="1" si="38"/>
        <v>12065</v>
      </c>
    </row>
    <row r="525" spans="2:8">
      <c r="B525" s="23">
        <f t="shared" ca="1" si="35"/>
        <v>0.29752911916975999</v>
      </c>
      <c r="C525" s="23">
        <f t="shared" ca="1" si="39"/>
        <v>233</v>
      </c>
      <c r="D525" s="23">
        <f t="shared" si="36"/>
        <v>290</v>
      </c>
      <c r="E525" s="23">
        <f t="shared" ca="1" si="37"/>
        <v>233</v>
      </c>
      <c r="F525" s="27">
        <v>65</v>
      </c>
      <c r="G525" s="27">
        <v>135</v>
      </c>
      <c r="H525" s="28">
        <f t="shared" ca="1" si="38"/>
        <v>12605</v>
      </c>
    </row>
    <row r="526" spans="2:8">
      <c r="B526" s="23">
        <f t="shared" ca="1" si="35"/>
        <v>0.81058843326339358</v>
      </c>
      <c r="C526" s="23">
        <f t="shared" ca="1" si="39"/>
        <v>383</v>
      </c>
      <c r="D526" s="23">
        <f t="shared" si="36"/>
        <v>290</v>
      </c>
      <c r="E526" s="23">
        <f t="shared" ca="1" si="37"/>
        <v>290</v>
      </c>
      <c r="F526" s="27">
        <v>65</v>
      </c>
      <c r="G526" s="27">
        <v>135</v>
      </c>
      <c r="H526" s="28">
        <f t="shared" ca="1" si="38"/>
        <v>20300</v>
      </c>
    </row>
    <row r="527" spans="2:8">
      <c r="B527" s="23">
        <f t="shared" ca="1" si="35"/>
        <v>0.84778255992314588</v>
      </c>
      <c r="C527" s="23">
        <f t="shared" ca="1" si="39"/>
        <v>398</v>
      </c>
      <c r="D527" s="23">
        <f t="shared" si="36"/>
        <v>290</v>
      </c>
      <c r="E527" s="23">
        <f t="shared" ca="1" si="37"/>
        <v>290</v>
      </c>
      <c r="F527" s="27">
        <v>65</v>
      </c>
      <c r="G527" s="27">
        <v>135</v>
      </c>
      <c r="H527" s="28">
        <f t="shared" ca="1" si="38"/>
        <v>20300</v>
      </c>
    </row>
    <row r="528" spans="2:8">
      <c r="B528" s="23">
        <f t="shared" ca="1" si="35"/>
        <v>0.80934913133044095</v>
      </c>
      <c r="C528" s="23">
        <f t="shared" ca="1" si="39"/>
        <v>382</v>
      </c>
      <c r="D528" s="23">
        <f t="shared" si="36"/>
        <v>290</v>
      </c>
      <c r="E528" s="23">
        <f t="shared" ca="1" si="37"/>
        <v>290</v>
      </c>
      <c r="F528" s="27">
        <v>65</v>
      </c>
      <c r="G528" s="27">
        <v>135</v>
      </c>
      <c r="H528" s="28">
        <f t="shared" ca="1" si="38"/>
        <v>20300</v>
      </c>
    </row>
    <row r="529" spans="2:8">
      <c r="B529" s="23">
        <f t="shared" ref="B529:B592" ca="1" si="40">RAND()</f>
        <v>0.68357225884852191</v>
      </c>
      <c r="C529" s="23">
        <f t="shared" ca="1" si="39"/>
        <v>340</v>
      </c>
      <c r="D529" s="23">
        <f t="shared" ref="D529:D592" si="41">$B$9</f>
        <v>290</v>
      </c>
      <c r="E529" s="23">
        <f t="shared" ref="E529:E592" ca="1" si="42">_xlfn.FLOOR.MATH(MIN(C529,D529))</f>
        <v>290</v>
      </c>
      <c r="F529" s="27">
        <v>65</v>
      </c>
      <c r="G529" s="27">
        <v>135</v>
      </c>
      <c r="H529" s="28">
        <f t="shared" ref="H529:H592" ca="1" si="43">E529*G529-D529*F529</f>
        <v>20300</v>
      </c>
    </row>
    <row r="530" spans="2:8">
      <c r="B530" s="23">
        <f t="shared" ca="1" si="40"/>
        <v>0.65650983443374389</v>
      </c>
      <c r="C530" s="23">
        <f t="shared" ref="C530:C593" ca="1" si="44">_xlfn.FLOOR.MATH(_xlfn.NORM.INV(B530,$B$6,$B$7))</f>
        <v>332</v>
      </c>
      <c r="D530" s="23">
        <f t="shared" si="41"/>
        <v>290</v>
      </c>
      <c r="E530" s="23">
        <f t="shared" ca="1" si="42"/>
        <v>290</v>
      </c>
      <c r="F530" s="27">
        <v>65</v>
      </c>
      <c r="G530" s="27">
        <v>135</v>
      </c>
      <c r="H530" s="28">
        <f t="shared" ca="1" si="43"/>
        <v>20300</v>
      </c>
    </row>
    <row r="531" spans="2:8">
      <c r="B531" s="23">
        <f t="shared" ca="1" si="40"/>
        <v>5.7313417826274304E-2</v>
      </c>
      <c r="C531" s="23">
        <f t="shared" ca="1" si="44"/>
        <v>122</v>
      </c>
      <c r="D531" s="23">
        <f t="shared" si="41"/>
        <v>290</v>
      </c>
      <c r="E531" s="23">
        <f t="shared" ca="1" si="42"/>
        <v>122</v>
      </c>
      <c r="F531" s="27">
        <v>65</v>
      </c>
      <c r="G531" s="27">
        <v>135</v>
      </c>
      <c r="H531" s="28">
        <f t="shared" ca="1" si="43"/>
        <v>-2380</v>
      </c>
    </row>
    <row r="532" spans="2:8">
      <c r="B532" s="23">
        <f t="shared" ca="1" si="40"/>
        <v>0.50724171120431782</v>
      </c>
      <c r="C532" s="23">
        <f t="shared" ca="1" si="44"/>
        <v>292</v>
      </c>
      <c r="D532" s="23">
        <f t="shared" si="41"/>
        <v>290</v>
      </c>
      <c r="E532" s="23">
        <f t="shared" ca="1" si="42"/>
        <v>290</v>
      </c>
      <c r="F532" s="27">
        <v>65</v>
      </c>
      <c r="G532" s="27">
        <v>135</v>
      </c>
      <c r="H532" s="28">
        <f t="shared" ca="1" si="43"/>
        <v>20300</v>
      </c>
    </row>
    <row r="533" spans="2:8">
      <c r="B533" s="23">
        <f t="shared" ca="1" si="40"/>
        <v>0.86718073097739623</v>
      </c>
      <c r="C533" s="23">
        <f t="shared" ca="1" si="44"/>
        <v>408</v>
      </c>
      <c r="D533" s="23">
        <f t="shared" si="41"/>
        <v>290</v>
      </c>
      <c r="E533" s="23">
        <f t="shared" ca="1" si="42"/>
        <v>290</v>
      </c>
      <c r="F533" s="27">
        <v>65</v>
      </c>
      <c r="G533" s="27">
        <v>135</v>
      </c>
      <c r="H533" s="28">
        <f t="shared" ca="1" si="43"/>
        <v>20300</v>
      </c>
    </row>
    <row r="534" spans="2:8">
      <c r="B534" s="23">
        <f t="shared" ca="1" si="40"/>
        <v>0.3082776329043968</v>
      </c>
      <c r="C534" s="23">
        <f t="shared" ca="1" si="44"/>
        <v>237</v>
      </c>
      <c r="D534" s="23">
        <f t="shared" si="41"/>
        <v>290</v>
      </c>
      <c r="E534" s="23">
        <f t="shared" ca="1" si="42"/>
        <v>237</v>
      </c>
      <c r="F534" s="27">
        <v>65</v>
      </c>
      <c r="G534" s="27">
        <v>135</v>
      </c>
      <c r="H534" s="28">
        <f t="shared" ca="1" si="43"/>
        <v>13145</v>
      </c>
    </row>
    <row r="535" spans="2:8">
      <c r="B535" s="23">
        <f t="shared" ca="1" si="40"/>
        <v>0.61112409805870682</v>
      </c>
      <c r="C535" s="23">
        <f t="shared" ca="1" si="44"/>
        <v>319</v>
      </c>
      <c r="D535" s="23">
        <f t="shared" si="41"/>
        <v>290</v>
      </c>
      <c r="E535" s="23">
        <f t="shared" ca="1" si="42"/>
        <v>290</v>
      </c>
      <c r="F535" s="27">
        <v>65</v>
      </c>
      <c r="G535" s="27">
        <v>135</v>
      </c>
      <c r="H535" s="28">
        <f t="shared" ca="1" si="43"/>
        <v>20300</v>
      </c>
    </row>
    <row r="536" spans="2:8">
      <c r="B536" s="23">
        <f t="shared" ca="1" si="40"/>
        <v>0.37156132457851099</v>
      </c>
      <c r="C536" s="23">
        <f t="shared" ca="1" si="44"/>
        <v>255</v>
      </c>
      <c r="D536" s="23">
        <f t="shared" si="41"/>
        <v>290</v>
      </c>
      <c r="E536" s="23">
        <f t="shared" ca="1" si="42"/>
        <v>255</v>
      </c>
      <c r="F536" s="27">
        <v>65</v>
      </c>
      <c r="G536" s="27">
        <v>135</v>
      </c>
      <c r="H536" s="28">
        <f t="shared" ca="1" si="43"/>
        <v>15575</v>
      </c>
    </row>
    <row r="537" spans="2:8">
      <c r="B537" s="23">
        <f t="shared" ca="1" si="40"/>
        <v>0.38253566139393069</v>
      </c>
      <c r="C537" s="23">
        <f t="shared" ca="1" si="44"/>
        <v>258</v>
      </c>
      <c r="D537" s="23">
        <f t="shared" si="41"/>
        <v>290</v>
      </c>
      <c r="E537" s="23">
        <f t="shared" ca="1" si="42"/>
        <v>258</v>
      </c>
      <c r="F537" s="27">
        <v>65</v>
      </c>
      <c r="G537" s="27">
        <v>135</v>
      </c>
      <c r="H537" s="28">
        <f t="shared" ca="1" si="43"/>
        <v>15980</v>
      </c>
    </row>
    <row r="538" spans="2:8">
      <c r="B538" s="23">
        <f t="shared" ca="1" si="40"/>
        <v>0.50372364064794317</v>
      </c>
      <c r="C538" s="23">
        <f t="shared" ca="1" si="44"/>
        <v>291</v>
      </c>
      <c r="D538" s="23">
        <f t="shared" si="41"/>
        <v>290</v>
      </c>
      <c r="E538" s="23">
        <f t="shared" ca="1" si="42"/>
        <v>290</v>
      </c>
      <c r="F538" s="27">
        <v>65</v>
      </c>
      <c r="G538" s="27">
        <v>135</v>
      </c>
      <c r="H538" s="28">
        <f t="shared" ca="1" si="43"/>
        <v>20300</v>
      </c>
    </row>
    <row r="539" spans="2:8">
      <c r="B539" s="23">
        <f t="shared" ca="1" si="40"/>
        <v>0.96759092167345417</v>
      </c>
      <c r="C539" s="23">
        <f t="shared" ca="1" si="44"/>
        <v>485</v>
      </c>
      <c r="D539" s="23">
        <f t="shared" si="41"/>
        <v>290</v>
      </c>
      <c r="E539" s="23">
        <f t="shared" ca="1" si="42"/>
        <v>290</v>
      </c>
      <c r="F539" s="27">
        <v>65</v>
      </c>
      <c r="G539" s="27">
        <v>135</v>
      </c>
      <c r="H539" s="28">
        <f t="shared" ca="1" si="43"/>
        <v>20300</v>
      </c>
    </row>
    <row r="540" spans="2:8">
      <c r="B540" s="23">
        <f t="shared" ca="1" si="40"/>
        <v>0.72277510093572994</v>
      </c>
      <c r="C540" s="23">
        <f t="shared" ca="1" si="44"/>
        <v>352</v>
      </c>
      <c r="D540" s="23">
        <f t="shared" si="41"/>
        <v>290</v>
      </c>
      <c r="E540" s="23">
        <f t="shared" ca="1" si="42"/>
        <v>290</v>
      </c>
      <c r="F540" s="27">
        <v>65</v>
      </c>
      <c r="G540" s="27">
        <v>135</v>
      </c>
      <c r="H540" s="28">
        <f t="shared" ca="1" si="43"/>
        <v>20300</v>
      </c>
    </row>
    <row r="541" spans="2:8">
      <c r="B541" s="23">
        <f t="shared" ca="1" si="40"/>
        <v>0.69882528417770873</v>
      </c>
      <c r="C541" s="23">
        <f t="shared" ca="1" si="44"/>
        <v>345</v>
      </c>
      <c r="D541" s="23">
        <f t="shared" si="41"/>
        <v>290</v>
      </c>
      <c r="E541" s="23">
        <f t="shared" ca="1" si="42"/>
        <v>290</v>
      </c>
      <c r="F541" s="27">
        <v>65</v>
      </c>
      <c r="G541" s="27">
        <v>135</v>
      </c>
      <c r="H541" s="28">
        <f t="shared" ca="1" si="43"/>
        <v>20300</v>
      </c>
    </row>
    <row r="542" spans="2:8">
      <c r="B542" s="23">
        <f t="shared" ca="1" si="40"/>
        <v>0.96638574156733248</v>
      </c>
      <c r="C542" s="23">
        <f t="shared" ca="1" si="44"/>
        <v>484</v>
      </c>
      <c r="D542" s="23">
        <f t="shared" si="41"/>
        <v>290</v>
      </c>
      <c r="E542" s="23">
        <f t="shared" ca="1" si="42"/>
        <v>290</v>
      </c>
      <c r="F542" s="27">
        <v>65</v>
      </c>
      <c r="G542" s="27">
        <v>135</v>
      </c>
      <c r="H542" s="28">
        <f t="shared" ca="1" si="43"/>
        <v>20300</v>
      </c>
    </row>
    <row r="543" spans="2:8">
      <c r="B543" s="23">
        <f t="shared" ca="1" si="40"/>
        <v>0.49727509381571555</v>
      </c>
      <c r="C543" s="23">
        <f t="shared" ca="1" si="44"/>
        <v>289</v>
      </c>
      <c r="D543" s="23">
        <f t="shared" si="41"/>
        <v>290</v>
      </c>
      <c r="E543" s="23">
        <f t="shared" ca="1" si="42"/>
        <v>289</v>
      </c>
      <c r="F543" s="27">
        <v>65</v>
      </c>
      <c r="G543" s="27">
        <v>135</v>
      </c>
      <c r="H543" s="28">
        <f t="shared" ca="1" si="43"/>
        <v>20165</v>
      </c>
    </row>
    <row r="544" spans="2:8">
      <c r="B544" s="23">
        <f t="shared" ca="1" si="40"/>
        <v>0.80741701525012644</v>
      </c>
      <c r="C544" s="23">
        <f t="shared" ca="1" si="44"/>
        <v>382</v>
      </c>
      <c r="D544" s="23">
        <f t="shared" si="41"/>
        <v>290</v>
      </c>
      <c r="E544" s="23">
        <f t="shared" ca="1" si="42"/>
        <v>290</v>
      </c>
      <c r="F544" s="27">
        <v>65</v>
      </c>
      <c r="G544" s="27">
        <v>135</v>
      </c>
      <c r="H544" s="28">
        <f t="shared" ca="1" si="43"/>
        <v>20300</v>
      </c>
    </row>
    <row r="545" spans="2:8">
      <c r="B545" s="23">
        <f t="shared" ca="1" si="40"/>
        <v>0.80290310091594086</v>
      </c>
      <c r="C545" s="23">
        <f t="shared" ca="1" si="44"/>
        <v>380</v>
      </c>
      <c r="D545" s="23">
        <f t="shared" si="41"/>
        <v>290</v>
      </c>
      <c r="E545" s="23">
        <f t="shared" ca="1" si="42"/>
        <v>290</v>
      </c>
      <c r="F545" s="27">
        <v>65</v>
      </c>
      <c r="G545" s="27">
        <v>135</v>
      </c>
      <c r="H545" s="28">
        <f t="shared" ca="1" si="43"/>
        <v>20300</v>
      </c>
    </row>
    <row r="546" spans="2:8">
      <c r="B546" s="23">
        <f t="shared" ca="1" si="40"/>
        <v>2.9850496596511955E-2</v>
      </c>
      <c r="C546" s="23">
        <f t="shared" ca="1" si="44"/>
        <v>90</v>
      </c>
      <c r="D546" s="23">
        <f t="shared" si="41"/>
        <v>290</v>
      </c>
      <c r="E546" s="23">
        <f t="shared" ca="1" si="42"/>
        <v>90</v>
      </c>
      <c r="F546" s="27">
        <v>65</v>
      </c>
      <c r="G546" s="27">
        <v>135</v>
      </c>
      <c r="H546" s="28">
        <f t="shared" ca="1" si="43"/>
        <v>-6700</v>
      </c>
    </row>
    <row r="547" spans="2:8">
      <c r="B547" s="23">
        <f t="shared" ca="1" si="40"/>
        <v>0.76869492711586074</v>
      </c>
      <c r="C547" s="23">
        <f t="shared" ca="1" si="44"/>
        <v>367</v>
      </c>
      <c r="D547" s="23">
        <f t="shared" si="41"/>
        <v>290</v>
      </c>
      <c r="E547" s="23">
        <f t="shared" ca="1" si="42"/>
        <v>290</v>
      </c>
      <c r="F547" s="27">
        <v>65</v>
      </c>
      <c r="G547" s="27">
        <v>135</v>
      </c>
      <c r="H547" s="28">
        <f t="shared" ca="1" si="43"/>
        <v>20300</v>
      </c>
    </row>
    <row r="548" spans="2:8">
      <c r="B548" s="23">
        <f t="shared" ca="1" si="40"/>
        <v>0.12375515420144079</v>
      </c>
      <c r="C548" s="23">
        <f t="shared" ca="1" si="44"/>
        <v>167</v>
      </c>
      <c r="D548" s="23">
        <f t="shared" si="41"/>
        <v>290</v>
      </c>
      <c r="E548" s="23">
        <f t="shared" ca="1" si="42"/>
        <v>167</v>
      </c>
      <c r="F548" s="27">
        <v>65</v>
      </c>
      <c r="G548" s="27">
        <v>135</v>
      </c>
      <c r="H548" s="28">
        <f t="shared" ca="1" si="43"/>
        <v>3695</v>
      </c>
    </row>
    <row r="549" spans="2:8">
      <c r="B549" s="23">
        <f t="shared" ca="1" si="40"/>
        <v>0.17243021186713492</v>
      </c>
      <c r="C549" s="23">
        <f t="shared" ca="1" si="44"/>
        <v>189</v>
      </c>
      <c r="D549" s="23">
        <f t="shared" si="41"/>
        <v>290</v>
      </c>
      <c r="E549" s="23">
        <f t="shared" ca="1" si="42"/>
        <v>189</v>
      </c>
      <c r="F549" s="27">
        <v>65</v>
      </c>
      <c r="G549" s="27">
        <v>135</v>
      </c>
      <c r="H549" s="28">
        <f t="shared" ca="1" si="43"/>
        <v>6665</v>
      </c>
    </row>
    <row r="550" spans="2:8">
      <c r="B550" s="23">
        <f t="shared" ca="1" si="40"/>
        <v>0.70935360172382711</v>
      </c>
      <c r="C550" s="23">
        <f t="shared" ca="1" si="44"/>
        <v>348</v>
      </c>
      <c r="D550" s="23">
        <f t="shared" si="41"/>
        <v>290</v>
      </c>
      <c r="E550" s="23">
        <f t="shared" ca="1" si="42"/>
        <v>290</v>
      </c>
      <c r="F550" s="27">
        <v>65</v>
      </c>
      <c r="G550" s="27">
        <v>135</v>
      </c>
      <c r="H550" s="28">
        <f t="shared" ca="1" si="43"/>
        <v>20300</v>
      </c>
    </row>
    <row r="551" spans="2:8">
      <c r="B551" s="23">
        <f t="shared" ca="1" si="40"/>
        <v>0.69414985448273814</v>
      </c>
      <c r="C551" s="23">
        <f t="shared" ca="1" si="44"/>
        <v>343</v>
      </c>
      <c r="D551" s="23">
        <f t="shared" si="41"/>
        <v>290</v>
      </c>
      <c r="E551" s="23">
        <f t="shared" ca="1" si="42"/>
        <v>290</v>
      </c>
      <c r="F551" s="27">
        <v>65</v>
      </c>
      <c r="G551" s="27">
        <v>135</v>
      </c>
      <c r="H551" s="28">
        <f t="shared" ca="1" si="43"/>
        <v>20300</v>
      </c>
    </row>
    <row r="552" spans="2:8">
      <c r="B552" s="23">
        <f t="shared" ca="1" si="40"/>
        <v>0.75391402266159613</v>
      </c>
      <c r="C552" s="23">
        <f t="shared" ca="1" si="44"/>
        <v>362</v>
      </c>
      <c r="D552" s="23">
        <f t="shared" si="41"/>
        <v>290</v>
      </c>
      <c r="E552" s="23">
        <f t="shared" ca="1" si="42"/>
        <v>290</v>
      </c>
      <c r="F552" s="27">
        <v>65</v>
      </c>
      <c r="G552" s="27">
        <v>135</v>
      </c>
      <c r="H552" s="28">
        <f t="shared" ca="1" si="43"/>
        <v>20300</v>
      </c>
    </row>
    <row r="553" spans="2:8">
      <c r="B553" s="23">
        <f t="shared" ca="1" si="40"/>
        <v>0.85494010534582376</v>
      </c>
      <c r="C553" s="23">
        <f t="shared" ca="1" si="44"/>
        <v>402</v>
      </c>
      <c r="D553" s="23">
        <f t="shared" si="41"/>
        <v>290</v>
      </c>
      <c r="E553" s="23">
        <f t="shared" ca="1" si="42"/>
        <v>290</v>
      </c>
      <c r="F553" s="27">
        <v>65</v>
      </c>
      <c r="G553" s="27">
        <v>135</v>
      </c>
      <c r="H553" s="28">
        <f t="shared" ca="1" si="43"/>
        <v>20300</v>
      </c>
    </row>
    <row r="554" spans="2:8">
      <c r="B554" s="23">
        <f t="shared" ca="1" si="40"/>
        <v>0.20766874265828172</v>
      </c>
      <c r="C554" s="23">
        <f t="shared" ca="1" si="44"/>
        <v>203</v>
      </c>
      <c r="D554" s="23">
        <f t="shared" si="41"/>
        <v>290</v>
      </c>
      <c r="E554" s="23">
        <f t="shared" ca="1" si="42"/>
        <v>203</v>
      </c>
      <c r="F554" s="27">
        <v>65</v>
      </c>
      <c r="G554" s="27">
        <v>135</v>
      </c>
      <c r="H554" s="28">
        <f t="shared" ca="1" si="43"/>
        <v>8555</v>
      </c>
    </row>
    <row r="555" spans="2:8">
      <c r="B555" s="23">
        <f t="shared" ca="1" si="40"/>
        <v>0.47955358547796223</v>
      </c>
      <c r="C555" s="23">
        <f t="shared" ca="1" si="44"/>
        <v>284</v>
      </c>
      <c r="D555" s="23">
        <f t="shared" si="41"/>
        <v>290</v>
      </c>
      <c r="E555" s="23">
        <f t="shared" ca="1" si="42"/>
        <v>284</v>
      </c>
      <c r="F555" s="27">
        <v>65</v>
      </c>
      <c r="G555" s="27">
        <v>135</v>
      </c>
      <c r="H555" s="28">
        <f t="shared" ca="1" si="43"/>
        <v>19490</v>
      </c>
    </row>
    <row r="556" spans="2:8">
      <c r="B556" s="23">
        <f t="shared" ca="1" si="40"/>
        <v>0.55518449843345585</v>
      </c>
      <c r="C556" s="23">
        <f t="shared" ca="1" si="44"/>
        <v>304</v>
      </c>
      <c r="D556" s="23">
        <f t="shared" si="41"/>
        <v>290</v>
      </c>
      <c r="E556" s="23">
        <f t="shared" ca="1" si="42"/>
        <v>290</v>
      </c>
      <c r="F556" s="27">
        <v>65</v>
      </c>
      <c r="G556" s="27">
        <v>135</v>
      </c>
      <c r="H556" s="28">
        <f t="shared" ca="1" si="43"/>
        <v>20300</v>
      </c>
    </row>
    <row r="557" spans="2:8">
      <c r="B557" s="23">
        <f t="shared" ca="1" si="40"/>
        <v>0.45336156706285069</v>
      </c>
      <c r="C557" s="23">
        <f t="shared" ca="1" si="44"/>
        <v>277</v>
      </c>
      <c r="D557" s="23">
        <f t="shared" si="41"/>
        <v>290</v>
      </c>
      <c r="E557" s="23">
        <f t="shared" ca="1" si="42"/>
        <v>277</v>
      </c>
      <c r="F557" s="27">
        <v>65</v>
      </c>
      <c r="G557" s="27">
        <v>135</v>
      </c>
      <c r="H557" s="28">
        <f t="shared" ca="1" si="43"/>
        <v>18545</v>
      </c>
    </row>
    <row r="558" spans="2:8">
      <c r="B558" s="23">
        <f t="shared" ca="1" si="40"/>
        <v>0.23166847222015841</v>
      </c>
      <c r="C558" s="23">
        <f t="shared" ca="1" si="44"/>
        <v>212</v>
      </c>
      <c r="D558" s="23">
        <f t="shared" si="41"/>
        <v>290</v>
      </c>
      <c r="E558" s="23">
        <f t="shared" ca="1" si="42"/>
        <v>212</v>
      </c>
      <c r="F558" s="27">
        <v>65</v>
      </c>
      <c r="G558" s="27">
        <v>135</v>
      </c>
      <c r="H558" s="28">
        <f t="shared" ca="1" si="43"/>
        <v>9770</v>
      </c>
    </row>
    <row r="559" spans="2:8">
      <c r="B559" s="23">
        <f t="shared" ca="1" si="40"/>
        <v>0.79437166799161651</v>
      </c>
      <c r="C559" s="23">
        <f t="shared" ca="1" si="44"/>
        <v>377</v>
      </c>
      <c r="D559" s="23">
        <f t="shared" si="41"/>
        <v>290</v>
      </c>
      <c r="E559" s="23">
        <f t="shared" ca="1" si="42"/>
        <v>290</v>
      </c>
      <c r="F559" s="27">
        <v>65</v>
      </c>
      <c r="G559" s="27">
        <v>135</v>
      </c>
      <c r="H559" s="28">
        <f t="shared" ca="1" si="43"/>
        <v>20300</v>
      </c>
    </row>
    <row r="560" spans="2:8">
      <c r="B560" s="23">
        <f t="shared" ca="1" si="40"/>
        <v>7.0051850866695187E-2</v>
      </c>
      <c r="C560" s="23">
        <f t="shared" ca="1" si="44"/>
        <v>133</v>
      </c>
      <c r="D560" s="23">
        <f t="shared" si="41"/>
        <v>290</v>
      </c>
      <c r="E560" s="23">
        <f t="shared" ca="1" si="42"/>
        <v>133</v>
      </c>
      <c r="F560" s="27">
        <v>65</v>
      </c>
      <c r="G560" s="27">
        <v>135</v>
      </c>
      <c r="H560" s="28">
        <f t="shared" ca="1" si="43"/>
        <v>-895</v>
      </c>
    </row>
    <row r="561" spans="2:8">
      <c r="B561" s="23">
        <f t="shared" ca="1" si="40"/>
        <v>0.35928392313658131</v>
      </c>
      <c r="C561" s="23">
        <f t="shared" ca="1" si="44"/>
        <v>251</v>
      </c>
      <c r="D561" s="23">
        <f t="shared" si="41"/>
        <v>290</v>
      </c>
      <c r="E561" s="23">
        <f t="shared" ca="1" si="42"/>
        <v>251</v>
      </c>
      <c r="F561" s="27">
        <v>65</v>
      </c>
      <c r="G561" s="27">
        <v>135</v>
      </c>
      <c r="H561" s="28">
        <f t="shared" ca="1" si="43"/>
        <v>15035</v>
      </c>
    </row>
    <row r="562" spans="2:8">
      <c r="B562" s="23">
        <f t="shared" ca="1" si="40"/>
        <v>0.92696713941768172</v>
      </c>
      <c r="C562" s="23">
        <f t="shared" ca="1" si="44"/>
        <v>444</v>
      </c>
      <c r="D562" s="23">
        <f t="shared" si="41"/>
        <v>290</v>
      </c>
      <c r="E562" s="23">
        <f t="shared" ca="1" si="42"/>
        <v>290</v>
      </c>
      <c r="F562" s="27">
        <v>65</v>
      </c>
      <c r="G562" s="27">
        <v>135</v>
      </c>
      <c r="H562" s="28">
        <f t="shared" ca="1" si="43"/>
        <v>20300</v>
      </c>
    </row>
    <row r="563" spans="2:8">
      <c r="B563" s="23">
        <f t="shared" ca="1" si="40"/>
        <v>0.60817444391069997</v>
      </c>
      <c r="C563" s="23">
        <f t="shared" ca="1" si="44"/>
        <v>319</v>
      </c>
      <c r="D563" s="23">
        <f t="shared" si="41"/>
        <v>290</v>
      </c>
      <c r="E563" s="23">
        <f t="shared" ca="1" si="42"/>
        <v>290</v>
      </c>
      <c r="F563" s="27">
        <v>65</v>
      </c>
      <c r="G563" s="27">
        <v>135</v>
      </c>
      <c r="H563" s="28">
        <f t="shared" ca="1" si="43"/>
        <v>20300</v>
      </c>
    </row>
    <row r="564" spans="2:8">
      <c r="B564" s="23">
        <f t="shared" ca="1" si="40"/>
        <v>0.84218743060112022</v>
      </c>
      <c r="C564" s="23">
        <f t="shared" ca="1" si="44"/>
        <v>396</v>
      </c>
      <c r="D564" s="23">
        <f t="shared" si="41"/>
        <v>290</v>
      </c>
      <c r="E564" s="23">
        <f t="shared" ca="1" si="42"/>
        <v>290</v>
      </c>
      <c r="F564" s="27">
        <v>65</v>
      </c>
      <c r="G564" s="27">
        <v>135</v>
      </c>
      <c r="H564" s="28">
        <f t="shared" ca="1" si="43"/>
        <v>20300</v>
      </c>
    </row>
    <row r="565" spans="2:8">
      <c r="B565" s="23">
        <f t="shared" ca="1" si="40"/>
        <v>6.3971397493322701E-2</v>
      </c>
      <c r="C565" s="23">
        <f t="shared" ca="1" si="44"/>
        <v>128</v>
      </c>
      <c r="D565" s="23">
        <f t="shared" si="41"/>
        <v>290</v>
      </c>
      <c r="E565" s="23">
        <f t="shared" ca="1" si="42"/>
        <v>128</v>
      </c>
      <c r="F565" s="27">
        <v>65</v>
      </c>
      <c r="G565" s="27">
        <v>135</v>
      </c>
      <c r="H565" s="28">
        <f t="shared" ca="1" si="43"/>
        <v>-1570</v>
      </c>
    </row>
    <row r="566" spans="2:8">
      <c r="B566" s="23">
        <f t="shared" ca="1" si="40"/>
        <v>0.26472212012450835</v>
      </c>
      <c r="C566" s="23">
        <f t="shared" ca="1" si="44"/>
        <v>223</v>
      </c>
      <c r="D566" s="23">
        <f t="shared" si="41"/>
        <v>290</v>
      </c>
      <c r="E566" s="23">
        <f t="shared" ca="1" si="42"/>
        <v>223</v>
      </c>
      <c r="F566" s="27">
        <v>65</v>
      </c>
      <c r="G566" s="27">
        <v>135</v>
      </c>
      <c r="H566" s="28">
        <f t="shared" ca="1" si="43"/>
        <v>11255</v>
      </c>
    </row>
    <row r="567" spans="2:8">
      <c r="B567" s="23">
        <f t="shared" ca="1" si="40"/>
        <v>0.64860448352671418</v>
      </c>
      <c r="C567" s="23">
        <f t="shared" ca="1" si="44"/>
        <v>330</v>
      </c>
      <c r="D567" s="23">
        <f t="shared" si="41"/>
        <v>290</v>
      </c>
      <c r="E567" s="23">
        <f t="shared" ca="1" si="42"/>
        <v>290</v>
      </c>
      <c r="F567" s="27">
        <v>65</v>
      </c>
      <c r="G567" s="27">
        <v>135</v>
      </c>
      <c r="H567" s="28">
        <f t="shared" ca="1" si="43"/>
        <v>20300</v>
      </c>
    </row>
    <row r="568" spans="2:8">
      <c r="B568" s="23">
        <f t="shared" ca="1" si="40"/>
        <v>0.98737064597965907</v>
      </c>
      <c r="C568" s="23">
        <f t="shared" ca="1" si="44"/>
        <v>527</v>
      </c>
      <c r="D568" s="23">
        <f t="shared" si="41"/>
        <v>290</v>
      </c>
      <c r="E568" s="23">
        <f t="shared" ca="1" si="42"/>
        <v>290</v>
      </c>
      <c r="F568" s="27">
        <v>65</v>
      </c>
      <c r="G568" s="27">
        <v>135</v>
      </c>
      <c r="H568" s="28">
        <f t="shared" ca="1" si="43"/>
        <v>20300</v>
      </c>
    </row>
    <row r="569" spans="2:8">
      <c r="B569" s="23">
        <f t="shared" ca="1" si="40"/>
        <v>0.64736225520646262</v>
      </c>
      <c r="C569" s="23">
        <f t="shared" ca="1" si="44"/>
        <v>330</v>
      </c>
      <c r="D569" s="23">
        <f t="shared" si="41"/>
        <v>290</v>
      </c>
      <c r="E569" s="23">
        <f t="shared" ca="1" si="42"/>
        <v>290</v>
      </c>
      <c r="F569" s="27">
        <v>65</v>
      </c>
      <c r="G569" s="27">
        <v>135</v>
      </c>
      <c r="H569" s="28">
        <f t="shared" ca="1" si="43"/>
        <v>20300</v>
      </c>
    </row>
    <row r="570" spans="2:8">
      <c r="B570" s="23">
        <f t="shared" ca="1" si="40"/>
        <v>0.94999859598610115</v>
      </c>
      <c r="C570" s="23">
        <f t="shared" ca="1" si="44"/>
        <v>464</v>
      </c>
      <c r="D570" s="23">
        <f t="shared" si="41"/>
        <v>290</v>
      </c>
      <c r="E570" s="23">
        <f t="shared" ca="1" si="42"/>
        <v>290</v>
      </c>
      <c r="F570" s="27">
        <v>65</v>
      </c>
      <c r="G570" s="27">
        <v>135</v>
      </c>
      <c r="H570" s="28">
        <f t="shared" ca="1" si="43"/>
        <v>20300</v>
      </c>
    </row>
    <row r="571" spans="2:8">
      <c r="B571" s="23">
        <f t="shared" ca="1" si="40"/>
        <v>0.11811451328029865</v>
      </c>
      <c r="C571" s="23">
        <f t="shared" ca="1" si="44"/>
        <v>164</v>
      </c>
      <c r="D571" s="23">
        <f t="shared" si="41"/>
        <v>290</v>
      </c>
      <c r="E571" s="23">
        <f t="shared" ca="1" si="42"/>
        <v>164</v>
      </c>
      <c r="F571" s="27">
        <v>65</v>
      </c>
      <c r="G571" s="27">
        <v>135</v>
      </c>
      <c r="H571" s="28">
        <f t="shared" ca="1" si="43"/>
        <v>3290</v>
      </c>
    </row>
    <row r="572" spans="2:8">
      <c r="B572" s="23">
        <f t="shared" ca="1" si="40"/>
        <v>0.68391982529259043</v>
      </c>
      <c r="C572" s="23">
        <f t="shared" ca="1" si="44"/>
        <v>340</v>
      </c>
      <c r="D572" s="23">
        <f t="shared" si="41"/>
        <v>290</v>
      </c>
      <c r="E572" s="23">
        <f t="shared" ca="1" si="42"/>
        <v>290</v>
      </c>
      <c r="F572" s="27">
        <v>65</v>
      </c>
      <c r="G572" s="27">
        <v>135</v>
      </c>
      <c r="H572" s="28">
        <f t="shared" ca="1" si="43"/>
        <v>20300</v>
      </c>
    </row>
    <row r="573" spans="2:8">
      <c r="B573" s="23">
        <f t="shared" ca="1" si="40"/>
        <v>0.71234917468311609</v>
      </c>
      <c r="C573" s="23">
        <f t="shared" ca="1" si="44"/>
        <v>349</v>
      </c>
      <c r="D573" s="23">
        <f t="shared" si="41"/>
        <v>290</v>
      </c>
      <c r="E573" s="23">
        <f t="shared" ca="1" si="42"/>
        <v>290</v>
      </c>
      <c r="F573" s="27">
        <v>65</v>
      </c>
      <c r="G573" s="27">
        <v>135</v>
      </c>
      <c r="H573" s="28">
        <f t="shared" ca="1" si="43"/>
        <v>20300</v>
      </c>
    </row>
    <row r="574" spans="2:8">
      <c r="B574" s="23">
        <f t="shared" ca="1" si="40"/>
        <v>0.21619428686576825</v>
      </c>
      <c r="C574" s="23">
        <f t="shared" ca="1" si="44"/>
        <v>206</v>
      </c>
      <c r="D574" s="23">
        <f t="shared" si="41"/>
        <v>290</v>
      </c>
      <c r="E574" s="23">
        <f t="shared" ca="1" si="42"/>
        <v>206</v>
      </c>
      <c r="F574" s="27">
        <v>65</v>
      </c>
      <c r="G574" s="27">
        <v>135</v>
      </c>
      <c r="H574" s="28">
        <f t="shared" ca="1" si="43"/>
        <v>8960</v>
      </c>
    </row>
    <row r="575" spans="2:8">
      <c r="B575" s="23">
        <f t="shared" ca="1" si="40"/>
        <v>0.7999621057485703</v>
      </c>
      <c r="C575" s="23">
        <f t="shared" ca="1" si="44"/>
        <v>379</v>
      </c>
      <c r="D575" s="23">
        <f t="shared" si="41"/>
        <v>290</v>
      </c>
      <c r="E575" s="23">
        <f t="shared" ca="1" si="42"/>
        <v>290</v>
      </c>
      <c r="F575" s="27">
        <v>65</v>
      </c>
      <c r="G575" s="27">
        <v>135</v>
      </c>
      <c r="H575" s="28">
        <f t="shared" ca="1" si="43"/>
        <v>20300</v>
      </c>
    </row>
    <row r="576" spans="2:8">
      <c r="B576" s="23">
        <f t="shared" ca="1" si="40"/>
        <v>4.8975988496267608E-2</v>
      </c>
      <c r="C576" s="23">
        <f t="shared" ca="1" si="44"/>
        <v>114</v>
      </c>
      <c r="D576" s="23">
        <f t="shared" si="41"/>
        <v>290</v>
      </c>
      <c r="E576" s="23">
        <f t="shared" ca="1" si="42"/>
        <v>114</v>
      </c>
      <c r="F576" s="27">
        <v>65</v>
      </c>
      <c r="G576" s="27">
        <v>135</v>
      </c>
      <c r="H576" s="28">
        <f t="shared" ca="1" si="43"/>
        <v>-3460</v>
      </c>
    </row>
    <row r="577" spans="2:8">
      <c r="B577" s="23">
        <f t="shared" ca="1" si="40"/>
        <v>0.17629534188010187</v>
      </c>
      <c r="C577" s="23">
        <f t="shared" ca="1" si="44"/>
        <v>191</v>
      </c>
      <c r="D577" s="23">
        <f t="shared" si="41"/>
        <v>290</v>
      </c>
      <c r="E577" s="23">
        <f t="shared" ca="1" si="42"/>
        <v>191</v>
      </c>
      <c r="F577" s="27">
        <v>65</v>
      </c>
      <c r="G577" s="27">
        <v>135</v>
      </c>
      <c r="H577" s="28">
        <f t="shared" ca="1" si="43"/>
        <v>6935</v>
      </c>
    </row>
    <row r="578" spans="2:8">
      <c r="B578" s="23">
        <f t="shared" ca="1" si="40"/>
        <v>0.92923448280021237</v>
      </c>
      <c r="C578" s="23">
        <f t="shared" ca="1" si="44"/>
        <v>445</v>
      </c>
      <c r="D578" s="23">
        <f t="shared" si="41"/>
        <v>290</v>
      </c>
      <c r="E578" s="23">
        <f t="shared" ca="1" si="42"/>
        <v>290</v>
      </c>
      <c r="F578" s="27">
        <v>65</v>
      </c>
      <c r="G578" s="27">
        <v>135</v>
      </c>
      <c r="H578" s="28">
        <f t="shared" ca="1" si="43"/>
        <v>20300</v>
      </c>
    </row>
    <row r="579" spans="2:8">
      <c r="B579" s="23">
        <f t="shared" ca="1" si="40"/>
        <v>0.46370439802919405</v>
      </c>
      <c r="C579" s="23">
        <f t="shared" ca="1" si="44"/>
        <v>280</v>
      </c>
      <c r="D579" s="23">
        <f t="shared" si="41"/>
        <v>290</v>
      </c>
      <c r="E579" s="23">
        <f t="shared" ca="1" si="42"/>
        <v>280</v>
      </c>
      <c r="F579" s="27">
        <v>65</v>
      </c>
      <c r="G579" s="27">
        <v>135</v>
      </c>
      <c r="H579" s="28">
        <f t="shared" ca="1" si="43"/>
        <v>18950</v>
      </c>
    </row>
    <row r="580" spans="2:8">
      <c r="B580" s="23">
        <f t="shared" ca="1" si="40"/>
        <v>0.71619348019086659</v>
      </c>
      <c r="C580" s="23">
        <f t="shared" ca="1" si="44"/>
        <v>350</v>
      </c>
      <c r="D580" s="23">
        <f t="shared" si="41"/>
        <v>290</v>
      </c>
      <c r="E580" s="23">
        <f t="shared" ca="1" si="42"/>
        <v>290</v>
      </c>
      <c r="F580" s="27">
        <v>65</v>
      </c>
      <c r="G580" s="27">
        <v>135</v>
      </c>
      <c r="H580" s="28">
        <f t="shared" ca="1" si="43"/>
        <v>20300</v>
      </c>
    </row>
    <row r="581" spans="2:8">
      <c r="B581" s="23">
        <f t="shared" ca="1" si="40"/>
        <v>9.9772771080677503E-2</v>
      </c>
      <c r="C581" s="23">
        <f t="shared" ca="1" si="44"/>
        <v>154</v>
      </c>
      <c r="D581" s="23">
        <f t="shared" si="41"/>
        <v>290</v>
      </c>
      <c r="E581" s="23">
        <f t="shared" ca="1" si="42"/>
        <v>154</v>
      </c>
      <c r="F581" s="27">
        <v>65</v>
      </c>
      <c r="G581" s="27">
        <v>135</v>
      </c>
      <c r="H581" s="28">
        <f t="shared" ca="1" si="43"/>
        <v>1940</v>
      </c>
    </row>
    <row r="582" spans="2:8">
      <c r="B582" s="23">
        <f t="shared" ca="1" si="40"/>
        <v>0.25391793044326894</v>
      </c>
      <c r="C582" s="23">
        <f t="shared" ca="1" si="44"/>
        <v>219</v>
      </c>
      <c r="D582" s="23">
        <f t="shared" si="41"/>
        <v>290</v>
      </c>
      <c r="E582" s="23">
        <f t="shared" ca="1" si="42"/>
        <v>219</v>
      </c>
      <c r="F582" s="27">
        <v>65</v>
      </c>
      <c r="G582" s="27">
        <v>135</v>
      </c>
      <c r="H582" s="28">
        <f t="shared" ca="1" si="43"/>
        <v>10715</v>
      </c>
    </row>
    <row r="583" spans="2:8">
      <c r="B583" s="23">
        <f t="shared" ca="1" si="40"/>
        <v>0.39113956268243477</v>
      </c>
      <c r="C583" s="23">
        <f t="shared" ca="1" si="44"/>
        <v>260</v>
      </c>
      <c r="D583" s="23">
        <f t="shared" si="41"/>
        <v>290</v>
      </c>
      <c r="E583" s="23">
        <f t="shared" ca="1" si="42"/>
        <v>260</v>
      </c>
      <c r="F583" s="27">
        <v>65</v>
      </c>
      <c r="G583" s="27">
        <v>135</v>
      </c>
      <c r="H583" s="28">
        <f t="shared" ca="1" si="43"/>
        <v>16250</v>
      </c>
    </row>
    <row r="584" spans="2:8">
      <c r="B584" s="23">
        <f t="shared" ca="1" si="40"/>
        <v>0.22055972174734551</v>
      </c>
      <c r="C584" s="23">
        <f t="shared" ca="1" si="44"/>
        <v>208</v>
      </c>
      <c r="D584" s="23">
        <f t="shared" si="41"/>
        <v>290</v>
      </c>
      <c r="E584" s="23">
        <f t="shared" ca="1" si="42"/>
        <v>208</v>
      </c>
      <c r="F584" s="27">
        <v>65</v>
      </c>
      <c r="G584" s="27">
        <v>135</v>
      </c>
      <c r="H584" s="28">
        <f t="shared" ca="1" si="43"/>
        <v>9230</v>
      </c>
    </row>
    <row r="585" spans="2:8">
      <c r="B585" s="23">
        <f t="shared" ca="1" si="40"/>
        <v>0.52229110187975669</v>
      </c>
      <c r="C585" s="23">
        <f t="shared" ca="1" si="44"/>
        <v>296</v>
      </c>
      <c r="D585" s="23">
        <f t="shared" si="41"/>
        <v>290</v>
      </c>
      <c r="E585" s="23">
        <f t="shared" ca="1" si="42"/>
        <v>290</v>
      </c>
      <c r="F585" s="27">
        <v>65</v>
      </c>
      <c r="G585" s="27">
        <v>135</v>
      </c>
      <c r="H585" s="28">
        <f t="shared" ca="1" si="43"/>
        <v>20300</v>
      </c>
    </row>
    <row r="586" spans="2:8">
      <c r="B586" s="23">
        <f t="shared" ca="1" si="40"/>
        <v>5.6666079023926286E-2</v>
      </c>
      <c r="C586" s="23">
        <f t="shared" ca="1" si="44"/>
        <v>122</v>
      </c>
      <c r="D586" s="23">
        <f t="shared" si="41"/>
        <v>290</v>
      </c>
      <c r="E586" s="23">
        <f t="shared" ca="1" si="42"/>
        <v>122</v>
      </c>
      <c r="F586" s="27">
        <v>65</v>
      </c>
      <c r="G586" s="27">
        <v>135</v>
      </c>
      <c r="H586" s="28">
        <f t="shared" ca="1" si="43"/>
        <v>-2380</v>
      </c>
    </row>
    <row r="587" spans="2:8">
      <c r="B587" s="23">
        <f t="shared" ca="1" si="40"/>
        <v>0.45202890889396985</v>
      </c>
      <c r="C587" s="23">
        <f t="shared" ca="1" si="44"/>
        <v>277</v>
      </c>
      <c r="D587" s="23">
        <f t="shared" si="41"/>
        <v>290</v>
      </c>
      <c r="E587" s="23">
        <f t="shared" ca="1" si="42"/>
        <v>277</v>
      </c>
      <c r="F587" s="27">
        <v>65</v>
      </c>
      <c r="G587" s="27">
        <v>135</v>
      </c>
      <c r="H587" s="28">
        <f t="shared" ca="1" si="43"/>
        <v>18545</v>
      </c>
    </row>
    <row r="588" spans="2:8">
      <c r="B588" s="23">
        <f t="shared" ca="1" si="40"/>
        <v>0.66659149597305845</v>
      </c>
      <c r="C588" s="23">
        <f t="shared" ca="1" si="44"/>
        <v>335</v>
      </c>
      <c r="D588" s="23">
        <f t="shared" si="41"/>
        <v>290</v>
      </c>
      <c r="E588" s="23">
        <f t="shared" ca="1" si="42"/>
        <v>290</v>
      </c>
      <c r="F588" s="27">
        <v>65</v>
      </c>
      <c r="G588" s="27">
        <v>135</v>
      </c>
      <c r="H588" s="28">
        <f t="shared" ca="1" si="43"/>
        <v>20300</v>
      </c>
    </row>
    <row r="589" spans="2:8">
      <c r="B589" s="23">
        <f t="shared" ca="1" si="40"/>
        <v>0.30471649072258122</v>
      </c>
      <c r="C589" s="23">
        <f t="shared" ca="1" si="44"/>
        <v>235</v>
      </c>
      <c r="D589" s="23">
        <f t="shared" si="41"/>
        <v>290</v>
      </c>
      <c r="E589" s="23">
        <f t="shared" ca="1" si="42"/>
        <v>235</v>
      </c>
      <c r="F589" s="27">
        <v>65</v>
      </c>
      <c r="G589" s="27">
        <v>135</v>
      </c>
      <c r="H589" s="28">
        <f t="shared" ca="1" si="43"/>
        <v>12875</v>
      </c>
    </row>
    <row r="590" spans="2:8">
      <c r="B590" s="23">
        <f t="shared" ca="1" si="40"/>
        <v>0.83745756749066858</v>
      </c>
      <c r="C590" s="23">
        <f t="shared" ca="1" si="44"/>
        <v>394</v>
      </c>
      <c r="D590" s="23">
        <f t="shared" si="41"/>
        <v>290</v>
      </c>
      <c r="E590" s="23">
        <f t="shared" ca="1" si="42"/>
        <v>290</v>
      </c>
      <c r="F590" s="27">
        <v>65</v>
      </c>
      <c r="G590" s="27">
        <v>135</v>
      </c>
      <c r="H590" s="28">
        <f t="shared" ca="1" si="43"/>
        <v>20300</v>
      </c>
    </row>
    <row r="591" spans="2:8">
      <c r="B591" s="23">
        <f t="shared" ca="1" si="40"/>
        <v>0.47480429491187082</v>
      </c>
      <c r="C591" s="23">
        <f t="shared" ca="1" si="44"/>
        <v>283</v>
      </c>
      <c r="D591" s="23">
        <f t="shared" si="41"/>
        <v>290</v>
      </c>
      <c r="E591" s="23">
        <f t="shared" ca="1" si="42"/>
        <v>283</v>
      </c>
      <c r="F591" s="27">
        <v>65</v>
      </c>
      <c r="G591" s="27">
        <v>135</v>
      </c>
      <c r="H591" s="28">
        <f t="shared" ca="1" si="43"/>
        <v>19355</v>
      </c>
    </row>
    <row r="592" spans="2:8">
      <c r="B592" s="23">
        <f t="shared" ca="1" si="40"/>
        <v>0.83087804340268057</v>
      </c>
      <c r="C592" s="23">
        <f t="shared" ca="1" si="44"/>
        <v>391</v>
      </c>
      <c r="D592" s="23">
        <f t="shared" si="41"/>
        <v>290</v>
      </c>
      <c r="E592" s="23">
        <f t="shared" ca="1" si="42"/>
        <v>290</v>
      </c>
      <c r="F592" s="27">
        <v>65</v>
      </c>
      <c r="G592" s="27">
        <v>135</v>
      </c>
      <c r="H592" s="28">
        <f t="shared" ca="1" si="43"/>
        <v>20300</v>
      </c>
    </row>
    <row r="593" spans="2:8">
      <c r="B593" s="23">
        <f t="shared" ref="B593:B656" ca="1" si="45">RAND()</f>
        <v>0.9103681903369365</v>
      </c>
      <c r="C593" s="23">
        <f t="shared" ca="1" si="44"/>
        <v>432</v>
      </c>
      <c r="D593" s="23">
        <f t="shared" ref="D593:D656" si="46">$B$9</f>
        <v>290</v>
      </c>
      <c r="E593" s="23">
        <f t="shared" ref="E593:E656" ca="1" si="47">_xlfn.FLOOR.MATH(MIN(C593,D593))</f>
        <v>290</v>
      </c>
      <c r="F593" s="27">
        <v>65</v>
      </c>
      <c r="G593" s="27">
        <v>135</v>
      </c>
      <c r="H593" s="28">
        <f t="shared" ref="H593:H656" ca="1" si="48">E593*G593-D593*F593</f>
        <v>20300</v>
      </c>
    </row>
    <row r="594" spans="2:8">
      <c r="B594" s="23">
        <f t="shared" ca="1" si="45"/>
        <v>0.17931218020479378</v>
      </c>
      <c r="C594" s="23">
        <f t="shared" ref="C594:C657" ca="1" si="49">_xlfn.FLOOR.MATH(_xlfn.NORM.INV(B594,$B$6,$B$7))</f>
        <v>192</v>
      </c>
      <c r="D594" s="23">
        <f t="shared" si="46"/>
        <v>290</v>
      </c>
      <c r="E594" s="23">
        <f t="shared" ca="1" si="47"/>
        <v>192</v>
      </c>
      <c r="F594" s="27">
        <v>65</v>
      </c>
      <c r="G594" s="27">
        <v>135</v>
      </c>
      <c r="H594" s="28">
        <f t="shared" ca="1" si="48"/>
        <v>7070</v>
      </c>
    </row>
    <row r="595" spans="2:8">
      <c r="B595" s="23">
        <f t="shared" ca="1" si="45"/>
        <v>0.12887391952722616</v>
      </c>
      <c r="C595" s="23">
        <f t="shared" ca="1" si="49"/>
        <v>170</v>
      </c>
      <c r="D595" s="23">
        <f t="shared" si="46"/>
        <v>290</v>
      </c>
      <c r="E595" s="23">
        <f t="shared" ca="1" si="47"/>
        <v>170</v>
      </c>
      <c r="F595" s="27">
        <v>65</v>
      </c>
      <c r="G595" s="27">
        <v>135</v>
      </c>
      <c r="H595" s="28">
        <f t="shared" ca="1" si="48"/>
        <v>4100</v>
      </c>
    </row>
    <row r="596" spans="2:8">
      <c r="B596" s="23">
        <f t="shared" ca="1" si="45"/>
        <v>0.13866279792058711</v>
      </c>
      <c r="C596" s="23">
        <f t="shared" ca="1" si="49"/>
        <v>174</v>
      </c>
      <c r="D596" s="23">
        <f t="shared" si="46"/>
        <v>290</v>
      </c>
      <c r="E596" s="23">
        <f t="shared" ca="1" si="47"/>
        <v>174</v>
      </c>
      <c r="F596" s="27">
        <v>65</v>
      </c>
      <c r="G596" s="27">
        <v>135</v>
      </c>
      <c r="H596" s="28">
        <f t="shared" ca="1" si="48"/>
        <v>4640</v>
      </c>
    </row>
    <row r="597" spans="2:8">
      <c r="B597" s="23">
        <f t="shared" ca="1" si="45"/>
        <v>0.9258227685088587</v>
      </c>
      <c r="C597" s="23">
        <f t="shared" ca="1" si="49"/>
        <v>443</v>
      </c>
      <c r="D597" s="23">
        <f t="shared" si="46"/>
        <v>290</v>
      </c>
      <c r="E597" s="23">
        <f t="shared" ca="1" si="47"/>
        <v>290</v>
      </c>
      <c r="F597" s="27">
        <v>65</v>
      </c>
      <c r="G597" s="27">
        <v>135</v>
      </c>
      <c r="H597" s="28">
        <f t="shared" ca="1" si="48"/>
        <v>20300</v>
      </c>
    </row>
    <row r="598" spans="2:8">
      <c r="B598" s="23">
        <f t="shared" ca="1" si="45"/>
        <v>0.25068030345412895</v>
      </c>
      <c r="C598" s="23">
        <f t="shared" ca="1" si="49"/>
        <v>218</v>
      </c>
      <c r="D598" s="23">
        <f t="shared" si="46"/>
        <v>290</v>
      </c>
      <c r="E598" s="23">
        <f t="shared" ca="1" si="47"/>
        <v>218</v>
      </c>
      <c r="F598" s="27">
        <v>65</v>
      </c>
      <c r="G598" s="27">
        <v>135</v>
      </c>
      <c r="H598" s="28">
        <f t="shared" ca="1" si="48"/>
        <v>10580</v>
      </c>
    </row>
    <row r="599" spans="2:8">
      <c r="B599" s="23">
        <f t="shared" ca="1" si="45"/>
        <v>0.85372201813377302</v>
      </c>
      <c r="C599" s="23">
        <f t="shared" ca="1" si="49"/>
        <v>401</v>
      </c>
      <c r="D599" s="23">
        <f t="shared" si="46"/>
        <v>290</v>
      </c>
      <c r="E599" s="23">
        <f t="shared" ca="1" si="47"/>
        <v>290</v>
      </c>
      <c r="F599" s="27">
        <v>65</v>
      </c>
      <c r="G599" s="27">
        <v>135</v>
      </c>
      <c r="H599" s="28">
        <f t="shared" ca="1" si="48"/>
        <v>20300</v>
      </c>
    </row>
    <row r="600" spans="2:8">
      <c r="B600" s="23">
        <f t="shared" ca="1" si="45"/>
        <v>0.71426297163445052</v>
      </c>
      <c r="C600" s="23">
        <f t="shared" ca="1" si="49"/>
        <v>350</v>
      </c>
      <c r="D600" s="23">
        <f t="shared" si="46"/>
        <v>290</v>
      </c>
      <c r="E600" s="23">
        <f t="shared" ca="1" si="47"/>
        <v>290</v>
      </c>
      <c r="F600" s="27">
        <v>65</v>
      </c>
      <c r="G600" s="27">
        <v>135</v>
      </c>
      <c r="H600" s="28">
        <f t="shared" ca="1" si="48"/>
        <v>20300</v>
      </c>
    </row>
    <row r="601" spans="2:8">
      <c r="B601" s="23">
        <f t="shared" ca="1" si="45"/>
        <v>0.44177027798447233</v>
      </c>
      <c r="C601" s="23">
        <f t="shared" ca="1" si="49"/>
        <v>274</v>
      </c>
      <c r="D601" s="23">
        <f t="shared" si="46"/>
        <v>290</v>
      </c>
      <c r="E601" s="23">
        <f t="shared" ca="1" si="47"/>
        <v>274</v>
      </c>
      <c r="F601" s="27">
        <v>65</v>
      </c>
      <c r="G601" s="27">
        <v>135</v>
      </c>
      <c r="H601" s="28">
        <f t="shared" ca="1" si="48"/>
        <v>18140</v>
      </c>
    </row>
    <row r="602" spans="2:8">
      <c r="B602" s="23">
        <f t="shared" ca="1" si="45"/>
        <v>0.23161496776496748</v>
      </c>
      <c r="C602" s="23">
        <f t="shared" ca="1" si="49"/>
        <v>212</v>
      </c>
      <c r="D602" s="23">
        <f t="shared" si="46"/>
        <v>290</v>
      </c>
      <c r="E602" s="23">
        <f t="shared" ca="1" si="47"/>
        <v>212</v>
      </c>
      <c r="F602" s="27">
        <v>65</v>
      </c>
      <c r="G602" s="27">
        <v>135</v>
      </c>
      <c r="H602" s="28">
        <f t="shared" ca="1" si="48"/>
        <v>9770</v>
      </c>
    </row>
    <row r="603" spans="2:8">
      <c r="B603" s="23">
        <f t="shared" ca="1" si="45"/>
        <v>0.29200961979082496</v>
      </c>
      <c r="C603" s="23">
        <f t="shared" ca="1" si="49"/>
        <v>232</v>
      </c>
      <c r="D603" s="23">
        <f t="shared" si="46"/>
        <v>290</v>
      </c>
      <c r="E603" s="23">
        <f t="shared" ca="1" si="47"/>
        <v>232</v>
      </c>
      <c r="F603" s="27">
        <v>65</v>
      </c>
      <c r="G603" s="27">
        <v>135</v>
      </c>
      <c r="H603" s="28">
        <f t="shared" ca="1" si="48"/>
        <v>12470</v>
      </c>
    </row>
    <row r="604" spans="2:8">
      <c r="B604" s="23">
        <f t="shared" ca="1" si="45"/>
        <v>0.71254404626598877</v>
      </c>
      <c r="C604" s="23">
        <f t="shared" ca="1" si="49"/>
        <v>349</v>
      </c>
      <c r="D604" s="23">
        <f t="shared" si="46"/>
        <v>290</v>
      </c>
      <c r="E604" s="23">
        <f t="shared" ca="1" si="47"/>
        <v>290</v>
      </c>
      <c r="F604" s="27">
        <v>65</v>
      </c>
      <c r="G604" s="27">
        <v>135</v>
      </c>
      <c r="H604" s="28">
        <f t="shared" ca="1" si="48"/>
        <v>20300</v>
      </c>
    </row>
    <row r="605" spans="2:8">
      <c r="B605" s="23">
        <f t="shared" ca="1" si="45"/>
        <v>0.70184964463823185</v>
      </c>
      <c r="C605" s="23">
        <f t="shared" ca="1" si="49"/>
        <v>346</v>
      </c>
      <c r="D605" s="23">
        <f t="shared" si="46"/>
        <v>290</v>
      </c>
      <c r="E605" s="23">
        <f t="shared" ca="1" si="47"/>
        <v>290</v>
      </c>
      <c r="F605" s="27">
        <v>65</v>
      </c>
      <c r="G605" s="27">
        <v>135</v>
      </c>
      <c r="H605" s="28">
        <f t="shared" ca="1" si="48"/>
        <v>20300</v>
      </c>
    </row>
    <row r="606" spans="2:8">
      <c r="B606" s="23">
        <f t="shared" ca="1" si="45"/>
        <v>0.60845979494850344</v>
      </c>
      <c r="C606" s="23">
        <f t="shared" ca="1" si="49"/>
        <v>319</v>
      </c>
      <c r="D606" s="23">
        <f t="shared" si="46"/>
        <v>290</v>
      </c>
      <c r="E606" s="23">
        <f t="shared" ca="1" si="47"/>
        <v>290</v>
      </c>
      <c r="F606" s="27">
        <v>65</v>
      </c>
      <c r="G606" s="27">
        <v>135</v>
      </c>
      <c r="H606" s="28">
        <f t="shared" ca="1" si="48"/>
        <v>20300</v>
      </c>
    </row>
    <row r="607" spans="2:8">
      <c r="B607" s="23">
        <f t="shared" ca="1" si="45"/>
        <v>0.90510873806457459</v>
      </c>
      <c r="C607" s="23">
        <f t="shared" ca="1" si="49"/>
        <v>429</v>
      </c>
      <c r="D607" s="23">
        <f t="shared" si="46"/>
        <v>290</v>
      </c>
      <c r="E607" s="23">
        <f t="shared" ca="1" si="47"/>
        <v>290</v>
      </c>
      <c r="F607" s="27">
        <v>65</v>
      </c>
      <c r="G607" s="27">
        <v>135</v>
      </c>
      <c r="H607" s="28">
        <f t="shared" ca="1" si="48"/>
        <v>20300</v>
      </c>
    </row>
    <row r="608" spans="2:8">
      <c r="B608" s="23">
        <f t="shared" ca="1" si="45"/>
        <v>0.52962051492841034</v>
      </c>
      <c r="C608" s="23">
        <f t="shared" ca="1" si="49"/>
        <v>297</v>
      </c>
      <c r="D608" s="23">
        <f t="shared" si="46"/>
        <v>290</v>
      </c>
      <c r="E608" s="23">
        <f t="shared" ca="1" si="47"/>
        <v>290</v>
      </c>
      <c r="F608" s="27">
        <v>65</v>
      </c>
      <c r="G608" s="27">
        <v>135</v>
      </c>
      <c r="H608" s="28">
        <f t="shared" ca="1" si="48"/>
        <v>20300</v>
      </c>
    </row>
    <row r="609" spans="2:8">
      <c r="B609" s="23">
        <f t="shared" ca="1" si="45"/>
        <v>0.44618465109523531</v>
      </c>
      <c r="C609" s="23">
        <f t="shared" ca="1" si="49"/>
        <v>275</v>
      </c>
      <c r="D609" s="23">
        <f t="shared" si="46"/>
        <v>290</v>
      </c>
      <c r="E609" s="23">
        <f t="shared" ca="1" si="47"/>
        <v>275</v>
      </c>
      <c r="F609" s="27">
        <v>65</v>
      </c>
      <c r="G609" s="27">
        <v>135</v>
      </c>
      <c r="H609" s="28">
        <f t="shared" ca="1" si="48"/>
        <v>18275</v>
      </c>
    </row>
    <row r="610" spans="2:8">
      <c r="B610" s="23">
        <f t="shared" ca="1" si="45"/>
        <v>0.36134216771777772</v>
      </c>
      <c r="C610" s="23">
        <f t="shared" ca="1" si="49"/>
        <v>252</v>
      </c>
      <c r="D610" s="23">
        <f t="shared" si="46"/>
        <v>290</v>
      </c>
      <c r="E610" s="23">
        <f t="shared" ca="1" si="47"/>
        <v>252</v>
      </c>
      <c r="F610" s="27">
        <v>65</v>
      </c>
      <c r="G610" s="27">
        <v>135</v>
      </c>
      <c r="H610" s="28">
        <f t="shared" ca="1" si="48"/>
        <v>15170</v>
      </c>
    </row>
    <row r="611" spans="2:8">
      <c r="B611" s="23">
        <f t="shared" ca="1" si="45"/>
        <v>0.76534366539431065</v>
      </c>
      <c r="C611" s="23">
        <f t="shared" ca="1" si="49"/>
        <v>366</v>
      </c>
      <c r="D611" s="23">
        <f t="shared" si="46"/>
        <v>290</v>
      </c>
      <c r="E611" s="23">
        <f t="shared" ca="1" si="47"/>
        <v>290</v>
      </c>
      <c r="F611" s="27">
        <v>65</v>
      </c>
      <c r="G611" s="27">
        <v>135</v>
      </c>
      <c r="H611" s="28">
        <f t="shared" ca="1" si="48"/>
        <v>20300</v>
      </c>
    </row>
    <row r="612" spans="2:8">
      <c r="B612" s="23">
        <f t="shared" ca="1" si="45"/>
        <v>0.94105888386654746</v>
      </c>
      <c r="C612" s="23">
        <f t="shared" ca="1" si="49"/>
        <v>455</v>
      </c>
      <c r="D612" s="23">
        <f t="shared" si="46"/>
        <v>290</v>
      </c>
      <c r="E612" s="23">
        <f t="shared" ca="1" si="47"/>
        <v>290</v>
      </c>
      <c r="F612" s="27">
        <v>65</v>
      </c>
      <c r="G612" s="27">
        <v>135</v>
      </c>
      <c r="H612" s="28">
        <f t="shared" ca="1" si="48"/>
        <v>20300</v>
      </c>
    </row>
    <row r="613" spans="2:8">
      <c r="B613" s="23">
        <f t="shared" ca="1" si="45"/>
        <v>0.31069609918968299</v>
      </c>
      <c r="C613" s="23">
        <f t="shared" ca="1" si="49"/>
        <v>237</v>
      </c>
      <c r="D613" s="23">
        <f t="shared" si="46"/>
        <v>290</v>
      </c>
      <c r="E613" s="23">
        <f t="shared" ca="1" si="47"/>
        <v>237</v>
      </c>
      <c r="F613" s="27">
        <v>65</v>
      </c>
      <c r="G613" s="27">
        <v>135</v>
      </c>
      <c r="H613" s="28">
        <f t="shared" ca="1" si="48"/>
        <v>13145</v>
      </c>
    </row>
    <row r="614" spans="2:8">
      <c r="B614" s="23">
        <f t="shared" ca="1" si="45"/>
        <v>0.9679512766370133</v>
      </c>
      <c r="C614" s="23">
        <f t="shared" ca="1" si="49"/>
        <v>486</v>
      </c>
      <c r="D614" s="23">
        <f t="shared" si="46"/>
        <v>290</v>
      </c>
      <c r="E614" s="23">
        <f t="shared" ca="1" si="47"/>
        <v>290</v>
      </c>
      <c r="F614" s="27">
        <v>65</v>
      </c>
      <c r="G614" s="27">
        <v>135</v>
      </c>
      <c r="H614" s="28">
        <f t="shared" ca="1" si="48"/>
        <v>20300</v>
      </c>
    </row>
    <row r="615" spans="2:8">
      <c r="B615" s="23">
        <f t="shared" ca="1" si="45"/>
        <v>0.44690238229962309</v>
      </c>
      <c r="C615" s="23">
        <f t="shared" ca="1" si="49"/>
        <v>275</v>
      </c>
      <c r="D615" s="23">
        <f t="shared" si="46"/>
        <v>290</v>
      </c>
      <c r="E615" s="23">
        <f t="shared" ca="1" si="47"/>
        <v>275</v>
      </c>
      <c r="F615" s="27">
        <v>65</v>
      </c>
      <c r="G615" s="27">
        <v>135</v>
      </c>
      <c r="H615" s="28">
        <f t="shared" ca="1" si="48"/>
        <v>18275</v>
      </c>
    </row>
    <row r="616" spans="2:8">
      <c r="B616" s="23">
        <f t="shared" ca="1" si="45"/>
        <v>0.33140588299905094</v>
      </c>
      <c r="C616" s="23">
        <f t="shared" ca="1" si="49"/>
        <v>243</v>
      </c>
      <c r="D616" s="23">
        <f t="shared" si="46"/>
        <v>290</v>
      </c>
      <c r="E616" s="23">
        <f t="shared" ca="1" si="47"/>
        <v>243</v>
      </c>
      <c r="F616" s="27">
        <v>65</v>
      </c>
      <c r="G616" s="27">
        <v>135</v>
      </c>
      <c r="H616" s="28">
        <f t="shared" ca="1" si="48"/>
        <v>13955</v>
      </c>
    </row>
    <row r="617" spans="2:8">
      <c r="B617" s="23">
        <f t="shared" ca="1" si="45"/>
        <v>0.25192207053254312</v>
      </c>
      <c r="C617" s="23">
        <f t="shared" ca="1" si="49"/>
        <v>219</v>
      </c>
      <c r="D617" s="23">
        <f t="shared" si="46"/>
        <v>290</v>
      </c>
      <c r="E617" s="23">
        <f t="shared" ca="1" si="47"/>
        <v>219</v>
      </c>
      <c r="F617" s="27">
        <v>65</v>
      </c>
      <c r="G617" s="27">
        <v>135</v>
      </c>
      <c r="H617" s="28">
        <f t="shared" ca="1" si="48"/>
        <v>10715</v>
      </c>
    </row>
    <row r="618" spans="2:8">
      <c r="B618" s="23">
        <f t="shared" ca="1" si="45"/>
        <v>5.9173372489780274E-3</v>
      </c>
      <c r="C618" s="23">
        <f t="shared" ca="1" si="49"/>
        <v>23</v>
      </c>
      <c r="D618" s="23">
        <f t="shared" si="46"/>
        <v>290</v>
      </c>
      <c r="E618" s="23">
        <f t="shared" ca="1" si="47"/>
        <v>23</v>
      </c>
      <c r="F618" s="27">
        <v>65</v>
      </c>
      <c r="G618" s="27">
        <v>135</v>
      </c>
      <c r="H618" s="28">
        <f t="shared" ca="1" si="48"/>
        <v>-15745</v>
      </c>
    </row>
    <row r="619" spans="2:8">
      <c r="B619" s="23">
        <f t="shared" ca="1" si="45"/>
        <v>0.15732303242786183</v>
      </c>
      <c r="C619" s="23">
        <f t="shared" ca="1" si="49"/>
        <v>183</v>
      </c>
      <c r="D619" s="23">
        <f t="shared" si="46"/>
        <v>290</v>
      </c>
      <c r="E619" s="23">
        <f t="shared" ca="1" si="47"/>
        <v>183</v>
      </c>
      <c r="F619" s="27">
        <v>65</v>
      </c>
      <c r="G619" s="27">
        <v>135</v>
      </c>
      <c r="H619" s="28">
        <f t="shared" ca="1" si="48"/>
        <v>5855</v>
      </c>
    </row>
    <row r="620" spans="2:8">
      <c r="B620" s="23">
        <f t="shared" ca="1" si="45"/>
        <v>0.90044227271392474</v>
      </c>
      <c r="C620" s="23">
        <f t="shared" ca="1" si="49"/>
        <v>426</v>
      </c>
      <c r="D620" s="23">
        <f t="shared" si="46"/>
        <v>290</v>
      </c>
      <c r="E620" s="23">
        <f t="shared" ca="1" si="47"/>
        <v>290</v>
      </c>
      <c r="F620" s="27">
        <v>65</v>
      </c>
      <c r="G620" s="27">
        <v>135</v>
      </c>
      <c r="H620" s="28">
        <f t="shared" ca="1" si="48"/>
        <v>20300</v>
      </c>
    </row>
    <row r="621" spans="2:8">
      <c r="B621" s="23">
        <f t="shared" ca="1" si="45"/>
        <v>0.9356588645304651</v>
      </c>
      <c r="C621" s="23">
        <f t="shared" ca="1" si="49"/>
        <v>451</v>
      </c>
      <c r="D621" s="23">
        <f t="shared" si="46"/>
        <v>290</v>
      </c>
      <c r="E621" s="23">
        <f t="shared" ca="1" si="47"/>
        <v>290</v>
      </c>
      <c r="F621" s="27">
        <v>65</v>
      </c>
      <c r="G621" s="27">
        <v>135</v>
      </c>
      <c r="H621" s="28">
        <f t="shared" ca="1" si="48"/>
        <v>20300</v>
      </c>
    </row>
    <row r="622" spans="2:8">
      <c r="B622" s="23">
        <f t="shared" ca="1" si="45"/>
        <v>0.64120762942706067</v>
      </c>
      <c r="C622" s="23">
        <f t="shared" ca="1" si="49"/>
        <v>328</v>
      </c>
      <c r="D622" s="23">
        <f t="shared" si="46"/>
        <v>290</v>
      </c>
      <c r="E622" s="23">
        <f t="shared" ca="1" si="47"/>
        <v>290</v>
      </c>
      <c r="F622" s="27">
        <v>65</v>
      </c>
      <c r="G622" s="27">
        <v>135</v>
      </c>
      <c r="H622" s="28">
        <f t="shared" ca="1" si="48"/>
        <v>20300</v>
      </c>
    </row>
    <row r="623" spans="2:8">
      <c r="B623" s="23">
        <f t="shared" ca="1" si="45"/>
        <v>0.8821838546646309</v>
      </c>
      <c r="C623" s="23">
        <f t="shared" ca="1" si="49"/>
        <v>415</v>
      </c>
      <c r="D623" s="23">
        <f t="shared" si="46"/>
        <v>290</v>
      </c>
      <c r="E623" s="23">
        <f t="shared" ca="1" si="47"/>
        <v>290</v>
      </c>
      <c r="F623" s="27">
        <v>65</v>
      </c>
      <c r="G623" s="27">
        <v>135</v>
      </c>
      <c r="H623" s="28">
        <f t="shared" ca="1" si="48"/>
        <v>20300</v>
      </c>
    </row>
    <row r="624" spans="2:8">
      <c r="B624" s="23">
        <f t="shared" ca="1" si="45"/>
        <v>0.49672831663714501</v>
      </c>
      <c r="C624" s="23">
        <f t="shared" ca="1" si="49"/>
        <v>289</v>
      </c>
      <c r="D624" s="23">
        <f t="shared" si="46"/>
        <v>290</v>
      </c>
      <c r="E624" s="23">
        <f t="shared" ca="1" si="47"/>
        <v>289</v>
      </c>
      <c r="F624" s="27">
        <v>65</v>
      </c>
      <c r="G624" s="27">
        <v>135</v>
      </c>
      <c r="H624" s="28">
        <f t="shared" ca="1" si="48"/>
        <v>20165</v>
      </c>
    </row>
    <row r="625" spans="2:8">
      <c r="B625" s="23">
        <f t="shared" ca="1" si="45"/>
        <v>0.90905621832247707</v>
      </c>
      <c r="C625" s="23">
        <f t="shared" ca="1" si="49"/>
        <v>431</v>
      </c>
      <c r="D625" s="23">
        <f t="shared" si="46"/>
        <v>290</v>
      </c>
      <c r="E625" s="23">
        <f t="shared" ca="1" si="47"/>
        <v>290</v>
      </c>
      <c r="F625" s="27">
        <v>65</v>
      </c>
      <c r="G625" s="27">
        <v>135</v>
      </c>
      <c r="H625" s="28">
        <f t="shared" ca="1" si="48"/>
        <v>20300</v>
      </c>
    </row>
    <row r="626" spans="2:8">
      <c r="B626" s="23">
        <f t="shared" ca="1" si="45"/>
        <v>0.37365515246392933</v>
      </c>
      <c r="C626" s="23">
        <f t="shared" ca="1" si="49"/>
        <v>255</v>
      </c>
      <c r="D626" s="23">
        <f t="shared" si="46"/>
        <v>290</v>
      </c>
      <c r="E626" s="23">
        <f t="shared" ca="1" si="47"/>
        <v>255</v>
      </c>
      <c r="F626" s="27">
        <v>65</v>
      </c>
      <c r="G626" s="27">
        <v>135</v>
      </c>
      <c r="H626" s="28">
        <f t="shared" ca="1" si="48"/>
        <v>15575</v>
      </c>
    </row>
    <row r="627" spans="2:8">
      <c r="B627" s="23">
        <f t="shared" ca="1" si="45"/>
        <v>0.51353919644309032</v>
      </c>
      <c r="C627" s="23">
        <f t="shared" ca="1" si="49"/>
        <v>293</v>
      </c>
      <c r="D627" s="23">
        <f t="shared" si="46"/>
        <v>290</v>
      </c>
      <c r="E627" s="23">
        <f t="shared" ca="1" si="47"/>
        <v>290</v>
      </c>
      <c r="F627" s="27">
        <v>65</v>
      </c>
      <c r="G627" s="27">
        <v>135</v>
      </c>
      <c r="H627" s="28">
        <f t="shared" ca="1" si="48"/>
        <v>20300</v>
      </c>
    </row>
    <row r="628" spans="2:8">
      <c r="B628" s="23">
        <f t="shared" ca="1" si="45"/>
        <v>0.17178567813070278</v>
      </c>
      <c r="C628" s="23">
        <f t="shared" ca="1" si="49"/>
        <v>189</v>
      </c>
      <c r="D628" s="23">
        <f t="shared" si="46"/>
        <v>290</v>
      </c>
      <c r="E628" s="23">
        <f t="shared" ca="1" si="47"/>
        <v>189</v>
      </c>
      <c r="F628" s="27">
        <v>65</v>
      </c>
      <c r="G628" s="27">
        <v>135</v>
      </c>
      <c r="H628" s="28">
        <f t="shared" ca="1" si="48"/>
        <v>6665</v>
      </c>
    </row>
    <row r="629" spans="2:8">
      <c r="B629" s="23">
        <f t="shared" ca="1" si="45"/>
        <v>0.95227604355987805</v>
      </c>
      <c r="C629" s="23">
        <f t="shared" ca="1" si="49"/>
        <v>466</v>
      </c>
      <c r="D629" s="23">
        <f t="shared" si="46"/>
        <v>290</v>
      </c>
      <c r="E629" s="23">
        <f t="shared" ca="1" si="47"/>
        <v>290</v>
      </c>
      <c r="F629" s="27">
        <v>65</v>
      </c>
      <c r="G629" s="27">
        <v>135</v>
      </c>
      <c r="H629" s="28">
        <f t="shared" ca="1" si="48"/>
        <v>20300</v>
      </c>
    </row>
    <row r="630" spans="2:8">
      <c r="B630" s="23">
        <f t="shared" ca="1" si="45"/>
        <v>0.78687297988409777</v>
      </c>
      <c r="C630" s="23">
        <f t="shared" ca="1" si="49"/>
        <v>374</v>
      </c>
      <c r="D630" s="23">
        <f t="shared" si="46"/>
        <v>290</v>
      </c>
      <c r="E630" s="23">
        <f t="shared" ca="1" si="47"/>
        <v>290</v>
      </c>
      <c r="F630" s="27">
        <v>65</v>
      </c>
      <c r="G630" s="27">
        <v>135</v>
      </c>
      <c r="H630" s="28">
        <f t="shared" ca="1" si="48"/>
        <v>20300</v>
      </c>
    </row>
    <row r="631" spans="2:8">
      <c r="B631" s="23">
        <f t="shared" ca="1" si="45"/>
        <v>0.32305299584257274</v>
      </c>
      <c r="C631" s="23">
        <f t="shared" ca="1" si="49"/>
        <v>241</v>
      </c>
      <c r="D631" s="23">
        <f t="shared" si="46"/>
        <v>290</v>
      </c>
      <c r="E631" s="23">
        <f t="shared" ca="1" si="47"/>
        <v>241</v>
      </c>
      <c r="F631" s="27">
        <v>65</v>
      </c>
      <c r="G631" s="27">
        <v>135</v>
      </c>
      <c r="H631" s="28">
        <f t="shared" ca="1" si="48"/>
        <v>13685</v>
      </c>
    </row>
    <row r="632" spans="2:8">
      <c r="B632" s="23">
        <f t="shared" ca="1" si="45"/>
        <v>0.58152291946386492</v>
      </c>
      <c r="C632" s="23">
        <f t="shared" ca="1" si="49"/>
        <v>311</v>
      </c>
      <c r="D632" s="23">
        <f t="shared" si="46"/>
        <v>290</v>
      </c>
      <c r="E632" s="23">
        <f t="shared" ca="1" si="47"/>
        <v>290</v>
      </c>
      <c r="F632" s="27">
        <v>65</v>
      </c>
      <c r="G632" s="27">
        <v>135</v>
      </c>
      <c r="H632" s="28">
        <f t="shared" ca="1" si="48"/>
        <v>20300</v>
      </c>
    </row>
    <row r="633" spans="2:8">
      <c r="B633" s="23">
        <f t="shared" ca="1" si="45"/>
        <v>0.1620157490157984</v>
      </c>
      <c r="C633" s="23">
        <f t="shared" ca="1" si="49"/>
        <v>185</v>
      </c>
      <c r="D633" s="23">
        <f t="shared" si="46"/>
        <v>290</v>
      </c>
      <c r="E633" s="23">
        <f t="shared" ca="1" si="47"/>
        <v>185</v>
      </c>
      <c r="F633" s="27">
        <v>65</v>
      </c>
      <c r="G633" s="27">
        <v>135</v>
      </c>
      <c r="H633" s="28">
        <f t="shared" ca="1" si="48"/>
        <v>6125</v>
      </c>
    </row>
    <row r="634" spans="2:8">
      <c r="B634" s="23">
        <f t="shared" ca="1" si="45"/>
        <v>1.4185845878984749E-2</v>
      </c>
      <c r="C634" s="23">
        <f t="shared" ca="1" si="49"/>
        <v>57</v>
      </c>
      <c r="D634" s="23">
        <f t="shared" si="46"/>
        <v>290</v>
      </c>
      <c r="E634" s="23">
        <f t="shared" ca="1" si="47"/>
        <v>57</v>
      </c>
      <c r="F634" s="27">
        <v>65</v>
      </c>
      <c r="G634" s="27">
        <v>135</v>
      </c>
      <c r="H634" s="28">
        <f t="shared" ca="1" si="48"/>
        <v>-11155</v>
      </c>
    </row>
    <row r="635" spans="2:8">
      <c r="B635" s="23">
        <f t="shared" ca="1" si="45"/>
        <v>0.47372024754382835</v>
      </c>
      <c r="C635" s="23">
        <f t="shared" ca="1" si="49"/>
        <v>283</v>
      </c>
      <c r="D635" s="23">
        <f t="shared" si="46"/>
        <v>290</v>
      </c>
      <c r="E635" s="23">
        <f t="shared" ca="1" si="47"/>
        <v>283</v>
      </c>
      <c r="F635" s="27">
        <v>65</v>
      </c>
      <c r="G635" s="27">
        <v>135</v>
      </c>
      <c r="H635" s="28">
        <f t="shared" ca="1" si="48"/>
        <v>19355</v>
      </c>
    </row>
    <row r="636" spans="2:8">
      <c r="B636" s="23">
        <f t="shared" ca="1" si="45"/>
        <v>0.46464229207087959</v>
      </c>
      <c r="C636" s="23">
        <f t="shared" ca="1" si="49"/>
        <v>280</v>
      </c>
      <c r="D636" s="23">
        <f t="shared" si="46"/>
        <v>290</v>
      </c>
      <c r="E636" s="23">
        <f t="shared" ca="1" si="47"/>
        <v>280</v>
      </c>
      <c r="F636" s="27">
        <v>65</v>
      </c>
      <c r="G636" s="27">
        <v>135</v>
      </c>
      <c r="H636" s="28">
        <f t="shared" ca="1" si="48"/>
        <v>18950</v>
      </c>
    </row>
    <row r="637" spans="2:8">
      <c r="B637" s="23">
        <f t="shared" ca="1" si="45"/>
        <v>0.74890251556866072</v>
      </c>
      <c r="C637" s="23">
        <f t="shared" ca="1" si="49"/>
        <v>361</v>
      </c>
      <c r="D637" s="23">
        <f t="shared" si="46"/>
        <v>290</v>
      </c>
      <c r="E637" s="23">
        <f t="shared" ca="1" si="47"/>
        <v>290</v>
      </c>
      <c r="F637" s="27">
        <v>65</v>
      </c>
      <c r="G637" s="27">
        <v>135</v>
      </c>
      <c r="H637" s="28">
        <f t="shared" ca="1" si="48"/>
        <v>20300</v>
      </c>
    </row>
    <row r="638" spans="2:8">
      <c r="B638" s="23">
        <f t="shared" ca="1" si="45"/>
        <v>0.19868589853906993</v>
      </c>
      <c r="C638" s="23">
        <f t="shared" ca="1" si="49"/>
        <v>200</v>
      </c>
      <c r="D638" s="23">
        <f t="shared" si="46"/>
        <v>290</v>
      </c>
      <c r="E638" s="23">
        <f t="shared" ca="1" si="47"/>
        <v>200</v>
      </c>
      <c r="F638" s="27">
        <v>65</v>
      </c>
      <c r="G638" s="27">
        <v>135</v>
      </c>
      <c r="H638" s="28">
        <f t="shared" ca="1" si="48"/>
        <v>8150</v>
      </c>
    </row>
    <row r="639" spans="2:8">
      <c r="B639" s="23">
        <f t="shared" ca="1" si="45"/>
        <v>0.79682973188249395</v>
      </c>
      <c r="C639" s="23">
        <f t="shared" ca="1" si="49"/>
        <v>378</v>
      </c>
      <c r="D639" s="23">
        <f t="shared" si="46"/>
        <v>290</v>
      </c>
      <c r="E639" s="23">
        <f t="shared" ca="1" si="47"/>
        <v>290</v>
      </c>
      <c r="F639" s="27">
        <v>65</v>
      </c>
      <c r="G639" s="27">
        <v>135</v>
      </c>
      <c r="H639" s="28">
        <f t="shared" ca="1" si="48"/>
        <v>20300</v>
      </c>
    </row>
    <row r="640" spans="2:8">
      <c r="B640" s="23">
        <f t="shared" ca="1" si="45"/>
        <v>0.83003656085546385</v>
      </c>
      <c r="C640" s="23">
        <f t="shared" ca="1" si="49"/>
        <v>391</v>
      </c>
      <c r="D640" s="23">
        <f t="shared" si="46"/>
        <v>290</v>
      </c>
      <c r="E640" s="23">
        <f t="shared" ca="1" si="47"/>
        <v>290</v>
      </c>
      <c r="F640" s="27">
        <v>65</v>
      </c>
      <c r="G640" s="27">
        <v>135</v>
      </c>
      <c r="H640" s="28">
        <f t="shared" ca="1" si="48"/>
        <v>20300</v>
      </c>
    </row>
    <row r="641" spans="2:8">
      <c r="B641" s="23">
        <f t="shared" ca="1" si="45"/>
        <v>0.50478725482142461</v>
      </c>
      <c r="C641" s="23">
        <f t="shared" ca="1" si="49"/>
        <v>291</v>
      </c>
      <c r="D641" s="23">
        <f t="shared" si="46"/>
        <v>290</v>
      </c>
      <c r="E641" s="23">
        <f t="shared" ca="1" si="47"/>
        <v>290</v>
      </c>
      <c r="F641" s="27">
        <v>65</v>
      </c>
      <c r="G641" s="27">
        <v>135</v>
      </c>
      <c r="H641" s="28">
        <f t="shared" ca="1" si="48"/>
        <v>20300</v>
      </c>
    </row>
    <row r="642" spans="2:8">
      <c r="B642" s="23">
        <f t="shared" ca="1" si="45"/>
        <v>0.35536801303968135</v>
      </c>
      <c r="C642" s="23">
        <f t="shared" ca="1" si="49"/>
        <v>250</v>
      </c>
      <c r="D642" s="23">
        <f t="shared" si="46"/>
        <v>290</v>
      </c>
      <c r="E642" s="23">
        <f t="shared" ca="1" si="47"/>
        <v>250</v>
      </c>
      <c r="F642" s="27">
        <v>65</v>
      </c>
      <c r="G642" s="27">
        <v>135</v>
      </c>
      <c r="H642" s="28">
        <f t="shared" ca="1" si="48"/>
        <v>14900</v>
      </c>
    </row>
    <row r="643" spans="2:8">
      <c r="B643" s="23">
        <f t="shared" ca="1" si="45"/>
        <v>0.31512338034291487</v>
      </c>
      <c r="C643" s="23">
        <f t="shared" ca="1" si="49"/>
        <v>239</v>
      </c>
      <c r="D643" s="23">
        <f t="shared" si="46"/>
        <v>290</v>
      </c>
      <c r="E643" s="23">
        <f t="shared" ca="1" si="47"/>
        <v>239</v>
      </c>
      <c r="F643" s="27">
        <v>65</v>
      </c>
      <c r="G643" s="27">
        <v>135</v>
      </c>
      <c r="H643" s="28">
        <f t="shared" ca="1" si="48"/>
        <v>13415</v>
      </c>
    </row>
    <row r="644" spans="2:8">
      <c r="B644" s="23">
        <f t="shared" ca="1" si="45"/>
        <v>0.31922023260714605</v>
      </c>
      <c r="C644" s="23">
        <f t="shared" ca="1" si="49"/>
        <v>240</v>
      </c>
      <c r="D644" s="23">
        <f t="shared" si="46"/>
        <v>290</v>
      </c>
      <c r="E644" s="23">
        <f t="shared" ca="1" si="47"/>
        <v>240</v>
      </c>
      <c r="F644" s="27">
        <v>65</v>
      </c>
      <c r="G644" s="27">
        <v>135</v>
      </c>
      <c r="H644" s="28">
        <f t="shared" ca="1" si="48"/>
        <v>13550</v>
      </c>
    </row>
    <row r="645" spans="2:8">
      <c r="B645" s="23">
        <f t="shared" ca="1" si="45"/>
        <v>0.29416891436751913</v>
      </c>
      <c r="C645" s="23">
        <f t="shared" ca="1" si="49"/>
        <v>232</v>
      </c>
      <c r="D645" s="23">
        <f t="shared" si="46"/>
        <v>290</v>
      </c>
      <c r="E645" s="23">
        <f t="shared" ca="1" si="47"/>
        <v>232</v>
      </c>
      <c r="F645" s="27">
        <v>65</v>
      </c>
      <c r="G645" s="27">
        <v>135</v>
      </c>
      <c r="H645" s="28">
        <f t="shared" ca="1" si="48"/>
        <v>12470</v>
      </c>
    </row>
    <row r="646" spans="2:8">
      <c r="B646" s="23">
        <f t="shared" ca="1" si="45"/>
        <v>0.38295021398751106</v>
      </c>
      <c r="C646" s="23">
        <f t="shared" ca="1" si="49"/>
        <v>258</v>
      </c>
      <c r="D646" s="23">
        <f t="shared" si="46"/>
        <v>290</v>
      </c>
      <c r="E646" s="23">
        <f t="shared" ca="1" si="47"/>
        <v>258</v>
      </c>
      <c r="F646" s="27">
        <v>65</v>
      </c>
      <c r="G646" s="27">
        <v>135</v>
      </c>
      <c r="H646" s="28">
        <f t="shared" ca="1" si="48"/>
        <v>15980</v>
      </c>
    </row>
    <row r="647" spans="2:8">
      <c r="B647" s="23">
        <f t="shared" ca="1" si="45"/>
        <v>0.43856892930590596</v>
      </c>
      <c r="C647" s="23">
        <f t="shared" ca="1" si="49"/>
        <v>273</v>
      </c>
      <c r="D647" s="23">
        <f t="shared" si="46"/>
        <v>290</v>
      </c>
      <c r="E647" s="23">
        <f t="shared" ca="1" si="47"/>
        <v>273</v>
      </c>
      <c r="F647" s="27">
        <v>65</v>
      </c>
      <c r="G647" s="27">
        <v>135</v>
      </c>
      <c r="H647" s="28">
        <f t="shared" ca="1" si="48"/>
        <v>18005</v>
      </c>
    </row>
    <row r="648" spans="2:8">
      <c r="B648" s="23">
        <f t="shared" ca="1" si="45"/>
        <v>5.977810571610187E-2</v>
      </c>
      <c r="C648" s="23">
        <f t="shared" ca="1" si="49"/>
        <v>125</v>
      </c>
      <c r="D648" s="23">
        <f t="shared" si="46"/>
        <v>290</v>
      </c>
      <c r="E648" s="23">
        <f t="shared" ca="1" si="47"/>
        <v>125</v>
      </c>
      <c r="F648" s="27">
        <v>65</v>
      </c>
      <c r="G648" s="27">
        <v>135</v>
      </c>
      <c r="H648" s="28">
        <f t="shared" ca="1" si="48"/>
        <v>-1975</v>
      </c>
    </row>
    <row r="649" spans="2:8">
      <c r="B649" s="23">
        <f t="shared" ca="1" si="45"/>
        <v>0.67358172672082028</v>
      </c>
      <c r="C649" s="23">
        <f t="shared" ca="1" si="49"/>
        <v>337</v>
      </c>
      <c r="D649" s="23">
        <f t="shared" si="46"/>
        <v>290</v>
      </c>
      <c r="E649" s="23">
        <f t="shared" ca="1" si="47"/>
        <v>290</v>
      </c>
      <c r="F649" s="27">
        <v>65</v>
      </c>
      <c r="G649" s="27">
        <v>135</v>
      </c>
      <c r="H649" s="28">
        <f t="shared" ca="1" si="48"/>
        <v>20300</v>
      </c>
    </row>
    <row r="650" spans="2:8">
      <c r="B650" s="23">
        <f t="shared" ca="1" si="45"/>
        <v>0.87957844434277621</v>
      </c>
      <c r="C650" s="23">
        <f t="shared" ca="1" si="49"/>
        <v>414</v>
      </c>
      <c r="D650" s="23">
        <f t="shared" si="46"/>
        <v>290</v>
      </c>
      <c r="E650" s="23">
        <f t="shared" ca="1" si="47"/>
        <v>290</v>
      </c>
      <c r="F650" s="27">
        <v>65</v>
      </c>
      <c r="G650" s="27">
        <v>135</v>
      </c>
      <c r="H650" s="28">
        <f t="shared" ca="1" si="48"/>
        <v>20300</v>
      </c>
    </row>
    <row r="651" spans="2:8">
      <c r="B651" s="23">
        <f t="shared" ca="1" si="45"/>
        <v>0.99792288510068239</v>
      </c>
      <c r="C651" s="23">
        <f t="shared" ca="1" si="49"/>
        <v>593</v>
      </c>
      <c r="D651" s="23">
        <f t="shared" si="46"/>
        <v>290</v>
      </c>
      <c r="E651" s="23">
        <f t="shared" ca="1" si="47"/>
        <v>290</v>
      </c>
      <c r="F651" s="27">
        <v>65</v>
      </c>
      <c r="G651" s="27">
        <v>135</v>
      </c>
      <c r="H651" s="28">
        <f t="shared" ca="1" si="48"/>
        <v>20300</v>
      </c>
    </row>
    <row r="652" spans="2:8">
      <c r="B652" s="23">
        <f t="shared" ca="1" si="45"/>
        <v>0.44755703654366752</v>
      </c>
      <c r="C652" s="23">
        <f t="shared" ca="1" si="49"/>
        <v>276</v>
      </c>
      <c r="D652" s="23">
        <f t="shared" si="46"/>
        <v>290</v>
      </c>
      <c r="E652" s="23">
        <f t="shared" ca="1" si="47"/>
        <v>276</v>
      </c>
      <c r="F652" s="27">
        <v>65</v>
      </c>
      <c r="G652" s="27">
        <v>135</v>
      </c>
      <c r="H652" s="28">
        <f t="shared" ca="1" si="48"/>
        <v>18410</v>
      </c>
    </row>
    <row r="653" spans="2:8">
      <c r="B653" s="23">
        <f t="shared" ca="1" si="45"/>
        <v>0.19767559822484204</v>
      </c>
      <c r="C653" s="23">
        <f t="shared" ca="1" si="49"/>
        <v>200</v>
      </c>
      <c r="D653" s="23">
        <f t="shared" si="46"/>
        <v>290</v>
      </c>
      <c r="E653" s="23">
        <f t="shared" ca="1" si="47"/>
        <v>200</v>
      </c>
      <c r="F653" s="27">
        <v>65</v>
      </c>
      <c r="G653" s="27">
        <v>135</v>
      </c>
      <c r="H653" s="28">
        <f t="shared" ca="1" si="48"/>
        <v>8150</v>
      </c>
    </row>
    <row r="654" spans="2:8">
      <c r="B654" s="23">
        <f t="shared" ca="1" si="45"/>
        <v>0.19091466541998681</v>
      </c>
      <c r="C654" s="23">
        <f t="shared" ca="1" si="49"/>
        <v>197</v>
      </c>
      <c r="D654" s="23">
        <f t="shared" si="46"/>
        <v>290</v>
      </c>
      <c r="E654" s="23">
        <f t="shared" ca="1" si="47"/>
        <v>197</v>
      </c>
      <c r="F654" s="27">
        <v>65</v>
      </c>
      <c r="G654" s="27">
        <v>135</v>
      </c>
      <c r="H654" s="28">
        <f t="shared" ca="1" si="48"/>
        <v>7745</v>
      </c>
    </row>
    <row r="655" spans="2:8">
      <c r="B655" s="23">
        <f t="shared" ca="1" si="45"/>
        <v>0.16168113892451108</v>
      </c>
      <c r="C655" s="23">
        <f t="shared" ca="1" si="49"/>
        <v>185</v>
      </c>
      <c r="D655" s="23">
        <f t="shared" si="46"/>
        <v>290</v>
      </c>
      <c r="E655" s="23">
        <f t="shared" ca="1" si="47"/>
        <v>185</v>
      </c>
      <c r="F655" s="27">
        <v>65</v>
      </c>
      <c r="G655" s="27">
        <v>135</v>
      </c>
      <c r="H655" s="28">
        <f t="shared" ca="1" si="48"/>
        <v>6125</v>
      </c>
    </row>
    <row r="656" spans="2:8">
      <c r="B656" s="23">
        <f t="shared" ca="1" si="45"/>
        <v>0.85212541068014114</v>
      </c>
      <c r="C656" s="23">
        <f t="shared" ca="1" si="49"/>
        <v>400</v>
      </c>
      <c r="D656" s="23">
        <f t="shared" si="46"/>
        <v>290</v>
      </c>
      <c r="E656" s="23">
        <f t="shared" ca="1" si="47"/>
        <v>290</v>
      </c>
      <c r="F656" s="27">
        <v>65</v>
      </c>
      <c r="G656" s="27">
        <v>135</v>
      </c>
      <c r="H656" s="28">
        <f t="shared" ca="1" si="48"/>
        <v>20300</v>
      </c>
    </row>
    <row r="657" spans="2:8">
      <c r="B657" s="23">
        <f t="shared" ref="B657:B720" ca="1" si="50">RAND()</f>
        <v>0.43441088800827798</v>
      </c>
      <c r="C657" s="23">
        <f t="shared" ca="1" si="49"/>
        <v>272</v>
      </c>
      <c r="D657" s="23">
        <f t="shared" ref="D657:D720" si="51">$B$9</f>
        <v>290</v>
      </c>
      <c r="E657" s="23">
        <f t="shared" ref="E657:E720" ca="1" si="52">_xlfn.FLOOR.MATH(MIN(C657,D657))</f>
        <v>272</v>
      </c>
      <c r="F657" s="27">
        <v>65</v>
      </c>
      <c r="G657" s="27">
        <v>135</v>
      </c>
      <c r="H657" s="28">
        <f t="shared" ref="H657:H720" ca="1" si="53">E657*G657-D657*F657</f>
        <v>17870</v>
      </c>
    </row>
    <row r="658" spans="2:8">
      <c r="B658" s="23">
        <f t="shared" ca="1" si="50"/>
        <v>0.11441888937782108</v>
      </c>
      <c r="C658" s="23">
        <f t="shared" ref="C658:C721" ca="1" si="54">_xlfn.FLOOR.MATH(_xlfn.NORM.INV(B658,$B$6,$B$7))</f>
        <v>162</v>
      </c>
      <c r="D658" s="23">
        <f t="shared" si="51"/>
        <v>290</v>
      </c>
      <c r="E658" s="23">
        <f t="shared" ca="1" si="52"/>
        <v>162</v>
      </c>
      <c r="F658" s="27">
        <v>65</v>
      </c>
      <c r="G658" s="27">
        <v>135</v>
      </c>
      <c r="H658" s="28">
        <f t="shared" ca="1" si="53"/>
        <v>3020</v>
      </c>
    </row>
    <row r="659" spans="2:8">
      <c r="B659" s="23">
        <f t="shared" ca="1" si="50"/>
        <v>0.7159487839629648</v>
      </c>
      <c r="C659" s="23">
        <f t="shared" ca="1" si="54"/>
        <v>350</v>
      </c>
      <c r="D659" s="23">
        <f t="shared" si="51"/>
        <v>290</v>
      </c>
      <c r="E659" s="23">
        <f t="shared" ca="1" si="52"/>
        <v>290</v>
      </c>
      <c r="F659" s="27">
        <v>65</v>
      </c>
      <c r="G659" s="27">
        <v>135</v>
      </c>
      <c r="H659" s="28">
        <f t="shared" ca="1" si="53"/>
        <v>20300</v>
      </c>
    </row>
    <row r="660" spans="2:8">
      <c r="B660" s="23">
        <f t="shared" ca="1" si="50"/>
        <v>0.72257109143002063</v>
      </c>
      <c r="C660" s="23">
        <f t="shared" ca="1" si="54"/>
        <v>352</v>
      </c>
      <c r="D660" s="23">
        <f t="shared" si="51"/>
        <v>290</v>
      </c>
      <c r="E660" s="23">
        <f t="shared" ca="1" si="52"/>
        <v>290</v>
      </c>
      <c r="F660" s="27">
        <v>65</v>
      </c>
      <c r="G660" s="27">
        <v>135</v>
      </c>
      <c r="H660" s="28">
        <f t="shared" ca="1" si="53"/>
        <v>20300</v>
      </c>
    </row>
    <row r="661" spans="2:8">
      <c r="B661" s="23">
        <f t="shared" ca="1" si="50"/>
        <v>0.33916676927449396</v>
      </c>
      <c r="C661" s="23">
        <f t="shared" ca="1" si="54"/>
        <v>246</v>
      </c>
      <c r="D661" s="23">
        <f t="shared" si="51"/>
        <v>290</v>
      </c>
      <c r="E661" s="23">
        <f t="shared" ca="1" si="52"/>
        <v>246</v>
      </c>
      <c r="F661" s="27">
        <v>65</v>
      </c>
      <c r="G661" s="27">
        <v>135</v>
      </c>
      <c r="H661" s="28">
        <f t="shared" ca="1" si="53"/>
        <v>14360</v>
      </c>
    </row>
    <row r="662" spans="2:8">
      <c r="B662" s="23">
        <f t="shared" ca="1" si="50"/>
        <v>0.80669670201749888</v>
      </c>
      <c r="C662" s="23">
        <f t="shared" ca="1" si="54"/>
        <v>381</v>
      </c>
      <c r="D662" s="23">
        <f t="shared" si="51"/>
        <v>290</v>
      </c>
      <c r="E662" s="23">
        <f t="shared" ca="1" si="52"/>
        <v>290</v>
      </c>
      <c r="F662" s="27">
        <v>65</v>
      </c>
      <c r="G662" s="27">
        <v>135</v>
      </c>
      <c r="H662" s="28">
        <f t="shared" ca="1" si="53"/>
        <v>20300</v>
      </c>
    </row>
    <row r="663" spans="2:8">
      <c r="B663" s="23">
        <f t="shared" ca="1" si="50"/>
        <v>0.86859645484355752</v>
      </c>
      <c r="C663" s="23">
        <f t="shared" ca="1" si="54"/>
        <v>408</v>
      </c>
      <c r="D663" s="23">
        <f t="shared" si="51"/>
        <v>290</v>
      </c>
      <c r="E663" s="23">
        <f t="shared" ca="1" si="52"/>
        <v>290</v>
      </c>
      <c r="F663" s="27">
        <v>65</v>
      </c>
      <c r="G663" s="27">
        <v>135</v>
      </c>
      <c r="H663" s="28">
        <f t="shared" ca="1" si="53"/>
        <v>20300</v>
      </c>
    </row>
    <row r="664" spans="2:8">
      <c r="B664" s="23">
        <f t="shared" ca="1" si="50"/>
        <v>0.85981287792035654</v>
      </c>
      <c r="C664" s="23">
        <f t="shared" ca="1" si="54"/>
        <v>404</v>
      </c>
      <c r="D664" s="23">
        <f t="shared" si="51"/>
        <v>290</v>
      </c>
      <c r="E664" s="23">
        <f t="shared" ca="1" si="52"/>
        <v>290</v>
      </c>
      <c r="F664" s="27">
        <v>65</v>
      </c>
      <c r="G664" s="27">
        <v>135</v>
      </c>
      <c r="H664" s="28">
        <f t="shared" ca="1" si="53"/>
        <v>20300</v>
      </c>
    </row>
    <row r="665" spans="2:8">
      <c r="B665" s="23">
        <f t="shared" ca="1" si="50"/>
        <v>6.0499687138760416E-2</v>
      </c>
      <c r="C665" s="23">
        <f t="shared" ca="1" si="54"/>
        <v>125</v>
      </c>
      <c r="D665" s="23">
        <f t="shared" si="51"/>
        <v>290</v>
      </c>
      <c r="E665" s="23">
        <f t="shared" ca="1" si="52"/>
        <v>125</v>
      </c>
      <c r="F665" s="27">
        <v>65</v>
      </c>
      <c r="G665" s="27">
        <v>135</v>
      </c>
      <c r="H665" s="28">
        <f t="shared" ca="1" si="53"/>
        <v>-1975</v>
      </c>
    </row>
    <row r="666" spans="2:8">
      <c r="B666" s="23">
        <f t="shared" ca="1" si="50"/>
        <v>3.3411240720382485E-2</v>
      </c>
      <c r="C666" s="23">
        <f t="shared" ca="1" si="54"/>
        <v>95</v>
      </c>
      <c r="D666" s="23">
        <f t="shared" si="51"/>
        <v>290</v>
      </c>
      <c r="E666" s="23">
        <f t="shared" ca="1" si="52"/>
        <v>95</v>
      </c>
      <c r="F666" s="27">
        <v>65</v>
      </c>
      <c r="G666" s="27">
        <v>135</v>
      </c>
      <c r="H666" s="28">
        <f t="shared" ca="1" si="53"/>
        <v>-6025</v>
      </c>
    </row>
    <row r="667" spans="2:8">
      <c r="B667" s="23">
        <f t="shared" ca="1" si="50"/>
        <v>0.81950974291205525</v>
      </c>
      <c r="C667" s="23">
        <f t="shared" ca="1" si="54"/>
        <v>386</v>
      </c>
      <c r="D667" s="23">
        <f t="shared" si="51"/>
        <v>290</v>
      </c>
      <c r="E667" s="23">
        <f t="shared" ca="1" si="52"/>
        <v>290</v>
      </c>
      <c r="F667" s="27">
        <v>65</v>
      </c>
      <c r="G667" s="27">
        <v>135</v>
      </c>
      <c r="H667" s="28">
        <f t="shared" ca="1" si="53"/>
        <v>20300</v>
      </c>
    </row>
    <row r="668" spans="2:8">
      <c r="B668" s="23">
        <f t="shared" ca="1" si="50"/>
        <v>0.1230793273360431</v>
      </c>
      <c r="C668" s="23">
        <f t="shared" ca="1" si="54"/>
        <v>167</v>
      </c>
      <c r="D668" s="23">
        <f t="shared" si="51"/>
        <v>290</v>
      </c>
      <c r="E668" s="23">
        <f t="shared" ca="1" si="52"/>
        <v>167</v>
      </c>
      <c r="F668" s="27">
        <v>65</v>
      </c>
      <c r="G668" s="27">
        <v>135</v>
      </c>
      <c r="H668" s="28">
        <f t="shared" ca="1" si="53"/>
        <v>3695</v>
      </c>
    </row>
    <row r="669" spans="2:8">
      <c r="B669" s="23">
        <f t="shared" ca="1" si="50"/>
        <v>0.18135822129796686</v>
      </c>
      <c r="C669" s="23">
        <f t="shared" ca="1" si="54"/>
        <v>193</v>
      </c>
      <c r="D669" s="23">
        <f t="shared" si="51"/>
        <v>290</v>
      </c>
      <c r="E669" s="23">
        <f t="shared" ca="1" si="52"/>
        <v>193</v>
      </c>
      <c r="F669" s="27">
        <v>65</v>
      </c>
      <c r="G669" s="27">
        <v>135</v>
      </c>
      <c r="H669" s="28">
        <f t="shared" ca="1" si="53"/>
        <v>7205</v>
      </c>
    </row>
    <row r="670" spans="2:8">
      <c r="B670" s="23">
        <f t="shared" ca="1" si="50"/>
        <v>0.8829112931999783</v>
      </c>
      <c r="C670" s="23">
        <f t="shared" ca="1" si="54"/>
        <v>416</v>
      </c>
      <c r="D670" s="23">
        <f t="shared" si="51"/>
        <v>290</v>
      </c>
      <c r="E670" s="23">
        <f t="shared" ca="1" si="52"/>
        <v>290</v>
      </c>
      <c r="F670" s="27">
        <v>65</v>
      </c>
      <c r="G670" s="27">
        <v>135</v>
      </c>
      <c r="H670" s="28">
        <f t="shared" ca="1" si="53"/>
        <v>20300</v>
      </c>
    </row>
    <row r="671" spans="2:8">
      <c r="B671" s="23">
        <f t="shared" ca="1" si="50"/>
        <v>0.19970058427773696</v>
      </c>
      <c r="C671" s="23">
        <f t="shared" ca="1" si="54"/>
        <v>200</v>
      </c>
      <c r="D671" s="23">
        <f t="shared" si="51"/>
        <v>290</v>
      </c>
      <c r="E671" s="23">
        <f t="shared" ca="1" si="52"/>
        <v>200</v>
      </c>
      <c r="F671" s="27">
        <v>65</v>
      </c>
      <c r="G671" s="27">
        <v>135</v>
      </c>
      <c r="H671" s="28">
        <f t="shared" ca="1" si="53"/>
        <v>8150</v>
      </c>
    </row>
    <row r="672" spans="2:8">
      <c r="B672" s="23">
        <f t="shared" ca="1" si="50"/>
        <v>0.25172511447844337</v>
      </c>
      <c r="C672" s="23">
        <f t="shared" ca="1" si="54"/>
        <v>219</v>
      </c>
      <c r="D672" s="23">
        <f t="shared" si="51"/>
        <v>290</v>
      </c>
      <c r="E672" s="23">
        <f t="shared" ca="1" si="52"/>
        <v>219</v>
      </c>
      <c r="F672" s="27">
        <v>65</v>
      </c>
      <c r="G672" s="27">
        <v>135</v>
      </c>
      <c r="H672" s="28">
        <f t="shared" ca="1" si="53"/>
        <v>10715</v>
      </c>
    </row>
    <row r="673" spans="2:8">
      <c r="B673" s="23">
        <f t="shared" ca="1" si="50"/>
        <v>0.82325667851622542</v>
      </c>
      <c r="C673" s="23">
        <f t="shared" ca="1" si="54"/>
        <v>388</v>
      </c>
      <c r="D673" s="23">
        <f t="shared" si="51"/>
        <v>290</v>
      </c>
      <c r="E673" s="23">
        <f t="shared" ca="1" si="52"/>
        <v>290</v>
      </c>
      <c r="F673" s="27">
        <v>65</v>
      </c>
      <c r="G673" s="27">
        <v>135</v>
      </c>
      <c r="H673" s="28">
        <f t="shared" ca="1" si="53"/>
        <v>20300</v>
      </c>
    </row>
    <row r="674" spans="2:8">
      <c r="B674" s="23">
        <f t="shared" ca="1" si="50"/>
        <v>0.77833341669812062</v>
      </c>
      <c r="C674" s="23">
        <f t="shared" ca="1" si="54"/>
        <v>371</v>
      </c>
      <c r="D674" s="23">
        <f t="shared" si="51"/>
        <v>290</v>
      </c>
      <c r="E674" s="23">
        <f t="shared" ca="1" si="52"/>
        <v>290</v>
      </c>
      <c r="F674" s="27">
        <v>65</v>
      </c>
      <c r="G674" s="27">
        <v>135</v>
      </c>
      <c r="H674" s="28">
        <f t="shared" ca="1" si="53"/>
        <v>20300</v>
      </c>
    </row>
    <row r="675" spans="2:8">
      <c r="B675" s="23">
        <f t="shared" ca="1" si="50"/>
        <v>3.5506791744476796E-2</v>
      </c>
      <c r="C675" s="23">
        <f t="shared" ca="1" si="54"/>
        <v>98</v>
      </c>
      <c r="D675" s="23">
        <f t="shared" si="51"/>
        <v>290</v>
      </c>
      <c r="E675" s="23">
        <f t="shared" ca="1" si="52"/>
        <v>98</v>
      </c>
      <c r="F675" s="27">
        <v>65</v>
      </c>
      <c r="G675" s="27">
        <v>135</v>
      </c>
      <c r="H675" s="28">
        <f t="shared" ca="1" si="53"/>
        <v>-5620</v>
      </c>
    </row>
    <row r="676" spans="2:8">
      <c r="B676" s="23">
        <f t="shared" ca="1" si="50"/>
        <v>0.52780127295679224</v>
      </c>
      <c r="C676" s="23">
        <f t="shared" ca="1" si="54"/>
        <v>297</v>
      </c>
      <c r="D676" s="23">
        <f t="shared" si="51"/>
        <v>290</v>
      </c>
      <c r="E676" s="23">
        <f t="shared" ca="1" si="52"/>
        <v>290</v>
      </c>
      <c r="F676" s="27">
        <v>65</v>
      </c>
      <c r="G676" s="27">
        <v>135</v>
      </c>
      <c r="H676" s="28">
        <f t="shared" ca="1" si="53"/>
        <v>20300</v>
      </c>
    </row>
    <row r="677" spans="2:8">
      <c r="B677" s="23">
        <f t="shared" ca="1" si="50"/>
        <v>0.29285250976550181</v>
      </c>
      <c r="C677" s="23">
        <f t="shared" ca="1" si="54"/>
        <v>232</v>
      </c>
      <c r="D677" s="23">
        <f t="shared" si="51"/>
        <v>290</v>
      </c>
      <c r="E677" s="23">
        <f t="shared" ca="1" si="52"/>
        <v>232</v>
      </c>
      <c r="F677" s="27">
        <v>65</v>
      </c>
      <c r="G677" s="27">
        <v>135</v>
      </c>
      <c r="H677" s="28">
        <f t="shared" ca="1" si="53"/>
        <v>12470</v>
      </c>
    </row>
    <row r="678" spans="2:8">
      <c r="B678" s="23">
        <f t="shared" ca="1" si="50"/>
        <v>0.57704538943008987</v>
      </c>
      <c r="C678" s="23">
        <f t="shared" ca="1" si="54"/>
        <v>310</v>
      </c>
      <c r="D678" s="23">
        <f t="shared" si="51"/>
        <v>290</v>
      </c>
      <c r="E678" s="23">
        <f t="shared" ca="1" si="52"/>
        <v>290</v>
      </c>
      <c r="F678" s="27">
        <v>65</v>
      </c>
      <c r="G678" s="27">
        <v>135</v>
      </c>
      <c r="H678" s="28">
        <f t="shared" ca="1" si="53"/>
        <v>20300</v>
      </c>
    </row>
    <row r="679" spans="2:8">
      <c r="B679" s="23">
        <f t="shared" ca="1" si="50"/>
        <v>0.38029456561494557</v>
      </c>
      <c r="C679" s="23">
        <f t="shared" ca="1" si="54"/>
        <v>257</v>
      </c>
      <c r="D679" s="23">
        <f t="shared" si="51"/>
        <v>290</v>
      </c>
      <c r="E679" s="23">
        <f t="shared" ca="1" si="52"/>
        <v>257</v>
      </c>
      <c r="F679" s="27">
        <v>65</v>
      </c>
      <c r="G679" s="27">
        <v>135</v>
      </c>
      <c r="H679" s="28">
        <f t="shared" ca="1" si="53"/>
        <v>15845</v>
      </c>
    </row>
    <row r="680" spans="2:8">
      <c r="B680" s="23">
        <f t="shared" ca="1" si="50"/>
        <v>0.47948785190167265</v>
      </c>
      <c r="C680" s="23">
        <f t="shared" ca="1" si="54"/>
        <v>284</v>
      </c>
      <c r="D680" s="23">
        <f t="shared" si="51"/>
        <v>290</v>
      </c>
      <c r="E680" s="23">
        <f t="shared" ca="1" si="52"/>
        <v>284</v>
      </c>
      <c r="F680" s="27">
        <v>65</v>
      </c>
      <c r="G680" s="27">
        <v>135</v>
      </c>
      <c r="H680" s="28">
        <f t="shared" ca="1" si="53"/>
        <v>19490</v>
      </c>
    </row>
    <row r="681" spans="2:8">
      <c r="B681" s="23">
        <f t="shared" ca="1" si="50"/>
        <v>0.22976937513524465</v>
      </c>
      <c r="C681" s="23">
        <f t="shared" ca="1" si="54"/>
        <v>211</v>
      </c>
      <c r="D681" s="23">
        <f t="shared" si="51"/>
        <v>290</v>
      </c>
      <c r="E681" s="23">
        <f t="shared" ca="1" si="52"/>
        <v>211</v>
      </c>
      <c r="F681" s="27">
        <v>65</v>
      </c>
      <c r="G681" s="27">
        <v>135</v>
      </c>
      <c r="H681" s="28">
        <f t="shared" ca="1" si="53"/>
        <v>9635</v>
      </c>
    </row>
    <row r="682" spans="2:8">
      <c r="B682" s="23">
        <f t="shared" ca="1" si="50"/>
        <v>0.26634119810827228</v>
      </c>
      <c r="C682" s="23">
        <f t="shared" ca="1" si="54"/>
        <v>223</v>
      </c>
      <c r="D682" s="23">
        <f t="shared" si="51"/>
        <v>290</v>
      </c>
      <c r="E682" s="23">
        <f t="shared" ca="1" si="52"/>
        <v>223</v>
      </c>
      <c r="F682" s="27">
        <v>65</v>
      </c>
      <c r="G682" s="27">
        <v>135</v>
      </c>
      <c r="H682" s="28">
        <f t="shared" ca="1" si="53"/>
        <v>11255</v>
      </c>
    </row>
    <row r="683" spans="2:8">
      <c r="B683" s="23">
        <f t="shared" ca="1" si="50"/>
        <v>0.76488727542487589</v>
      </c>
      <c r="C683" s="23">
        <f t="shared" ca="1" si="54"/>
        <v>366</v>
      </c>
      <c r="D683" s="23">
        <f t="shared" si="51"/>
        <v>290</v>
      </c>
      <c r="E683" s="23">
        <f t="shared" ca="1" si="52"/>
        <v>290</v>
      </c>
      <c r="F683" s="27">
        <v>65</v>
      </c>
      <c r="G683" s="27">
        <v>135</v>
      </c>
      <c r="H683" s="28">
        <f t="shared" ca="1" si="53"/>
        <v>20300</v>
      </c>
    </row>
    <row r="684" spans="2:8">
      <c r="B684" s="23">
        <f t="shared" ca="1" si="50"/>
        <v>0.21547494257868893</v>
      </c>
      <c r="C684" s="23">
        <f t="shared" ca="1" si="54"/>
        <v>206</v>
      </c>
      <c r="D684" s="23">
        <f t="shared" si="51"/>
        <v>290</v>
      </c>
      <c r="E684" s="23">
        <f t="shared" ca="1" si="52"/>
        <v>206</v>
      </c>
      <c r="F684" s="27">
        <v>65</v>
      </c>
      <c r="G684" s="27">
        <v>135</v>
      </c>
      <c r="H684" s="28">
        <f t="shared" ca="1" si="53"/>
        <v>8960</v>
      </c>
    </row>
    <row r="685" spans="2:8">
      <c r="B685" s="23">
        <f t="shared" ca="1" si="50"/>
        <v>0.88011656296077878</v>
      </c>
      <c r="C685" s="23">
        <f t="shared" ca="1" si="54"/>
        <v>414</v>
      </c>
      <c r="D685" s="23">
        <f t="shared" si="51"/>
        <v>290</v>
      </c>
      <c r="E685" s="23">
        <f t="shared" ca="1" si="52"/>
        <v>290</v>
      </c>
      <c r="F685" s="27">
        <v>65</v>
      </c>
      <c r="G685" s="27">
        <v>135</v>
      </c>
      <c r="H685" s="28">
        <f t="shared" ca="1" si="53"/>
        <v>20300</v>
      </c>
    </row>
    <row r="686" spans="2:8">
      <c r="B686" s="23">
        <f t="shared" ca="1" si="50"/>
        <v>1.1063991550098184E-2</v>
      </c>
      <c r="C686" s="23">
        <f t="shared" ca="1" si="54"/>
        <v>47</v>
      </c>
      <c r="D686" s="23">
        <f t="shared" si="51"/>
        <v>290</v>
      </c>
      <c r="E686" s="23">
        <f t="shared" ca="1" si="52"/>
        <v>47</v>
      </c>
      <c r="F686" s="27">
        <v>65</v>
      </c>
      <c r="G686" s="27">
        <v>135</v>
      </c>
      <c r="H686" s="28">
        <f t="shared" ca="1" si="53"/>
        <v>-12505</v>
      </c>
    </row>
    <row r="687" spans="2:8">
      <c r="B687" s="23">
        <f t="shared" ca="1" si="50"/>
        <v>0.26210269076365678</v>
      </c>
      <c r="C687" s="23">
        <f t="shared" ca="1" si="54"/>
        <v>222</v>
      </c>
      <c r="D687" s="23">
        <f t="shared" si="51"/>
        <v>290</v>
      </c>
      <c r="E687" s="23">
        <f t="shared" ca="1" si="52"/>
        <v>222</v>
      </c>
      <c r="F687" s="27">
        <v>65</v>
      </c>
      <c r="G687" s="27">
        <v>135</v>
      </c>
      <c r="H687" s="28">
        <f t="shared" ca="1" si="53"/>
        <v>11120</v>
      </c>
    </row>
    <row r="688" spans="2:8">
      <c r="B688" s="23">
        <f t="shared" ca="1" si="50"/>
        <v>0.71139401827448279</v>
      </c>
      <c r="C688" s="23">
        <f t="shared" ca="1" si="54"/>
        <v>349</v>
      </c>
      <c r="D688" s="23">
        <f t="shared" si="51"/>
        <v>290</v>
      </c>
      <c r="E688" s="23">
        <f t="shared" ca="1" si="52"/>
        <v>290</v>
      </c>
      <c r="F688" s="27">
        <v>65</v>
      </c>
      <c r="G688" s="27">
        <v>135</v>
      </c>
      <c r="H688" s="28">
        <f t="shared" ca="1" si="53"/>
        <v>20300</v>
      </c>
    </row>
    <row r="689" spans="2:8">
      <c r="B689" s="23">
        <f t="shared" ca="1" si="50"/>
        <v>0.50112239472592768</v>
      </c>
      <c r="C689" s="23">
        <f t="shared" ca="1" si="54"/>
        <v>290</v>
      </c>
      <c r="D689" s="23">
        <f t="shared" si="51"/>
        <v>290</v>
      </c>
      <c r="E689" s="23">
        <f t="shared" ca="1" si="52"/>
        <v>290</v>
      </c>
      <c r="F689" s="27">
        <v>65</v>
      </c>
      <c r="G689" s="27">
        <v>135</v>
      </c>
      <c r="H689" s="28">
        <f t="shared" ca="1" si="53"/>
        <v>20300</v>
      </c>
    </row>
    <row r="690" spans="2:8">
      <c r="B690" s="23">
        <f t="shared" ca="1" si="50"/>
        <v>3.234616773465504E-2</v>
      </c>
      <c r="C690" s="23">
        <f t="shared" ca="1" si="54"/>
        <v>94</v>
      </c>
      <c r="D690" s="23">
        <f t="shared" si="51"/>
        <v>290</v>
      </c>
      <c r="E690" s="23">
        <f t="shared" ca="1" si="52"/>
        <v>94</v>
      </c>
      <c r="F690" s="27">
        <v>65</v>
      </c>
      <c r="G690" s="27">
        <v>135</v>
      </c>
      <c r="H690" s="28">
        <f t="shared" ca="1" si="53"/>
        <v>-6160</v>
      </c>
    </row>
    <row r="691" spans="2:8">
      <c r="B691" s="23">
        <f t="shared" ca="1" si="50"/>
        <v>3.0717194848352669E-2</v>
      </c>
      <c r="C691" s="23">
        <f t="shared" ca="1" si="54"/>
        <v>91</v>
      </c>
      <c r="D691" s="23">
        <f t="shared" si="51"/>
        <v>290</v>
      </c>
      <c r="E691" s="23">
        <f t="shared" ca="1" si="52"/>
        <v>91</v>
      </c>
      <c r="F691" s="27">
        <v>65</v>
      </c>
      <c r="G691" s="27">
        <v>135</v>
      </c>
      <c r="H691" s="28">
        <f t="shared" ca="1" si="53"/>
        <v>-6565</v>
      </c>
    </row>
    <row r="692" spans="2:8">
      <c r="B692" s="23">
        <f t="shared" ca="1" si="50"/>
        <v>0.75559602628203948</v>
      </c>
      <c r="C692" s="23">
        <f t="shared" ca="1" si="54"/>
        <v>363</v>
      </c>
      <c r="D692" s="23">
        <f t="shared" si="51"/>
        <v>290</v>
      </c>
      <c r="E692" s="23">
        <f t="shared" ca="1" si="52"/>
        <v>290</v>
      </c>
      <c r="F692" s="27">
        <v>65</v>
      </c>
      <c r="G692" s="27">
        <v>135</v>
      </c>
      <c r="H692" s="28">
        <f t="shared" ca="1" si="53"/>
        <v>20300</v>
      </c>
    </row>
    <row r="693" spans="2:8">
      <c r="B693" s="23">
        <f t="shared" ca="1" si="50"/>
        <v>0.53341045032014667</v>
      </c>
      <c r="C693" s="23">
        <f t="shared" ca="1" si="54"/>
        <v>298</v>
      </c>
      <c r="D693" s="23">
        <f t="shared" si="51"/>
        <v>290</v>
      </c>
      <c r="E693" s="23">
        <f t="shared" ca="1" si="52"/>
        <v>290</v>
      </c>
      <c r="F693" s="27">
        <v>65</v>
      </c>
      <c r="G693" s="27">
        <v>135</v>
      </c>
      <c r="H693" s="28">
        <f t="shared" ca="1" si="53"/>
        <v>20300</v>
      </c>
    </row>
    <row r="694" spans="2:8">
      <c r="B694" s="23">
        <f t="shared" ca="1" si="50"/>
        <v>0.55353237862833005</v>
      </c>
      <c r="C694" s="23">
        <f t="shared" ca="1" si="54"/>
        <v>304</v>
      </c>
      <c r="D694" s="23">
        <f t="shared" si="51"/>
        <v>290</v>
      </c>
      <c r="E694" s="23">
        <f t="shared" ca="1" si="52"/>
        <v>290</v>
      </c>
      <c r="F694" s="27">
        <v>65</v>
      </c>
      <c r="G694" s="27">
        <v>135</v>
      </c>
      <c r="H694" s="28">
        <f t="shared" ca="1" si="53"/>
        <v>20300</v>
      </c>
    </row>
    <row r="695" spans="2:8">
      <c r="B695" s="23">
        <f t="shared" ca="1" si="50"/>
        <v>0.71676327264699513</v>
      </c>
      <c r="C695" s="23">
        <f t="shared" ca="1" si="54"/>
        <v>350</v>
      </c>
      <c r="D695" s="23">
        <f t="shared" si="51"/>
        <v>290</v>
      </c>
      <c r="E695" s="23">
        <f t="shared" ca="1" si="52"/>
        <v>290</v>
      </c>
      <c r="F695" s="27">
        <v>65</v>
      </c>
      <c r="G695" s="27">
        <v>135</v>
      </c>
      <c r="H695" s="28">
        <f t="shared" ca="1" si="53"/>
        <v>20300</v>
      </c>
    </row>
    <row r="696" spans="2:8">
      <c r="B696" s="23">
        <f t="shared" ca="1" si="50"/>
        <v>0.13530861791508342</v>
      </c>
      <c r="C696" s="23">
        <f t="shared" ca="1" si="54"/>
        <v>173</v>
      </c>
      <c r="D696" s="23">
        <f t="shared" si="51"/>
        <v>290</v>
      </c>
      <c r="E696" s="23">
        <f t="shared" ca="1" si="52"/>
        <v>173</v>
      </c>
      <c r="F696" s="27">
        <v>65</v>
      </c>
      <c r="G696" s="27">
        <v>135</v>
      </c>
      <c r="H696" s="28">
        <f t="shared" ca="1" si="53"/>
        <v>4505</v>
      </c>
    </row>
    <row r="697" spans="2:8">
      <c r="B697" s="23">
        <f t="shared" ca="1" si="50"/>
        <v>0.38629987418868961</v>
      </c>
      <c r="C697" s="23">
        <f t="shared" ca="1" si="54"/>
        <v>259</v>
      </c>
      <c r="D697" s="23">
        <f t="shared" si="51"/>
        <v>290</v>
      </c>
      <c r="E697" s="23">
        <f t="shared" ca="1" si="52"/>
        <v>259</v>
      </c>
      <c r="F697" s="27">
        <v>65</v>
      </c>
      <c r="G697" s="27">
        <v>135</v>
      </c>
      <c r="H697" s="28">
        <f t="shared" ca="1" si="53"/>
        <v>16115</v>
      </c>
    </row>
    <row r="698" spans="2:8">
      <c r="B698" s="23">
        <f t="shared" ca="1" si="50"/>
        <v>0.25777882098800575</v>
      </c>
      <c r="C698" s="23">
        <f t="shared" ca="1" si="54"/>
        <v>221</v>
      </c>
      <c r="D698" s="23">
        <f t="shared" si="51"/>
        <v>290</v>
      </c>
      <c r="E698" s="23">
        <f t="shared" ca="1" si="52"/>
        <v>221</v>
      </c>
      <c r="F698" s="27">
        <v>65</v>
      </c>
      <c r="G698" s="27">
        <v>135</v>
      </c>
      <c r="H698" s="28">
        <f t="shared" ca="1" si="53"/>
        <v>10985</v>
      </c>
    </row>
    <row r="699" spans="2:8">
      <c r="B699" s="23">
        <f t="shared" ca="1" si="50"/>
        <v>0.38643981320705245</v>
      </c>
      <c r="C699" s="23">
        <f t="shared" ca="1" si="54"/>
        <v>259</v>
      </c>
      <c r="D699" s="23">
        <f t="shared" si="51"/>
        <v>290</v>
      </c>
      <c r="E699" s="23">
        <f t="shared" ca="1" si="52"/>
        <v>259</v>
      </c>
      <c r="F699" s="27">
        <v>65</v>
      </c>
      <c r="G699" s="27">
        <v>135</v>
      </c>
      <c r="H699" s="28">
        <f t="shared" ca="1" si="53"/>
        <v>16115</v>
      </c>
    </row>
    <row r="700" spans="2:8">
      <c r="B700" s="23">
        <f t="shared" ca="1" si="50"/>
        <v>0.75519451603467513</v>
      </c>
      <c r="C700" s="23">
        <f t="shared" ca="1" si="54"/>
        <v>363</v>
      </c>
      <c r="D700" s="23">
        <f t="shared" si="51"/>
        <v>290</v>
      </c>
      <c r="E700" s="23">
        <f t="shared" ca="1" si="52"/>
        <v>290</v>
      </c>
      <c r="F700" s="27">
        <v>65</v>
      </c>
      <c r="G700" s="27">
        <v>135</v>
      </c>
      <c r="H700" s="28">
        <f t="shared" ca="1" si="53"/>
        <v>20300</v>
      </c>
    </row>
    <row r="701" spans="2:8">
      <c r="B701" s="23">
        <f t="shared" ca="1" si="50"/>
        <v>0.57200130898155277</v>
      </c>
      <c r="C701" s="23">
        <f t="shared" ca="1" si="54"/>
        <v>309</v>
      </c>
      <c r="D701" s="23">
        <f t="shared" si="51"/>
        <v>290</v>
      </c>
      <c r="E701" s="23">
        <f t="shared" ca="1" si="52"/>
        <v>290</v>
      </c>
      <c r="F701" s="27">
        <v>65</v>
      </c>
      <c r="G701" s="27">
        <v>135</v>
      </c>
      <c r="H701" s="28">
        <f t="shared" ca="1" si="53"/>
        <v>20300</v>
      </c>
    </row>
    <row r="702" spans="2:8">
      <c r="B702" s="23">
        <f t="shared" ca="1" si="50"/>
        <v>0.17861890362192323</v>
      </c>
      <c r="C702" s="23">
        <f t="shared" ca="1" si="54"/>
        <v>192</v>
      </c>
      <c r="D702" s="23">
        <f t="shared" si="51"/>
        <v>290</v>
      </c>
      <c r="E702" s="23">
        <f t="shared" ca="1" si="52"/>
        <v>192</v>
      </c>
      <c r="F702" s="27">
        <v>65</v>
      </c>
      <c r="G702" s="27">
        <v>135</v>
      </c>
      <c r="H702" s="28">
        <f t="shared" ca="1" si="53"/>
        <v>7070</v>
      </c>
    </row>
    <row r="703" spans="2:8">
      <c r="B703" s="23">
        <f t="shared" ca="1" si="50"/>
        <v>0.41593811231132427</v>
      </c>
      <c r="C703" s="23">
        <f t="shared" ca="1" si="54"/>
        <v>267</v>
      </c>
      <c r="D703" s="23">
        <f t="shared" si="51"/>
        <v>290</v>
      </c>
      <c r="E703" s="23">
        <f t="shared" ca="1" si="52"/>
        <v>267</v>
      </c>
      <c r="F703" s="27">
        <v>65</v>
      </c>
      <c r="G703" s="27">
        <v>135</v>
      </c>
      <c r="H703" s="28">
        <f t="shared" ca="1" si="53"/>
        <v>17195</v>
      </c>
    </row>
    <row r="704" spans="2:8">
      <c r="B704" s="23">
        <f t="shared" ca="1" si="50"/>
        <v>0.56829209310615025</v>
      </c>
      <c r="C704" s="23">
        <f t="shared" ca="1" si="54"/>
        <v>308</v>
      </c>
      <c r="D704" s="23">
        <f t="shared" si="51"/>
        <v>290</v>
      </c>
      <c r="E704" s="23">
        <f t="shared" ca="1" si="52"/>
        <v>290</v>
      </c>
      <c r="F704" s="27">
        <v>65</v>
      </c>
      <c r="G704" s="27">
        <v>135</v>
      </c>
      <c r="H704" s="28">
        <f t="shared" ca="1" si="53"/>
        <v>20300</v>
      </c>
    </row>
    <row r="705" spans="2:8">
      <c r="B705" s="23">
        <f t="shared" ca="1" si="50"/>
        <v>0.47929049861513773</v>
      </c>
      <c r="C705" s="23">
        <f t="shared" ca="1" si="54"/>
        <v>284</v>
      </c>
      <c r="D705" s="23">
        <f t="shared" si="51"/>
        <v>290</v>
      </c>
      <c r="E705" s="23">
        <f t="shared" ca="1" si="52"/>
        <v>284</v>
      </c>
      <c r="F705" s="27">
        <v>65</v>
      </c>
      <c r="G705" s="27">
        <v>135</v>
      </c>
      <c r="H705" s="28">
        <f t="shared" ca="1" si="53"/>
        <v>19490</v>
      </c>
    </row>
    <row r="706" spans="2:8">
      <c r="B706" s="23">
        <f t="shared" ca="1" si="50"/>
        <v>0.98682555247839265</v>
      </c>
      <c r="C706" s="23">
        <f t="shared" ca="1" si="54"/>
        <v>525</v>
      </c>
      <c r="D706" s="23">
        <f t="shared" si="51"/>
        <v>290</v>
      </c>
      <c r="E706" s="23">
        <f t="shared" ca="1" si="52"/>
        <v>290</v>
      </c>
      <c r="F706" s="27">
        <v>65</v>
      </c>
      <c r="G706" s="27">
        <v>135</v>
      </c>
      <c r="H706" s="28">
        <f t="shared" ca="1" si="53"/>
        <v>20300</v>
      </c>
    </row>
    <row r="707" spans="2:8">
      <c r="B707" s="23">
        <f t="shared" ca="1" si="50"/>
        <v>0.17237195077374146</v>
      </c>
      <c r="C707" s="23">
        <f t="shared" ca="1" si="54"/>
        <v>189</v>
      </c>
      <c r="D707" s="23">
        <f t="shared" si="51"/>
        <v>290</v>
      </c>
      <c r="E707" s="23">
        <f t="shared" ca="1" si="52"/>
        <v>189</v>
      </c>
      <c r="F707" s="27">
        <v>65</v>
      </c>
      <c r="G707" s="27">
        <v>135</v>
      </c>
      <c r="H707" s="28">
        <f t="shared" ca="1" si="53"/>
        <v>6665</v>
      </c>
    </row>
    <row r="708" spans="2:8">
      <c r="B708" s="23">
        <f t="shared" ca="1" si="50"/>
        <v>0.2937756123171299</v>
      </c>
      <c r="C708" s="23">
        <f t="shared" ca="1" si="54"/>
        <v>232</v>
      </c>
      <c r="D708" s="23">
        <f t="shared" si="51"/>
        <v>290</v>
      </c>
      <c r="E708" s="23">
        <f t="shared" ca="1" si="52"/>
        <v>232</v>
      </c>
      <c r="F708" s="27">
        <v>65</v>
      </c>
      <c r="G708" s="27">
        <v>135</v>
      </c>
      <c r="H708" s="28">
        <f t="shared" ca="1" si="53"/>
        <v>12470</v>
      </c>
    </row>
    <row r="709" spans="2:8">
      <c r="B709" s="23">
        <f t="shared" ca="1" si="50"/>
        <v>0.96982776339318855</v>
      </c>
      <c r="C709" s="23">
        <f t="shared" ca="1" si="54"/>
        <v>489</v>
      </c>
      <c r="D709" s="23">
        <f t="shared" si="51"/>
        <v>290</v>
      </c>
      <c r="E709" s="23">
        <f t="shared" ca="1" si="52"/>
        <v>290</v>
      </c>
      <c r="F709" s="27">
        <v>65</v>
      </c>
      <c r="G709" s="27">
        <v>135</v>
      </c>
      <c r="H709" s="28">
        <f t="shared" ca="1" si="53"/>
        <v>20300</v>
      </c>
    </row>
    <row r="710" spans="2:8">
      <c r="B710" s="23">
        <f t="shared" ca="1" si="50"/>
        <v>0.55186644597861367</v>
      </c>
      <c r="C710" s="23">
        <f t="shared" ca="1" si="54"/>
        <v>303</v>
      </c>
      <c r="D710" s="23">
        <f t="shared" si="51"/>
        <v>290</v>
      </c>
      <c r="E710" s="23">
        <f t="shared" ca="1" si="52"/>
        <v>290</v>
      </c>
      <c r="F710" s="27">
        <v>65</v>
      </c>
      <c r="G710" s="27">
        <v>135</v>
      </c>
      <c r="H710" s="28">
        <f t="shared" ca="1" si="53"/>
        <v>20300</v>
      </c>
    </row>
    <row r="711" spans="2:8">
      <c r="B711" s="23">
        <f t="shared" ca="1" si="50"/>
        <v>0.47292230021483028</v>
      </c>
      <c r="C711" s="23">
        <f t="shared" ca="1" si="54"/>
        <v>282</v>
      </c>
      <c r="D711" s="23">
        <f t="shared" si="51"/>
        <v>290</v>
      </c>
      <c r="E711" s="23">
        <f t="shared" ca="1" si="52"/>
        <v>282</v>
      </c>
      <c r="F711" s="27">
        <v>65</v>
      </c>
      <c r="G711" s="27">
        <v>135</v>
      </c>
      <c r="H711" s="28">
        <f t="shared" ca="1" si="53"/>
        <v>19220</v>
      </c>
    </row>
    <row r="712" spans="2:8">
      <c r="B712" s="23">
        <f t="shared" ca="1" si="50"/>
        <v>0.33654306567691616</v>
      </c>
      <c r="C712" s="23">
        <f t="shared" ca="1" si="54"/>
        <v>245</v>
      </c>
      <c r="D712" s="23">
        <f t="shared" si="51"/>
        <v>290</v>
      </c>
      <c r="E712" s="23">
        <f t="shared" ca="1" si="52"/>
        <v>245</v>
      </c>
      <c r="F712" s="27">
        <v>65</v>
      </c>
      <c r="G712" s="27">
        <v>135</v>
      </c>
      <c r="H712" s="28">
        <f t="shared" ca="1" si="53"/>
        <v>14225</v>
      </c>
    </row>
    <row r="713" spans="2:8">
      <c r="B713" s="23">
        <f t="shared" ca="1" si="50"/>
        <v>0.77645897820471022</v>
      </c>
      <c r="C713" s="23">
        <f t="shared" ca="1" si="54"/>
        <v>370</v>
      </c>
      <c r="D713" s="23">
        <f t="shared" si="51"/>
        <v>290</v>
      </c>
      <c r="E713" s="23">
        <f t="shared" ca="1" si="52"/>
        <v>290</v>
      </c>
      <c r="F713" s="27">
        <v>65</v>
      </c>
      <c r="G713" s="27">
        <v>135</v>
      </c>
      <c r="H713" s="28">
        <f t="shared" ca="1" si="53"/>
        <v>20300</v>
      </c>
    </row>
    <row r="714" spans="2:8">
      <c r="B714" s="23">
        <f t="shared" ca="1" si="50"/>
        <v>0.40799224385547961</v>
      </c>
      <c r="C714" s="23">
        <f t="shared" ca="1" si="54"/>
        <v>265</v>
      </c>
      <c r="D714" s="23">
        <f t="shared" si="51"/>
        <v>290</v>
      </c>
      <c r="E714" s="23">
        <f t="shared" ca="1" si="52"/>
        <v>265</v>
      </c>
      <c r="F714" s="27">
        <v>65</v>
      </c>
      <c r="G714" s="27">
        <v>135</v>
      </c>
      <c r="H714" s="28">
        <f t="shared" ca="1" si="53"/>
        <v>16925</v>
      </c>
    </row>
    <row r="715" spans="2:8">
      <c r="B715" s="23">
        <f t="shared" ca="1" si="50"/>
        <v>0.47013343098382787</v>
      </c>
      <c r="C715" s="23">
        <f t="shared" ca="1" si="54"/>
        <v>282</v>
      </c>
      <c r="D715" s="23">
        <f t="shared" si="51"/>
        <v>290</v>
      </c>
      <c r="E715" s="23">
        <f t="shared" ca="1" si="52"/>
        <v>282</v>
      </c>
      <c r="F715" s="27">
        <v>65</v>
      </c>
      <c r="G715" s="27">
        <v>135</v>
      </c>
      <c r="H715" s="28">
        <f t="shared" ca="1" si="53"/>
        <v>19220</v>
      </c>
    </row>
    <row r="716" spans="2:8">
      <c r="B716" s="23">
        <f t="shared" ca="1" si="50"/>
        <v>0.12458952722291938</v>
      </c>
      <c r="C716" s="23">
        <f t="shared" ca="1" si="54"/>
        <v>167</v>
      </c>
      <c r="D716" s="23">
        <f t="shared" si="51"/>
        <v>290</v>
      </c>
      <c r="E716" s="23">
        <f t="shared" ca="1" si="52"/>
        <v>167</v>
      </c>
      <c r="F716" s="27">
        <v>65</v>
      </c>
      <c r="G716" s="27">
        <v>135</v>
      </c>
      <c r="H716" s="28">
        <f t="shared" ca="1" si="53"/>
        <v>3695</v>
      </c>
    </row>
    <row r="717" spans="2:8">
      <c r="B717" s="23">
        <f t="shared" ca="1" si="50"/>
        <v>0.79605064607525033</v>
      </c>
      <c r="C717" s="23">
        <f t="shared" ca="1" si="54"/>
        <v>377</v>
      </c>
      <c r="D717" s="23">
        <f t="shared" si="51"/>
        <v>290</v>
      </c>
      <c r="E717" s="23">
        <f t="shared" ca="1" si="52"/>
        <v>290</v>
      </c>
      <c r="F717" s="27">
        <v>65</v>
      </c>
      <c r="G717" s="27">
        <v>135</v>
      </c>
      <c r="H717" s="28">
        <f t="shared" ca="1" si="53"/>
        <v>20300</v>
      </c>
    </row>
    <row r="718" spans="2:8">
      <c r="B718" s="23">
        <f t="shared" ca="1" si="50"/>
        <v>0.99991169029886384</v>
      </c>
      <c r="C718" s="23">
        <f t="shared" ca="1" si="54"/>
        <v>687</v>
      </c>
      <c r="D718" s="23">
        <f t="shared" si="51"/>
        <v>290</v>
      </c>
      <c r="E718" s="23">
        <f t="shared" ca="1" si="52"/>
        <v>290</v>
      </c>
      <c r="F718" s="27">
        <v>65</v>
      </c>
      <c r="G718" s="27">
        <v>135</v>
      </c>
      <c r="H718" s="28">
        <f t="shared" ca="1" si="53"/>
        <v>20300</v>
      </c>
    </row>
    <row r="719" spans="2:8">
      <c r="B719" s="23">
        <f t="shared" ca="1" si="50"/>
        <v>0.51593977087116527</v>
      </c>
      <c r="C719" s="23">
        <f t="shared" ca="1" si="54"/>
        <v>294</v>
      </c>
      <c r="D719" s="23">
        <f t="shared" si="51"/>
        <v>290</v>
      </c>
      <c r="E719" s="23">
        <f t="shared" ca="1" si="52"/>
        <v>290</v>
      </c>
      <c r="F719" s="27">
        <v>65</v>
      </c>
      <c r="G719" s="27">
        <v>135</v>
      </c>
      <c r="H719" s="28">
        <f t="shared" ca="1" si="53"/>
        <v>20300</v>
      </c>
    </row>
    <row r="720" spans="2:8">
      <c r="B720" s="23">
        <f t="shared" ca="1" si="50"/>
        <v>4.6954826783742742E-3</v>
      </c>
      <c r="C720" s="23">
        <f t="shared" ca="1" si="54"/>
        <v>14</v>
      </c>
      <c r="D720" s="23">
        <f t="shared" si="51"/>
        <v>290</v>
      </c>
      <c r="E720" s="23">
        <f t="shared" ca="1" si="52"/>
        <v>14</v>
      </c>
      <c r="F720" s="27">
        <v>65</v>
      </c>
      <c r="G720" s="27">
        <v>135</v>
      </c>
      <c r="H720" s="28">
        <f t="shared" ca="1" si="53"/>
        <v>-16960</v>
      </c>
    </row>
    <row r="721" spans="2:8">
      <c r="B721" s="23">
        <f t="shared" ref="B721:B784" ca="1" si="55">RAND()</f>
        <v>0.17986362485842899</v>
      </c>
      <c r="C721" s="23">
        <f t="shared" ca="1" si="54"/>
        <v>193</v>
      </c>
      <c r="D721" s="23">
        <f t="shared" ref="D721:D784" si="56">$B$9</f>
        <v>290</v>
      </c>
      <c r="E721" s="23">
        <f t="shared" ref="E721:E784" ca="1" si="57">_xlfn.FLOOR.MATH(MIN(C721,D721))</f>
        <v>193</v>
      </c>
      <c r="F721" s="27">
        <v>65</v>
      </c>
      <c r="G721" s="27">
        <v>135</v>
      </c>
      <c r="H721" s="28">
        <f t="shared" ref="H721:H784" ca="1" si="58">E721*G721-D721*F721</f>
        <v>7205</v>
      </c>
    </row>
    <row r="722" spans="2:8">
      <c r="B722" s="23">
        <f t="shared" ca="1" si="55"/>
        <v>0.23595493289733227</v>
      </c>
      <c r="C722" s="23">
        <f t="shared" ref="C722:C785" ca="1" si="59">_xlfn.FLOOR.MATH(_xlfn.NORM.INV(B722,$B$6,$B$7))</f>
        <v>213</v>
      </c>
      <c r="D722" s="23">
        <f t="shared" si="56"/>
        <v>290</v>
      </c>
      <c r="E722" s="23">
        <f t="shared" ca="1" si="57"/>
        <v>213</v>
      </c>
      <c r="F722" s="27">
        <v>65</v>
      </c>
      <c r="G722" s="27">
        <v>135</v>
      </c>
      <c r="H722" s="28">
        <f t="shared" ca="1" si="58"/>
        <v>9905</v>
      </c>
    </row>
    <row r="723" spans="2:8">
      <c r="B723" s="23">
        <f t="shared" ca="1" si="55"/>
        <v>0.18187187710162345</v>
      </c>
      <c r="C723" s="23">
        <f t="shared" ca="1" si="59"/>
        <v>193</v>
      </c>
      <c r="D723" s="23">
        <f t="shared" si="56"/>
        <v>290</v>
      </c>
      <c r="E723" s="23">
        <f t="shared" ca="1" si="57"/>
        <v>193</v>
      </c>
      <c r="F723" s="27">
        <v>65</v>
      </c>
      <c r="G723" s="27">
        <v>135</v>
      </c>
      <c r="H723" s="28">
        <f t="shared" ca="1" si="58"/>
        <v>7205</v>
      </c>
    </row>
    <row r="724" spans="2:8">
      <c r="B724" s="23">
        <f t="shared" ca="1" si="55"/>
        <v>0.2912150161988899</v>
      </c>
      <c r="C724" s="23">
        <f t="shared" ca="1" si="59"/>
        <v>231</v>
      </c>
      <c r="D724" s="23">
        <f t="shared" si="56"/>
        <v>290</v>
      </c>
      <c r="E724" s="23">
        <f t="shared" ca="1" si="57"/>
        <v>231</v>
      </c>
      <c r="F724" s="27">
        <v>65</v>
      </c>
      <c r="G724" s="27">
        <v>135</v>
      </c>
      <c r="H724" s="28">
        <f t="shared" ca="1" si="58"/>
        <v>12335</v>
      </c>
    </row>
    <row r="725" spans="2:8">
      <c r="B725" s="23">
        <f t="shared" ca="1" si="55"/>
        <v>0.4666740472495795</v>
      </c>
      <c r="C725" s="23">
        <f t="shared" ca="1" si="59"/>
        <v>281</v>
      </c>
      <c r="D725" s="23">
        <f t="shared" si="56"/>
        <v>290</v>
      </c>
      <c r="E725" s="23">
        <f t="shared" ca="1" si="57"/>
        <v>281</v>
      </c>
      <c r="F725" s="27">
        <v>65</v>
      </c>
      <c r="G725" s="27">
        <v>135</v>
      </c>
      <c r="H725" s="28">
        <f t="shared" ca="1" si="58"/>
        <v>19085</v>
      </c>
    </row>
    <row r="726" spans="2:8">
      <c r="B726" s="23">
        <f t="shared" ca="1" si="55"/>
        <v>0.49085479702299717</v>
      </c>
      <c r="C726" s="23">
        <f t="shared" ca="1" si="59"/>
        <v>287</v>
      </c>
      <c r="D726" s="23">
        <f t="shared" si="56"/>
        <v>290</v>
      </c>
      <c r="E726" s="23">
        <f t="shared" ca="1" si="57"/>
        <v>287</v>
      </c>
      <c r="F726" s="27">
        <v>65</v>
      </c>
      <c r="G726" s="27">
        <v>135</v>
      </c>
      <c r="H726" s="28">
        <f t="shared" ca="1" si="58"/>
        <v>19895</v>
      </c>
    </row>
    <row r="727" spans="2:8">
      <c r="B727" s="23">
        <f t="shared" ca="1" si="55"/>
        <v>0.89729300119070565</v>
      </c>
      <c r="C727" s="23">
        <f t="shared" ca="1" si="59"/>
        <v>424</v>
      </c>
      <c r="D727" s="23">
        <f t="shared" si="56"/>
        <v>290</v>
      </c>
      <c r="E727" s="23">
        <f t="shared" ca="1" si="57"/>
        <v>290</v>
      </c>
      <c r="F727" s="27">
        <v>65</v>
      </c>
      <c r="G727" s="27">
        <v>135</v>
      </c>
      <c r="H727" s="28">
        <f t="shared" ca="1" si="58"/>
        <v>20300</v>
      </c>
    </row>
    <row r="728" spans="2:8">
      <c r="B728" s="23">
        <f t="shared" ca="1" si="55"/>
        <v>0.32374351242663735</v>
      </c>
      <c r="C728" s="23">
        <f t="shared" ca="1" si="59"/>
        <v>241</v>
      </c>
      <c r="D728" s="23">
        <f t="shared" si="56"/>
        <v>290</v>
      </c>
      <c r="E728" s="23">
        <f t="shared" ca="1" si="57"/>
        <v>241</v>
      </c>
      <c r="F728" s="27">
        <v>65</v>
      </c>
      <c r="G728" s="27">
        <v>135</v>
      </c>
      <c r="H728" s="28">
        <f t="shared" ca="1" si="58"/>
        <v>13685</v>
      </c>
    </row>
    <row r="729" spans="2:8">
      <c r="B729" s="23">
        <f t="shared" ca="1" si="55"/>
        <v>0.18845067551726746</v>
      </c>
      <c r="C729" s="23">
        <f t="shared" ca="1" si="59"/>
        <v>196</v>
      </c>
      <c r="D729" s="23">
        <f t="shared" si="56"/>
        <v>290</v>
      </c>
      <c r="E729" s="23">
        <f t="shared" ca="1" si="57"/>
        <v>196</v>
      </c>
      <c r="F729" s="27">
        <v>65</v>
      </c>
      <c r="G729" s="27">
        <v>135</v>
      </c>
      <c r="H729" s="28">
        <f t="shared" ca="1" si="58"/>
        <v>7610</v>
      </c>
    </row>
    <row r="730" spans="2:8">
      <c r="B730" s="23">
        <f t="shared" ca="1" si="55"/>
        <v>0.92765545574256847</v>
      </c>
      <c r="C730" s="23">
        <f t="shared" ca="1" si="59"/>
        <v>444</v>
      </c>
      <c r="D730" s="23">
        <f t="shared" si="56"/>
        <v>290</v>
      </c>
      <c r="E730" s="23">
        <f t="shared" ca="1" si="57"/>
        <v>290</v>
      </c>
      <c r="F730" s="27">
        <v>65</v>
      </c>
      <c r="G730" s="27">
        <v>135</v>
      </c>
      <c r="H730" s="28">
        <f t="shared" ca="1" si="58"/>
        <v>20300</v>
      </c>
    </row>
    <row r="731" spans="2:8">
      <c r="B731" s="23">
        <f t="shared" ca="1" si="55"/>
        <v>0.34431732329502129</v>
      </c>
      <c r="C731" s="23">
        <f t="shared" ca="1" si="59"/>
        <v>247</v>
      </c>
      <c r="D731" s="23">
        <f t="shared" si="56"/>
        <v>290</v>
      </c>
      <c r="E731" s="23">
        <f t="shared" ca="1" si="57"/>
        <v>247</v>
      </c>
      <c r="F731" s="27">
        <v>65</v>
      </c>
      <c r="G731" s="27">
        <v>135</v>
      </c>
      <c r="H731" s="28">
        <f t="shared" ca="1" si="58"/>
        <v>14495</v>
      </c>
    </row>
    <row r="732" spans="2:8">
      <c r="B732" s="23">
        <f t="shared" ca="1" si="55"/>
        <v>0.60333227028453218</v>
      </c>
      <c r="C732" s="23">
        <f t="shared" ca="1" si="59"/>
        <v>317</v>
      </c>
      <c r="D732" s="23">
        <f t="shared" si="56"/>
        <v>290</v>
      </c>
      <c r="E732" s="23">
        <f t="shared" ca="1" si="57"/>
        <v>290</v>
      </c>
      <c r="F732" s="27">
        <v>65</v>
      </c>
      <c r="G732" s="27">
        <v>135</v>
      </c>
      <c r="H732" s="28">
        <f t="shared" ca="1" si="58"/>
        <v>20300</v>
      </c>
    </row>
    <row r="733" spans="2:8">
      <c r="B733" s="23">
        <f t="shared" ca="1" si="55"/>
        <v>0.99874425221889351</v>
      </c>
      <c r="C733" s="23">
        <f t="shared" ca="1" si="59"/>
        <v>610</v>
      </c>
      <c r="D733" s="23">
        <f t="shared" si="56"/>
        <v>290</v>
      </c>
      <c r="E733" s="23">
        <f t="shared" ca="1" si="57"/>
        <v>290</v>
      </c>
      <c r="F733" s="27">
        <v>65</v>
      </c>
      <c r="G733" s="27">
        <v>135</v>
      </c>
      <c r="H733" s="28">
        <f t="shared" ca="1" si="58"/>
        <v>20300</v>
      </c>
    </row>
    <row r="734" spans="2:8">
      <c r="B734" s="23">
        <f t="shared" ca="1" si="55"/>
        <v>0.37419273761040261</v>
      </c>
      <c r="C734" s="23">
        <f t="shared" ca="1" si="59"/>
        <v>256</v>
      </c>
      <c r="D734" s="23">
        <f t="shared" si="56"/>
        <v>290</v>
      </c>
      <c r="E734" s="23">
        <f t="shared" ca="1" si="57"/>
        <v>256</v>
      </c>
      <c r="F734" s="27">
        <v>65</v>
      </c>
      <c r="G734" s="27">
        <v>135</v>
      </c>
      <c r="H734" s="28">
        <f t="shared" ca="1" si="58"/>
        <v>15710</v>
      </c>
    </row>
    <row r="735" spans="2:8">
      <c r="B735" s="23">
        <f t="shared" ca="1" si="55"/>
        <v>0.63693536856664834</v>
      </c>
      <c r="C735" s="23">
        <f t="shared" ca="1" si="59"/>
        <v>327</v>
      </c>
      <c r="D735" s="23">
        <f t="shared" si="56"/>
        <v>290</v>
      </c>
      <c r="E735" s="23">
        <f t="shared" ca="1" si="57"/>
        <v>290</v>
      </c>
      <c r="F735" s="27">
        <v>65</v>
      </c>
      <c r="G735" s="27">
        <v>135</v>
      </c>
      <c r="H735" s="28">
        <f t="shared" ca="1" si="58"/>
        <v>20300</v>
      </c>
    </row>
    <row r="736" spans="2:8">
      <c r="B736" s="23">
        <f t="shared" ca="1" si="55"/>
        <v>0.31266757582140936</v>
      </c>
      <c r="C736" s="23">
        <f t="shared" ca="1" si="59"/>
        <v>238</v>
      </c>
      <c r="D736" s="23">
        <f t="shared" si="56"/>
        <v>290</v>
      </c>
      <c r="E736" s="23">
        <f t="shared" ca="1" si="57"/>
        <v>238</v>
      </c>
      <c r="F736" s="27">
        <v>65</v>
      </c>
      <c r="G736" s="27">
        <v>135</v>
      </c>
      <c r="H736" s="28">
        <f t="shared" ca="1" si="58"/>
        <v>13280</v>
      </c>
    </row>
    <row r="737" spans="2:8">
      <c r="B737" s="23">
        <f t="shared" ca="1" si="55"/>
        <v>0.24253251084564764</v>
      </c>
      <c r="C737" s="23">
        <f t="shared" ca="1" si="59"/>
        <v>216</v>
      </c>
      <c r="D737" s="23">
        <f t="shared" si="56"/>
        <v>290</v>
      </c>
      <c r="E737" s="23">
        <f t="shared" ca="1" si="57"/>
        <v>216</v>
      </c>
      <c r="F737" s="27">
        <v>65</v>
      </c>
      <c r="G737" s="27">
        <v>135</v>
      </c>
      <c r="H737" s="28">
        <f t="shared" ca="1" si="58"/>
        <v>10310</v>
      </c>
    </row>
    <row r="738" spans="2:8">
      <c r="B738" s="23">
        <f t="shared" ca="1" si="55"/>
        <v>0.19163010697169469</v>
      </c>
      <c r="C738" s="23">
        <f t="shared" ca="1" si="59"/>
        <v>197</v>
      </c>
      <c r="D738" s="23">
        <f t="shared" si="56"/>
        <v>290</v>
      </c>
      <c r="E738" s="23">
        <f t="shared" ca="1" si="57"/>
        <v>197</v>
      </c>
      <c r="F738" s="27">
        <v>65</v>
      </c>
      <c r="G738" s="27">
        <v>135</v>
      </c>
      <c r="H738" s="28">
        <f t="shared" ca="1" si="58"/>
        <v>7745</v>
      </c>
    </row>
    <row r="739" spans="2:8">
      <c r="B739" s="23">
        <f t="shared" ca="1" si="55"/>
        <v>0.48650698308706197</v>
      </c>
      <c r="C739" s="23">
        <f t="shared" ca="1" si="59"/>
        <v>286</v>
      </c>
      <c r="D739" s="23">
        <f t="shared" si="56"/>
        <v>290</v>
      </c>
      <c r="E739" s="23">
        <f t="shared" ca="1" si="57"/>
        <v>286</v>
      </c>
      <c r="F739" s="27">
        <v>65</v>
      </c>
      <c r="G739" s="27">
        <v>135</v>
      </c>
      <c r="H739" s="28">
        <f t="shared" ca="1" si="58"/>
        <v>19760</v>
      </c>
    </row>
    <row r="740" spans="2:8">
      <c r="B740" s="23">
        <f t="shared" ca="1" si="55"/>
        <v>0.28045295460716146</v>
      </c>
      <c r="C740" s="23">
        <f t="shared" ca="1" si="59"/>
        <v>228</v>
      </c>
      <c r="D740" s="23">
        <f t="shared" si="56"/>
        <v>290</v>
      </c>
      <c r="E740" s="23">
        <f t="shared" ca="1" si="57"/>
        <v>228</v>
      </c>
      <c r="F740" s="27">
        <v>65</v>
      </c>
      <c r="G740" s="27">
        <v>135</v>
      </c>
      <c r="H740" s="28">
        <f t="shared" ca="1" si="58"/>
        <v>11930</v>
      </c>
    </row>
    <row r="741" spans="2:8">
      <c r="B741" s="23">
        <f t="shared" ca="1" si="55"/>
        <v>0.67213437498543804</v>
      </c>
      <c r="C741" s="23">
        <f t="shared" ca="1" si="59"/>
        <v>337</v>
      </c>
      <c r="D741" s="23">
        <f t="shared" si="56"/>
        <v>290</v>
      </c>
      <c r="E741" s="23">
        <f t="shared" ca="1" si="57"/>
        <v>290</v>
      </c>
      <c r="F741" s="27">
        <v>65</v>
      </c>
      <c r="G741" s="27">
        <v>135</v>
      </c>
      <c r="H741" s="28">
        <f t="shared" ca="1" si="58"/>
        <v>20300</v>
      </c>
    </row>
    <row r="742" spans="2:8">
      <c r="B742" s="23">
        <f t="shared" ca="1" si="55"/>
        <v>0.22384833800597337</v>
      </c>
      <c r="C742" s="23">
        <f t="shared" ca="1" si="59"/>
        <v>209</v>
      </c>
      <c r="D742" s="23">
        <f t="shared" si="56"/>
        <v>290</v>
      </c>
      <c r="E742" s="23">
        <f t="shared" ca="1" si="57"/>
        <v>209</v>
      </c>
      <c r="F742" s="27">
        <v>65</v>
      </c>
      <c r="G742" s="27">
        <v>135</v>
      </c>
      <c r="H742" s="28">
        <f t="shared" ca="1" si="58"/>
        <v>9365</v>
      </c>
    </row>
    <row r="743" spans="2:8">
      <c r="B743" s="23">
        <f t="shared" ca="1" si="55"/>
        <v>0.41532749483351761</v>
      </c>
      <c r="C743" s="23">
        <f t="shared" ca="1" si="59"/>
        <v>267</v>
      </c>
      <c r="D743" s="23">
        <f t="shared" si="56"/>
        <v>290</v>
      </c>
      <c r="E743" s="23">
        <f t="shared" ca="1" si="57"/>
        <v>267</v>
      </c>
      <c r="F743" s="27">
        <v>65</v>
      </c>
      <c r="G743" s="27">
        <v>135</v>
      </c>
      <c r="H743" s="28">
        <f t="shared" ca="1" si="58"/>
        <v>17195</v>
      </c>
    </row>
    <row r="744" spans="2:8">
      <c r="B744" s="23">
        <f t="shared" ca="1" si="55"/>
        <v>0.82106600295290777</v>
      </c>
      <c r="C744" s="23">
        <f t="shared" ca="1" si="59"/>
        <v>387</v>
      </c>
      <c r="D744" s="23">
        <f t="shared" si="56"/>
        <v>290</v>
      </c>
      <c r="E744" s="23">
        <f t="shared" ca="1" si="57"/>
        <v>290</v>
      </c>
      <c r="F744" s="27">
        <v>65</v>
      </c>
      <c r="G744" s="27">
        <v>135</v>
      </c>
      <c r="H744" s="28">
        <f t="shared" ca="1" si="58"/>
        <v>20300</v>
      </c>
    </row>
    <row r="745" spans="2:8">
      <c r="B745" s="23">
        <f t="shared" ca="1" si="55"/>
        <v>0.98267328511035901</v>
      </c>
      <c r="C745" s="23">
        <f t="shared" ca="1" si="59"/>
        <v>513</v>
      </c>
      <c r="D745" s="23">
        <f t="shared" si="56"/>
        <v>290</v>
      </c>
      <c r="E745" s="23">
        <f t="shared" ca="1" si="57"/>
        <v>290</v>
      </c>
      <c r="F745" s="27">
        <v>65</v>
      </c>
      <c r="G745" s="27">
        <v>135</v>
      </c>
      <c r="H745" s="28">
        <f t="shared" ca="1" si="58"/>
        <v>20300</v>
      </c>
    </row>
    <row r="746" spans="2:8">
      <c r="B746" s="23">
        <f t="shared" ca="1" si="55"/>
        <v>0.53196923219364234</v>
      </c>
      <c r="C746" s="23">
        <f t="shared" ca="1" si="59"/>
        <v>298</v>
      </c>
      <c r="D746" s="23">
        <f t="shared" si="56"/>
        <v>290</v>
      </c>
      <c r="E746" s="23">
        <f t="shared" ca="1" si="57"/>
        <v>290</v>
      </c>
      <c r="F746" s="27">
        <v>65</v>
      </c>
      <c r="G746" s="27">
        <v>135</v>
      </c>
      <c r="H746" s="28">
        <f t="shared" ca="1" si="58"/>
        <v>20300</v>
      </c>
    </row>
    <row r="747" spans="2:8">
      <c r="B747" s="23">
        <f t="shared" ca="1" si="55"/>
        <v>0.58286359171274105</v>
      </c>
      <c r="C747" s="23">
        <f t="shared" ca="1" si="59"/>
        <v>312</v>
      </c>
      <c r="D747" s="23">
        <f t="shared" si="56"/>
        <v>290</v>
      </c>
      <c r="E747" s="23">
        <f t="shared" ca="1" si="57"/>
        <v>290</v>
      </c>
      <c r="F747" s="27">
        <v>65</v>
      </c>
      <c r="G747" s="27">
        <v>135</v>
      </c>
      <c r="H747" s="28">
        <f t="shared" ca="1" si="58"/>
        <v>20300</v>
      </c>
    </row>
    <row r="748" spans="2:8">
      <c r="B748" s="23">
        <f t="shared" ca="1" si="55"/>
        <v>0.60775853318286643</v>
      </c>
      <c r="C748" s="23">
        <f t="shared" ca="1" si="59"/>
        <v>319</v>
      </c>
      <c r="D748" s="23">
        <f t="shared" si="56"/>
        <v>290</v>
      </c>
      <c r="E748" s="23">
        <f t="shared" ca="1" si="57"/>
        <v>290</v>
      </c>
      <c r="F748" s="27">
        <v>65</v>
      </c>
      <c r="G748" s="27">
        <v>135</v>
      </c>
      <c r="H748" s="28">
        <f t="shared" ca="1" si="58"/>
        <v>20300</v>
      </c>
    </row>
    <row r="749" spans="2:8">
      <c r="B749" s="23">
        <f t="shared" ca="1" si="55"/>
        <v>0.15931678393888427</v>
      </c>
      <c r="C749" s="23">
        <f t="shared" ca="1" si="59"/>
        <v>184</v>
      </c>
      <c r="D749" s="23">
        <f t="shared" si="56"/>
        <v>290</v>
      </c>
      <c r="E749" s="23">
        <f t="shared" ca="1" si="57"/>
        <v>184</v>
      </c>
      <c r="F749" s="27">
        <v>65</v>
      </c>
      <c r="G749" s="27">
        <v>135</v>
      </c>
      <c r="H749" s="28">
        <f t="shared" ca="1" si="58"/>
        <v>5990</v>
      </c>
    </row>
    <row r="750" spans="2:8">
      <c r="B750" s="23">
        <f t="shared" ca="1" si="55"/>
        <v>0.58955863717937229</v>
      </c>
      <c r="C750" s="23">
        <f t="shared" ca="1" si="59"/>
        <v>314</v>
      </c>
      <c r="D750" s="23">
        <f t="shared" si="56"/>
        <v>290</v>
      </c>
      <c r="E750" s="23">
        <f t="shared" ca="1" si="57"/>
        <v>290</v>
      </c>
      <c r="F750" s="27">
        <v>65</v>
      </c>
      <c r="G750" s="27">
        <v>135</v>
      </c>
      <c r="H750" s="28">
        <f t="shared" ca="1" si="58"/>
        <v>20300</v>
      </c>
    </row>
    <row r="751" spans="2:8">
      <c r="B751" s="23">
        <f t="shared" ca="1" si="55"/>
        <v>0.88942137944264854</v>
      </c>
      <c r="C751" s="23">
        <f t="shared" ca="1" si="59"/>
        <v>419</v>
      </c>
      <c r="D751" s="23">
        <f t="shared" si="56"/>
        <v>290</v>
      </c>
      <c r="E751" s="23">
        <f t="shared" ca="1" si="57"/>
        <v>290</v>
      </c>
      <c r="F751" s="27">
        <v>65</v>
      </c>
      <c r="G751" s="27">
        <v>135</v>
      </c>
      <c r="H751" s="28">
        <f t="shared" ca="1" si="58"/>
        <v>20300</v>
      </c>
    </row>
    <row r="752" spans="2:8">
      <c r="B752" s="23">
        <f t="shared" ca="1" si="55"/>
        <v>0.24896024867065214</v>
      </c>
      <c r="C752" s="23">
        <f t="shared" ca="1" si="59"/>
        <v>218</v>
      </c>
      <c r="D752" s="23">
        <f t="shared" si="56"/>
        <v>290</v>
      </c>
      <c r="E752" s="23">
        <f t="shared" ca="1" si="57"/>
        <v>218</v>
      </c>
      <c r="F752" s="27">
        <v>65</v>
      </c>
      <c r="G752" s="27">
        <v>135</v>
      </c>
      <c r="H752" s="28">
        <f t="shared" ca="1" si="58"/>
        <v>10580</v>
      </c>
    </row>
    <row r="753" spans="2:8">
      <c r="B753" s="23">
        <f t="shared" ca="1" si="55"/>
        <v>0.24479886521611804</v>
      </c>
      <c r="C753" s="23">
        <f t="shared" ca="1" si="59"/>
        <v>216</v>
      </c>
      <c r="D753" s="23">
        <f t="shared" si="56"/>
        <v>290</v>
      </c>
      <c r="E753" s="23">
        <f t="shared" ca="1" si="57"/>
        <v>216</v>
      </c>
      <c r="F753" s="27">
        <v>65</v>
      </c>
      <c r="G753" s="27">
        <v>135</v>
      </c>
      <c r="H753" s="28">
        <f t="shared" ca="1" si="58"/>
        <v>10310</v>
      </c>
    </row>
    <row r="754" spans="2:8">
      <c r="B754" s="23">
        <f t="shared" ca="1" si="55"/>
        <v>0.2023026623681683</v>
      </c>
      <c r="C754" s="23">
        <f t="shared" ca="1" si="59"/>
        <v>201</v>
      </c>
      <c r="D754" s="23">
        <f t="shared" si="56"/>
        <v>290</v>
      </c>
      <c r="E754" s="23">
        <f t="shared" ca="1" si="57"/>
        <v>201</v>
      </c>
      <c r="F754" s="27">
        <v>65</v>
      </c>
      <c r="G754" s="27">
        <v>135</v>
      </c>
      <c r="H754" s="28">
        <f t="shared" ca="1" si="58"/>
        <v>8285</v>
      </c>
    </row>
    <row r="755" spans="2:8">
      <c r="B755" s="23">
        <f t="shared" ca="1" si="55"/>
        <v>0.38633311258691694</v>
      </c>
      <c r="C755" s="23">
        <f t="shared" ca="1" si="59"/>
        <v>259</v>
      </c>
      <c r="D755" s="23">
        <f t="shared" si="56"/>
        <v>290</v>
      </c>
      <c r="E755" s="23">
        <f t="shared" ca="1" si="57"/>
        <v>259</v>
      </c>
      <c r="F755" s="27">
        <v>65</v>
      </c>
      <c r="G755" s="27">
        <v>135</v>
      </c>
      <c r="H755" s="28">
        <f t="shared" ca="1" si="58"/>
        <v>16115</v>
      </c>
    </row>
    <row r="756" spans="2:8">
      <c r="B756" s="23">
        <f t="shared" ca="1" si="55"/>
        <v>0.24929422694995185</v>
      </c>
      <c r="C756" s="23">
        <f t="shared" ca="1" si="59"/>
        <v>218</v>
      </c>
      <c r="D756" s="23">
        <f t="shared" si="56"/>
        <v>290</v>
      </c>
      <c r="E756" s="23">
        <f t="shared" ca="1" si="57"/>
        <v>218</v>
      </c>
      <c r="F756" s="27">
        <v>65</v>
      </c>
      <c r="G756" s="27">
        <v>135</v>
      </c>
      <c r="H756" s="28">
        <f t="shared" ca="1" si="58"/>
        <v>10580</v>
      </c>
    </row>
    <row r="757" spans="2:8">
      <c r="B757" s="23">
        <f t="shared" ca="1" si="55"/>
        <v>4.0752274870744176E-2</v>
      </c>
      <c r="C757" s="23">
        <f t="shared" ca="1" si="59"/>
        <v>105</v>
      </c>
      <c r="D757" s="23">
        <f t="shared" si="56"/>
        <v>290</v>
      </c>
      <c r="E757" s="23">
        <f t="shared" ca="1" si="57"/>
        <v>105</v>
      </c>
      <c r="F757" s="27">
        <v>65</v>
      </c>
      <c r="G757" s="27">
        <v>135</v>
      </c>
      <c r="H757" s="28">
        <f t="shared" ca="1" si="58"/>
        <v>-4675</v>
      </c>
    </row>
    <row r="758" spans="2:8">
      <c r="B758" s="23">
        <f t="shared" ca="1" si="55"/>
        <v>0.50915233865871001</v>
      </c>
      <c r="C758" s="23">
        <f t="shared" ca="1" si="59"/>
        <v>292</v>
      </c>
      <c r="D758" s="23">
        <f t="shared" si="56"/>
        <v>290</v>
      </c>
      <c r="E758" s="23">
        <f t="shared" ca="1" si="57"/>
        <v>290</v>
      </c>
      <c r="F758" s="27">
        <v>65</v>
      </c>
      <c r="G758" s="27">
        <v>135</v>
      </c>
      <c r="H758" s="28">
        <f t="shared" ca="1" si="58"/>
        <v>20300</v>
      </c>
    </row>
    <row r="759" spans="2:8">
      <c r="B759" s="23">
        <f t="shared" ca="1" si="55"/>
        <v>0.53285248039324851</v>
      </c>
      <c r="C759" s="23">
        <f t="shared" ca="1" si="59"/>
        <v>298</v>
      </c>
      <c r="D759" s="23">
        <f t="shared" si="56"/>
        <v>290</v>
      </c>
      <c r="E759" s="23">
        <f t="shared" ca="1" si="57"/>
        <v>290</v>
      </c>
      <c r="F759" s="27">
        <v>65</v>
      </c>
      <c r="G759" s="27">
        <v>135</v>
      </c>
      <c r="H759" s="28">
        <f t="shared" ca="1" si="58"/>
        <v>20300</v>
      </c>
    </row>
    <row r="760" spans="2:8">
      <c r="B760" s="23">
        <f t="shared" ca="1" si="55"/>
        <v>0.50999542304855872</v>
      </c>
      <c r="C760" s="23">
        <f t="shared" ca="1" si="59"/>
        <v>292</v>
      </c>
      <c r="D760" s="23">
        <f t="shared" si="56"/>
        <v>290</v>
      </c>
      <c r="E760" s="23">
        <f t="shared" ca="1" si="57"/>
        <v>290</v>
      </c>
      <c r="F760" s="27">
        <v>65</v>
      </c>
      <c r="G760" s="27">
        <v>135</v>
      </c>
      <c r="H760" s="28">
        <f t="shared" ca="1" si="58"/>
        <v>20300</v>
      </c>
    </row>
    <row r="761" spans="2:8">
      <c r="B761" s="23">
        <f t="shared" ca="1" si="55"/>
        <v>0.67080387539627517</v>
      </c>
      <c r="C761" s="23">
        <f t="shared" ca="1" si="59"/>
        <v>336</v>
      </c>
      <c r="D761" s="23">
        <f t="shared" si="56"/>
        <v>290</v>
      </c>
      <c r="E761" s="23">
        <f t="shared" ca="1" si="57"/>
        <v>290</v>
      </c>
      <c r="F761" s="27">
        <v>65</v>
      </c>
      <c r="G761" s="27">
        <v>135</v>
      </c>
      <c r="H761" s="28">
        <f t="shared" ca="1" si="58"/>
        <v>20300</v>
      </c>
    </row>
    <row r="762" spans="2:8">
      <c r="B762" s="23">
        <f t="shared" ca="1" si="55"/>
        <v>0.45232046184200303</v>
      </c>
      <c r="C762" s="23">
        <f t="shared" ca="1" si="59"/>
        <v>277</v>
      </c>
      <c r="D762" s="23">
        <f t="shared" si="56"/>
        <v>290</v>
      </c>
      <c r="E762" s="23">
        <f t="shared" ca="1" si="57"/>
        <v>277</v>
      </c>
      <c r="F762" s="27">
        <v>65</v>
      </c>
      <c r="G762" s="27">
        <v>135</v>
      </c>
      <c r="H762" s="28">
        <f t="shared" ca="1" si="58"/>
        <v>18545</v>
      </c>
    </row>
    <row r="763" spans="2:8">
      <c r="B763" s="23">
        <f t="shared" ca="1" si="55"/>
        <v>0.59318433893848366</v>
      </c>
      <c r="C763" s="23">
        <f t="shared" ca="1" si="59"/>
        <v>315</v>
      </c>
      <c r="D763" s="23">
        <f t="shared" si="56"/>
        <v>290</v>
      </c>
      <c r="E763" s="23">
        <f t="shared" ca="1" si="57"/>
        <v>290</v>
      </c>
      <c r="F763" s="27">
        <v>65</v>
      </c>
      <c r="G763" s="27">
        <v>135</v>
      </c>
      <c r="H763" s="28">
        <f t="shared" ca="1" si="58"/>
        <v>20300</v>
      </c>
    </row>
    <row r="764" spans="2:8">
      <c r="B764" s="23">
        <f t="shared" ca="1" si="55"/>
        <v>0.77624741751393422</v>
      </c>
      <c r="C764" s="23">
        <f t="shared" ca="1" si="59"/>
        <v>370</v>
      </c>
      <c r="D764" s="23">
        <f t="shared" si="56"/>
        <v>290</v>
      </c>
      <c r="E764" s="23">
        <f t="shared" ca="1" si="57"/>
        <v>290</v>
      </c>
      <c r="F764" s="27">
        <v>65</v>
      </c>
      <c r="G764" s="27">
        <v>135</v>
      </c>
      <c r="H764" s="28">
        <f t="shared" ca="1" si="58"/>
        <v>20300</v>
      </c>
    </row>
    <row r="765" spans="2:8">
      <c r="B765" s="23">
        <f t="shared" ca="1" si="55"/>
        <v>0.89573462404071924</v>
      </c>
      <c r="C765" s="23">
        <f t="shared" ca="1" si="59"/>
        <v>423</v>
      </c>
      <c r="D765" s="23">
        <f t="shared" si="56"/>
        <v>290</v>
      </c>
      <c r="E765" s="23">
        <f t="shared" ca="1" si="57"/>
        <v>290</v>
      </c>
      <c r="F765" s="27">
        <v>65</v>
      </c>
      <c r="G765" s="27">
        <v>135</v>
      </c>
      <c r="H765" s="28">
        <f t="shared" ca="1" si="58"/>
        <v>20300</v>
      </c>
    </row>
    <row r="766" spans="2:8">
      <c r="B766" s="23">
        <f t="shared" ca="1" si="55"/>
        <v>0.77259136955434082</v>
      </c>
      <c r="C766" s="23">
        <f t="shared" ca="1" si="59"/>
        <v>369</v>
      </c>
      <c r="D766" s="23">
        <f t="shared" si="56"/>
        <v>290</v>
      </c>
      <c r="E766" s="23">
        <f t="shared" ca="1" si="57"/>
        <v>290</v>
      </c>
      <c r="F766" s="27">
        <v>65</v>
      </c>
      <c r="G766" s="27">
        <v>135</v>
      </c>
      <c r="H766" s="28">
        <f t="shared" ca="1" si="58"/>
        <v>20300</v>
      </c>
    </row>
    <row r="767" spans="2:8">
      <c r="B767" s="23">
        <f t="shared" ca="1" si="55"/>
        <v>0.75226821504317087</v>
      </c>
      <c r="C767" s="23">
        <f t="shared" ca="1" si="59"/>
        <v>362</v>
      </c>
      <c r="D767" s="23">
        <f t="shared" si="56"/>
        <v>290</v>
      </c>
      <c r="E767" s="23">
        <f t="shared" ca="1" si="57"/>
        <v>290</v>
      </c>
      <c r="F767" s="27">
        <v>65</v>
      </c>
      <c r="G767" s="27">
        <v>135</v>
      </c>
      <c r="H767" s="28">
        <f t="shared" ca="1" si="58"/>
        <v>20300</v>
      </c>
    </row>
    <row r="768" spans="2:8">
      <c r="B768" s="23">
        <f t="shared" ca="1" si="55"/>
        <v>0.1111634777511481</v>
      </c>
      <c r="C768" s="23">
        <f t="shared" ca="1" si="59"/>
        <v>160</v>
      </c>
      <c r="D768" s="23">
        <f t="shared" si="56"/>
        <v>290</v>
      </c>
      <c r="E768" s="23">
        <f t="shared" ca="1" si="57"/>
        <v>160</v>
      </c>
      <c r="F768" s="27">
        <v>65</v>
      </c>
      <c r="G768" s="27">
        <v>135</v>
      </c>
      <c r="H768" s="28">
        <f t="shared" ca="1" si="58"/>
        <v>2750</v>
      </c>
    </row>
    <row r="769" spans="2:8">
      <c r="B769" s="23">
        <f t="shared" ca="1" si="55"/>
        <v>0.27104999722781153</v>
      </c>
      <c r="C769" s="23">
        <f t="shared" ca="1" si="59"/>
        <v>225</v>
      </c>
      <c r="D769" s="23">
        <f t="shared" si="56"/>
        <v>290</v>
      </c>
      <c r="E769" s="23">
        <f t="shared" ca="1" si="57"/>
        <v>225</v>
      </c>
      <c r="F769" s="27">
        <v>65</v>
      </c>
      <c r="G769" s="27">
        <v>135</v>
      </c>
      <c r="H769" s="28">
        <f t="shared" ca="1" si="58"/>
        <v>11525</v>
      </c>
    </row>
    <row r="770" spans="2:8">
      <c r="B770" s="23">
        <f t="shared" ca="1" si="55"/>
        <v>0.8822930281561685</v>
      </c>
      <c r="C770" s="23">
        <f t="shared" ca="1" si="59"/>
        <v>415</v>
      </c>
      <c r="D770" s="23">
        <f t="shared" si="56"/>
        <v>290</v>
      </c>
      <c r="E770" s="23">
        <f t="shared" ca="1" si="57"/>
        <v>290</v>
      </c>
      <c r="F770" s="27">
        <v>65</v>
      </c>
      <c r="G770" s="27">
        <v>135</v>
      </c>
      <c r="H770" s="28">
        <f t="shared" ca="1" si="58"/>
        <v>20300</v>
      </c>
    </row>
    <row r="771" spans="2:8">
      <c r="B771" s="23">
        <f t="shared" ca="1" si="55"/>
        <v>0.92372010950491323</v>
      </c>
      <c r="C771" s="23">
        <f t="shared" ca="1" si="59"/>
        <v>441</v>
      </c>
      <c r="D771" s="23">
        <f t="shared" si="56"/>
        <v>290</v>
      </c>
      <c r="E771" s="23">
        <f t="shared" ca="1" si="57"/>
        <v>290</v>
      </c>
      <c r="F771" s="27">
        <v>65</v>
      </c>
      <c r="G771" s="27">
        <v>135</v>
      </c>
      <c r="H771" s="28">
        <f t="shared" ca="1" si="58"/>
        <v>20300</v>
      </c>
    </row>
    <row r="772" spans="2:8">
      <c r="B772" s="23">
        <f t="shared" ca="1" si="55"/>
        <v>0.28373989814269029</v>
      </c>
      <c r="C772" s="23">
        <f t="shared" ca="1" si="59"/>
        <v>229</v>
      </c>
      <c r="D772" s="23">
        <f t="shared" si="56"/>
        <v>290</v>
      </c>
      <c r="E772" s="23">
        <f t="shared" ca="1" si="57"/>
        <v>229</v>
      </c>
      <c r="F772" s="27">
        <v>65</v>
      </c>
      <c r="G772" s="27">
        <v>135</v>
      </c>
      <c r="H772" s="28">
        <f t="shared" ca="1" si="58"/>
        <v>12065</v>
      </c>
    </row>
    <row r="773" spans="2:8">
      <c r="B773" s="23">
        <f t="shared" ca="1" si="55"/>
        <v>0.97773837088473525</v>
      </c>
      <c r="C773" s="23">
        <f t="shared" ca="1" si="59"/>
        <v>503</v>
      </c>
      <c r="D773" s="23">
        <f t="shared" si="56"/>
        <v>290</v>
      </c>
      <c r="E773" s="23">
        <f t="shared" ca="1" si="57"/>
        <v>290</v>
      </c>
      <c r="F773" s="27">
        <v>65</v>
      </c>
      <c r="G773" s="27">
        <v>135</v>
      </c>
      <c r="H773" s="28">
        <f t="shared" ca="1" si="58"/>
        <v>20300</v>
      </c>
    </row>
    <row r="774" spans="2:8">
      <c r="B774" s="23">
        <f t="shared" ca="1" si="55"/>
        <v>0.40437346506613436</v>
      </c>
      <c r="C774" s="23">
        <f t="shared" ca="1" si="59"/>
        <v>264</v>
      </c>
      <c r="D774" s="23">
        <f t="shared" si="56"/>
        <v>290</v>
      </c>
      <c r="E774" s="23">
        <f t="shared" ca="1" si="57"/>
        <v>264</v>
      </c>
      <c r="F774" s="27">
        <v>65</v>
      </c>
      <c r="G774" s="27">
        <v>135</v>
      </c>
      <c r="H774" s="28">
        <f t="shared" ca="1" si="58"/>
        <v>16790</v>
      </c>
    </row>
    <row r="775" spans="2:8">
      <c r="B775" s="23">
        <f t="shared" ca="1" si="55"/>
        <v>0.38859108304943601</v>
      </c>
      <c r="C775" s="23">
        <f t="shared" ca="1" si="59"/>
        <v>260</v>
      </c>
      <c r="D775" s="23">
        <f t="shared" si="56"/>
        <v>290</v>
      </c>
      <c r="E775" s="23">
        <f t="shared" ca="1" si="57"/>
        <v>260</v>
      </c>
      <c r="F775" s="27">
        <v>65</v>
      </c>
      <c r="G775" s="27">
        <v>135</v>
      </c>
      <c r="H775" s="28">
        <f t="shared" ca="1" si="58"/>
        <v>16250</v>
      </c>
    </row>
    <row r="776" spans="2:8">
      <c r="B776" s="23">
        <f t="shared" ca="1" si="55"/>
        <v>0.96326168914907173</v>
      </c>
      <c r="C776" s="23">
        <f t="shared" ca="1" si="59"/>
        <v>479</v>
      </c>
      <c r="D776" s="23">
        <f t="shared" si="56"/>
        <v>290</v>
      </c>
      <c r="E776" s="23">
        <f t="shared" ca="1" si="57"/>
        <v>290</v>
      </c>
      <c r="F776" s="27">
        <v>65</v>
      </c>
      <c r="G776" s="27">
        <v>135</v>
      </c>
      <c r="H776" s="28">
        <f t="shared" ca="1" si="58"/>
        <v>20300</v>
      </c>
    </row>
    <row r="777" spans="2:8">
      <c r="B777" s="23">
        <f t="shared" ca="1" si="55"/>
        <v>0.86086847061469618</v>
      </c>
      <c r="C777" s="23">
        <f t="shared" ca="1" si="59"/>
        <v>404</v>
      </c>
      <c r="D777" s="23">
        <f t="shared" si="56"/>
        <v>290</v>
      </c>
      <c r="E777" s="23">
        <f t="shared" ca="1" si="57"/>
        <v>290</v>
      </c>
      <c r="F777" s="27">
        <v>65</v>
      </c>
      <c r="G777" s="27">
        <v>135</v>
      </c>
      <c r="H777" s="28">
        <f t="shared" ca="1" si="58"/>
        <v>20300</v>
      </c>
    </row>
    <row r="778" spans="2:8">
      <c r="B778" s="23">
        <f t="shared" ca="1" si="55"/>
        <v>0.55025916389749119</v>
      </c>
      <c r="C778" s="23">
        <f t="shared" ca="1" si="59"/>
        <v>303</v>
      </c>
      <c r="D778" s="23">
        <f t="shared" si="56"/>
        <v>290</v>
      </c>
      <c r="E778" s="23">
        <f t="shared" ca="1" si="57"/>
        <v>290</v>
      </c>
      <c r="F778" s="27">
        <v>65</v>
      </c>
      <c r="G778" s="27">
        <v>135</v>
      </c>
      <c r="H778" s="28">
        <f t="shared" ca="1" si="58"/>
        <v>20300</v>
      </c>
    </row>
    <row r="779" spans="2:8">
      <c r="B779" s="23">
        <f t="shared" ca="1" si="55"/>
        <v>0.5115623644140127</v>
      </c>
      <c r="C779" s="23">
        <f t="shared" ca="1" si="59"/>
        <v>293</v>
      </c>
      <c r="D779" s="23">
        <f t="shared" si="56"/>
        <v>290</v>
      </c>
      <c r="E779" s="23">
        <f t="shared" ca="1" si="57"/>
        <v>290</v>
      </c>
      <c r="F779" s="27">
        <v>65</v>
      </c>
      <c r="G779" s="27">
        <v>135</v>
      </c>
      <c r="H779" s="28">
        <f t="shared" ca="1" si="58"/>
        <v>20300</v>
      </c>
    </row>
    <row r="780" spans="2:8">
      <c r="B780" s="23">
        <f t="shared" ca="1" si="55"/>
        <v>0.2561639557190829</v>
      </c>
      <c r="C780" s="23">
        <f t="shared" ca="1" si="59"/>
        <v>220</v>
      </c>
      <c r="D780" s="23">
        <f t="shared" si="56"/>
        <v>290</v>
      </c>
      <c r="E780" s="23">
        <f t="shared" ca="1" si="57"/>
        <v>220</v>
      </c>
      <c r="F780" s="27">
        <v>65</v>
      </c>
      <c r="G780" s="27">
        <v>135</v>
      </c>
      <c r="H780" s="28">
        <f t="shared" ca="1" si="58"/>
        <v>10850</v>
      </c>
    </row>
    <row r="781" spans="2:8">
      <c r="B781" s="23">
        <f t="shared" ca="1" si="55"/>
        <v>0.41904786193648857</v>
      </c>
      <c r="C781" s="23">
        <f t="shared" ca="1" si="59"/>
        <v>268</v>
      </c>
      <c r="D781" s="23">
        <f t="shared" si="56"/>
        <v>290</v>
      </c>
      <c r="E781" s="23">
        <f t="shared" ca="1" si="57"/>
        <v>268</v>
      </c>
      <c r="F781" s="27">
        <v>65</v>
      </c>
      <c r="G781" s="27">
        <v>135</v>
      </c>
      <c r="H781" s="28">
        <f t="shared" ca="1" si="58"/>
        <v>17330</v>
      </c>
    </row>
    <row r="782" spans="2:8">
      <c r="B782" s="23">
        <f t="shared" ca="1" si="55"/>
        <v>0.1879323006972039</v>
      </c>
      <c r="C782" s="23">
        <f t="shared" ca="1" si="59"/>
        <v>196</v>
      </c>
      <c r="D782" s="23">
        <f t="shared" si="56"/>
        <v>290</v>
      </c>
      <c r="E782" s="23">
        <f t="shared" ca="1" si="57"/>
        <v>196</v>
      </c>
      <c r="F782" s="27">
        <v>65</v>
      </c>
      <c r="G782" s="27">
        <v>135</v>
      </c>
      <c r="H782" s="28">
        <f t="shared" ca="1" si="58"/>
        <v>7610</v>
      </c>
    </row>
    <row r="783" spans="2:8">
      <c r="B783" s="23">
        <f t="shared" ca="1" si="55"/>
        <v>0.5721561043668546</v>
      </c>
      <c r="C783" s="23">
        <f t="shared" ca="1" si="59"/>
        <v>309</v>
      </c>
      <c r="D783" s="23">
        <f t="shared" si="56"/>
        <v>290</v>
      </c>
      <c r="E783" s="23">
        <f t="shared" ca="1" si="57"/>
        <v>290</v>
      </c>
      <c r="F783" s="27">
        <v>65</v>
      </c>
      <c r="G783" s="27">
        <v>135</v>
      </c>
      <c r="H783" s="28">
        <f t="shared" ca="1" si="58"/>
        <v>20300</v>
      </c>
    </row>
    <row r="784" spans="2:8">
      <c r="B784" s="23">
        <f t="shared" ca="1" si="55"/>
        <v>0.73063542676877813</v>
      </c>
      <c r="C784" s="23">
        <f t="shared" ca="1" si="59"/>
        <v>355</v>
      </c>
      <c r="D784" s="23">
        <f t="shared" si="56"/>
        <v>290</v>
      </c>
      <c r="E784" s="23">
        <f t="shared" ca="1" si="57"/>
        <v>290</v>
      </c>
      <c r="F784" s="27">
        <v>65</v>
      </c>
      <c r="G784" s="27">
        <v>135</v>
      </c>
      <c r="H784" s="28">
        <f t="shared" ca="1" si="58"/>
        <v>20300</v>
      </c>
    </row>
    <row r="785" spans="2:8">
      <c r="B785" s="23">
        <f t="shared" ref="B785:B848" ca="1" si="60">RAND()</f>
        <v>0.78393103279305698</v>
      </c>
      <c r="C785" s="23">
        <f t="shared" ca="1" si="59"/>
        <v>373</v>
      </c>
      <c r="D785" s="23">
        <f t="shared" ref="D785:D848" si="61">$B$9</f>
        <v>290</v>
      </c>
      <c r="E785" s="23">
        <f t="shared" ref="E785:E848" ca="1" si="62">_xlfn.FLOOR.MATH(MIN(C785,D785))</f>
        <v>290</v>
      </c>
      <c r="F785" s="27">
        <v>65</v>
      </c>
      <c r="G785" s="27">
        <v>135</v>
      </c>
      <c r="H785" s="28">
        <f t="shared" ref="H785:H848" ca="1" si="63">E785*G785-D785*F785</f>
        <v>20300</v>
      </c>
    </row>
    <row r="786" spans="2:8">
      <c r="B786" s="23">
        <f t="shared" ca="1" si="60"/>
        <v>0.98238767762305712</v>
      </c>
      <c r="C786" s="23">
        <f t="shared" ref="C786:C849" ca="1" si="64">_xlfn.FLOOR.MATH(_xlfn.NORM.INV(B786,$B$6,$B$7))</f>
        <v>513</v>
      </c>
      <c r="D786" s="23">
        <f t="shared" si="61"/>
        <v>290</v>
      </c>
      <c r="E786" s="23">
        <f t="shared" ca="1" si="62"/>
        <v>290</v>
      </c>
      <c r="F786" s="27">
        <v>65</v>
      </c>
      <c r="G786" s="27">
        <v>135</v>
      </c>
      <c r="H786" s="28">
        <f t="shared" ca="1" si="63"/>
        <v>20300</v>
      </c>
    </row>
    <row r="787" spans="2:8">
      <c r="B787" s="23">
        <f t="shared" ca="1" si="60"/>
        <v>0.88464205579349298</v>
      </c>
      <c r="C787" s="23">
        <f t="shared" ca="1" si="64"/>
        <v>417</v>
      </c>
      <c r="D787" s="23">
        <f t="shared" si="61"/>
        <v>290</v>
      </c>
      <c r="E787" s="23">
        <f t="shared" ca="1" si="62"/>
        <v>290</v>
      </c>
      <c r="F787" s="27">
        <v>65</v>
      </c>
      <c r="G787" s="27">
        <v>135</v>
      </c>
      <c r="H787" s="28">
        <f t="shared" ca="1" si="63"/>
        <v>20300</v>
      </c>
    </row>
    <row r="788" spans="2:8">
      <c r="B788" s="23">
        <f t="shared" ca="1" si="60"/>
        <v>0.48044546109309472</v>
      </c>
      <c r="C788" s="23">
        <f t="shared" ca="1" si="64"/>
        <v>284</v>
      </c>
      <c r="D788" s="23">
        <f t="shared" si="61"/>
        <v>290</v>
      </c>
      <c r="E788" s="23">
        <f t="shared" ca="1" si="62"/>
        <v>284</v>
      </c>
      <c r="F788" s="27">
        <v>65</v>
      </c>
      <c r="G788" s="27">
        <v>135</v>
      </c>
      <c r="H788" s="28">
        <f t="shared" ca="1" si="63"/>
        <v>19490</v>
      </c>
    </row>
    <row r="789" spans="2:8">
      <c r="B789" s="23">
        <f t="shared" ca="1" si="60"/>
        <v>0.11431262095827588</v>
      </c>
      <c r="C789" s="23">
        <f t="shared" ca="1" si="64"/>
        <v>162</v>
      </c>
      <c r="D789" s="23">
        <f t="shared" si="61"/>
        <v>290</v>
      </c>
      <c r="E789" s="23">
        <f t="shared" ca="1" si="62"/>
        <v>162</v>
      </c>
      <c r="F789" s="27">
        <v>65</v>
      </c>
      <c r="G789" s="27">
        <v>135</v>
      </c>
      <c r="H789" s="28">
        <f t="shared" ca="1" si="63"/>
        <v>3020</v>
      </c>
    </row>
    <row r="790" spans="2:8">
      <c r="B790" s="23">
        <f t="shared" ca="1" si="60"/>
        <v>0.33556124552649003</v>
      </c>
      <c r="C790" s="23">
        <f t="shared" ca="1" si="64"/>
        <v>245</v>
      </c>
      <c r="D790" s="23">
        <f t="shared" si="61"/>
        <v>290</v>
      </c>
      <c r="E790" s="23">
        <f t="shared" ca="1" si="62"/>
        <v>245</v>
      </c>
      <c r="F790" s="27">
        <v>65</v>
      </c>
      <c r="G790" s="27">
        <v>135</v>
      </c>
      <c r="H790" s="28">
        <f t="shared" ca="1" si="63"/>
        <v>14225</v>
      </c>
    </row>
    <row r="791" spans="2:8">
      <c r="B791" s="23">
        <f t="shared" ca="1" si="60"/>
        <v>0.2787446684672199</v>
      </c>
      <c r="C791" s="23">
        <f t="shared" ca="1" si="64"/>
        <v>227</v>
      </c>
      <c r="D791" s="23">
        <f t="shared" si="61"/>
        <v>290</v>
      </c>
      <c r="E791" s="23">
        <f t="shared" ca="1" si="62"/>
        <v>227</v>
      </c>
      <c r="F791" s="27">
        <v>65</v>
      </c>
      <c r="G791" s="27">
        <v>135</v>
      </c>
      <c r="H791" s="28">
        <f t="shared" ca="1" si="63"/>
        <v>11795</v>
      </c>
    </row>
    <row r="792" spans="2:8">
      <c r="B792" s="23">
        <f t="shared" ca="1" si="60"/>
        <v>7.5878428731857239E-2</v>
      </c>
      <c r="C792" s="23">
        <f t="shared" ca="1" si="64"/>
        <v>138</v>
      </c>
      <c r="D792" s="23">
        <f t="shared" si="61"/>
        <v>290</v>
      </c>
      <c r="E792" s="23">
        <f t="shared" ca="1" si="62"/>
        <v>138</v>
      </c>
      <c r="F792" s="27">
        <v>65</v>
      </c>
      <c r="G792" s="27">
        <v>135</v>
      </c>
      <c r="H792" s="28">
        <f t="shared" ca="1" si="63"/>
        <v>-220</v>
      </c>
    </row>
    <row r="793" spans="2:8">
      <c r="B793" s="23">
        <f t="shared" ca="1" si="60"/>
        <v>0.49250103736008222</v>
      </c>
      <c r="C793" s="23">
        <f t="shared" ca="1" si="64"/>
        <v>288</v>
      </c>
      <c r="D793" s="23">
        <f t="shared" si="61"/>
        <v>290</v>
      </c>
      <c r="E793" s="23">
        <f t="shared" ca="1" si="62"/>
        <v>288</v>
      </c>
      <c r="F793" s="27">
        <v>65</v>
      </c>
      <c r="G793" s="27">
        <v>135</v>
      </c>
      <c r="H793" s="28">
        <f t="shared" ca="1" si="63"/>
        <v>20030</v>
      </c>
    </row>
    <row r="794" spans="2:8">
      <c r="B794" s="23">
        <f t="shared" ca="1" si="60"/>
        <v>0.90637501866662473</v>
      </c>
      <c r="C794" s="23">
        <f t="shared" ca="1" si="64"/>
        <v>429</v>
      </c>
      <c r="D794" s="23">
        <f t="shared" si="61"/>
        <v>290</v>
      </c>
      <c r="E794" s="23">
        <f t="shared" ca="1" si="62"/>
        <v>290</v>
      </c>
      <c r="F794" s="27">
        <v>65</v>
      </c>
      <c r="G794" s="27">
        <v>135</v>
      </c>
      <c r="H794" s="28">
        <f t="shared" ca="1" si="63"/>
        <v>20300</v>
      </c>
    </row>
    <row r="795" spans="2:8">
      <c r="B795" s="23">
        <f t="shared" ca="1" si="60"/>
        <v>0.33125211045874836</v>
      </c>
      <c r="C795" s="23">
        <f t="shared" ca="1" si="64"/>
        <v>243</v>
      </c>
      <c r="D795" s="23">
        <f t="shared" si="61"/>
        <v>290</v>
      </c>
      <c r="E795" s="23">
        <f t="shared" ca="1" si="62"/>
        <v>243</v>
      </c>
      <c r="F795" s="27">
        <v>65</v>
      </c>
      <c r="G795" s="27">
        <v>135</v>
      </c>
      <c r="H795" s="28">
        <f t="shared" ca="1" si="63"/>
        <v>13955</v>
      </c>
    </row>
    <row r="796" spans="2:8">
      <c r="B796" s="23">
        <f t="shared" ca="1" si="60"/>
        <v>0.19107355675294802</v>
      </c>
      <c r="C796" s="23">
        <f t="shared" ca="1" si="64"/>
        <v>197</v>
      </c>
      <c r="D796" s="23">
        <f t="shared" si="61"/>
        <v>290</v>
      </c>
      <c r="E796" s="23">
        <f t="shared" ca="1" si="62"/>
        <v>197</v>
      </c>
      <c r="F796" s="27">
        <v>65</v>
      </c>
      <c r="G796" s="27">
        <v>135</v>
      </c>
      <c r="H796" s="28">
        <f t="shared" ca="1" si="63"/>
        <v>7745</v>
      </c>
    </row>
    <row r="797" spans="2:8">
      <c r="B797" s="23">
        <f t="shared" ca="1" si="60"/>
        <v>0.23438446879635566</v>
      </c>
      <c r="C797" s="23">
        <f t="shared" ca="1" si="64"/>
        <v>213</v>
      </c>
      <c r="D797" s="23">
        <f t="shared" si="61"/>
        <v>290</v>
      </c>
      <c r="E797" s="23">
        <f t="shared" ca="1" si="62"/>
        <v>213</v>
      </c>
      <c r="F797" s="27">
        <v>65</v>
      </c>
      <c r="G797" s="27">
        <v>135</v>
      </c>
      <c r="H797" s="28">
        <f t="shared" ca="1" si="63"/>
        <v>9905</v>
      </c>
    </row>
    <row r="798" spans="2:8">
      <c r="B798" s="23">
        <f t="shared" ca="1" si="60"/>
        <v>0.51175749268135518</v>
      </c>
      <c r="C798" s="23">
        <f t="shared" ca="1" si="64"/>
        <v>293</v>
      </c>
      <c r="D798" s="23">
        <f t="shared" si="61"/>
        <v>290</v>
      </c>
      <c r="E798" s="23">
        <f t="shared" ca="1" si="62"/>
        <v>290</v>
      </c>
      <c r="F798" s="27">
        <v>65</v>
      </c>
      <c r="G798" s="27">
        <v>135</v>
      </c>
      <c r="H798" s="28">
        <f t="shared" ca="1" si="63"/>
        <v>20300</v>
      </c>
    </row>
    <row r="799" spans="2:8">
      <c r="B799" s="23">
        <f t="shared" ca="1" si="60"/>
        <v>0.90077336448813983</v>
      </c>
      <c r="C799" s="23">
        <f t="shared" ca="1" si="64"/>
        <v>426</v>
      </c>
      <c r="D799" s="23">
        <f t="shared" si="61"/>
        <v>290</v>
      </c>
      <c r="E799" s="23">
        <f t="shared" ca="1" si="62"/>
        <v>290</v>
      </c>
      <c r="F799" s="27">
        <v>65</v>
      </c>
      <c r="G799" s="27">
        <v>135</v>
      </c>
      <c r="H799" s="28">
        <f t="shared" ca="1" si="63"/>
        <v>20300</v>
      </c>
    </row>
    <row r="800" spans="2:8">
      <c r="B800" s="23">
        <f t="shared" ca="1" si="60"/>
        <v>0.61232755996432087</v>
      </c>
      <c r="C800" s="23">
        <f t="shared" ca="1" si="64"/>
        <v>320</v>
      </c>
      <c r="D800" s="23">
        <f t="shared" si="61"/>
        <v>290</v>
      </c>
      <c r="E800" s="23">
        <f t="shared" ca="1" si="62"/>
        <v>290</v>
      </c>
      <c r="F800" s="27">
        <v>65</v>
      </c>
      <c r="G800" s="27">
        <v>135</v>
      </c>
      <c r="H800" s="28">
        <f t="shared" ca="1" si="63"/>
        <v>20300</v>
      </c>
    </row>
    <row r="801" spans="2:8">
      <c r="B801" s="23">
        <f t="shared" ca="1" si="60"/>
        <v>0.8355542844034648</v>
      </c>
      <c r="C801" s="23">
        <f t="shared" ca="1" si="64"/>
        <v>393</v>
      </c>
      <c r="D801" s="23">
        <f t="shared" si="61"/>
        <v>290</v>
      </c>
      <c r="E801" s="23">
        <f t="shared" ca="1" si="62"/>
        <v>290</v>
      </c>
      <c r="F801" s="27">
        <v>65</v>
      </c>
      <c r="G801" s="27">
        <v>135</v>
      </c>
      <c r="H801" s="28">
        <f t="shared" ca="1" si="63"/>
        <v>20300</v>
      </c>
    </row>
    <row r="802" spans="2:8">
      <c r="B802" s="23">
        <f t="shared" ca="1" si="60"/>
        <v>0.50140887684675173</v>
      </c>
      <c r="C802" s="23">
        <f t="shared" ca="1" si="64"/>
        <v>290</v>
      </c>
      <c r="D802" s="23">
        <f t="shared" si="61"/>
        <v>290</v>
      </c>
      <c r="E802" s="23">
        <f t="shared" ca="1" si="62"/>
        <v>290</v>
      </c>
      <c r="F802" s="27">
        <v>65</v>
      </c>
      <c r="G802" s="27">
        <v>135</v>
      </c>
      <c r="H802" s="28">
        <f t="shared" ca="1" si="63"/>
        <v>20300</v>
      </c>
    </row>
    <row r="803" spans="2:8">
      <c r="B803" s="23">
        <f t="shared" ca="1" si="60"/>
        <v>0.19348565322173938</v>
      </c>
      <c r="C803" s="23">
        <f t="shared" ca="1" si="64"/>
        <v>198</v>
      </c>
      <c r="D803" s="23">
        <f t="shared" si="61"/>
        <v>290</v>
      </c>
      <c r="E803" s="23">
        <f t="shared" ca="1" si="62"/>
        <v>198</v>
      </c>
      <c r="F803" s="27">
        <v>65</v>
      </c>
      <c r="G803" s="27">
        <v>135</v>
      </c>
      <c r="H803" s="28">
        <f t="shared" ca="1" si="63"/>
        <v>7880</v>
      </c>
    </row>
    <row r="804" spans="2:8">
      <c r="B804" s="23">
        <f t="shared" ca="1" si="60"/>
        <v>0.2600121278605716</v>
      </c>
      <c r="C804" s="23">
        <f t="shared" ca="1" si="64"/>
        <v>221</v>
      </c>
      <c r="D804" s="23">
        <f t="shared" si="61"/>
        <v>290</v>
      </c>
      <c r="E804" s="23">
        <f t="shared" ca="1" si="62"/>
        <v>221</v>
      </c>
      <c r="F804" s="27">
        <v>65</v>
      </c>
      <c r="G804" s="27">
        <v>135</v>
      </c>
      <c r="H804" s="28">
        <f t="shared" ca="1" si="63"/>
        <v>10985</v>
      </c>
    </row>
    <row r="805" spans="2:8">
      <c r="B805" s="23">
        <f t="shared" ca="1" si="60"/>
        <v>0.98560899420859827</v>
      </c>
      <c r="C805" s="23">
        <f t="shared" ca="1" si="64"/>
        <v>521</v>
      </c>
      <c r="D805" s="23">
        <f t="shared" si="61"/>
        <v>290</v>
      </c>
      <c r="E805" s="23">
        <f t="shared" ca="1" si="62"/>
        <v>290</v>
      </c>
      <c r="F805" s="27">
        <v>65</v>
      </c>
      <c r="G805" s="27">
        <v>135</v>
      </c>
      <c r="H805" s="28">
        <f t="shared" ca="1" si="63"/>
        <v>20300</v>
      </c>
    </row>
    <row r="806" spans="2:8">
      <c r="B806" s="23">
        <f t="shared" ca="1" si="60"/>
        <v>0.68538268995137741</v>
      </c>
      <c r="C806" s="23">
        <f t="shared" ca="1" si="64"/>
        <v>341</v>
      </c>
      <c r="D806" s="23">
        <f t="shared" si="61"/>
        <v>290</v>
      </c>
      <c r="E806" s="23">
        <f t="shared" ca="1" si="62"/>
        <v>290</v>
      </c>
      <c r="F806" s="27">
        <v>65</v>
      </c>
      <c r="G806" s="27">
        <v>135</v>
      </c>
      <c r="H806" s="28">
        <f t="shared" ca="1" si="63"/>
        <v>20300</v>
      </c>
    </row>
    <row r="807" spans="2:8">
      <c r="B807" s="23">
        <f t="shared" ca="1" si="60"/>
        <v>4.3687429712037207E-2</v>
      </c>
      <c r="C807" s="23">
        <f t="shared" ca="1" si="64"/>
        <v>108</v>
      </c>
      <c r="D807" s="23">
        <f t="shared" si="61"/>
        <v>290</v>
      </c>
      <c r="E807" s="23">
        <f t="shared" ca="1" si="62"/>
        <v>108</v>
      </c>
      <c r="F807" s="27">
        <v>65</v>
      </c>
      <c r="G807" s="27">
        <v>135</v>
      </c>
      <c r="H807" s="28">
        <f t="shared" ca="1" si="63"/>
        <v>-4270</v>
      </c>
    </row>
    <row r="808" spans="2:8">
      <c r="B808" s="23">
        <f t="shared" ca="1" si="60"/>
        <v>0.93665100616346741</v>
      </c>
      <c r="C808" s="23">
        <f t="shared" ca="1" si="64"/>
        <v>451</v>
      </c>
      <c r="D808" s="23">
        <f t="shared" si="61"/>
        <v>290</v>
      </c>
      <c r="E808" s="23">
        <f t="shared" ca="1" si="62"/>
        <v>290</v>
      </c>
      <c r="F808" s="27">
        <v>65</v>
      </c>
      <c r="G808" s="27">
        <v>135</v>
      </c>
      <c r="H808" s="28">
        <f t="shared" ca="1" si="63"/>
        <v>20300</v>
      </c>
    </row>
    <row r="809" spans="2:8">
      <c r="B809" s="23">
        <f t="shared" ca="1" si="60"/>
        <v>0.88745013987761723</v>
      </c>
      <c r="C809" s="23">
        <f t="shared" ca="1" si="64"/>
        <v>418</v>
      </c>
      <c r="D809" s="23">
        <f t="shared" si="61"/>
        <v>290</v>
      </c>
      <c r="E809" s="23">
        <f t="shared" ca="1" si="62"/>
        <v>290</v>
      </c>
      <c r="F809" s="27">
        <v>65</v>
      </c>
      <c r="G809" s="27">
        <v>135</v>
      </c>
      <c r="H809" s="28">
        <f t="shared" ca="1" si="63"/>
        <v>20300</v>
      </c>
    </row>
    <row r="810" spans="2:8">
      <c r="B810" s="23">
        <f t="shared" ca="1" si="60"/>
        <v>0.47520337718048722</v>
      </c>
      <c r="C810" s="23">
        <f t="shared" ca="1" si="64"/>
        <v>283</v>
      </c>
      <c r="D810" s="23">
        <f t="shared" si="61"/>
        <v>290</v>
      </c>
      <c r="E810" s="23">
        <f t="shared" ca="1" si="62"/>
        <v>283</v>
      </c>
      <c r="F810" s="27">
        <v>65</v>
      </c>
      <c r="G810" s="27">
        <v>135</v>
      </c>
      <c r="H810" s="28">
        <f t="shared" ca="1" si="63"/>
        <v>19355</v>
      </c>
    </row>
    <row r="811" spans="2:8">
      <c r="B811" s="23">
        <f t="shared" ca="1" si="60"/>
        <v>0.16734514145570412</v>
      </c>
      <c r="C811" s="23">
        <f t="shared" ca="1" si="64"/>
        <v>187</v>
      </c>
      <c r="D811" s="23">
        <f t="shared" si="61"/>
        <v>290</v>
      </c>
      <c r="E811" s="23">
        <f t="shared" ca="1" si="62"/>
        <v>187</v>
      </c>
      <c r="F811" s="27">
        <v>65</v>
      </c>
      <c r="G811" s="27">
        <v>135</v>
      </c>
      <c r="H811" s="28">
        <f t="shared" ca="1" si="63"/>
        <v>6395</v>
      </c>
    </row>
    <row r="812" spans="2:8">
      <c r="B812" s="23">
        <f t="shared" ca="1" si="60"/>
        <v>0.47413252108446258</v>
      </c>
      <c r="C812" s="23">
        <f t="shared" ca="1" si="64"/>
        <v>283</v>
      </c>
      <c r="D812" s="23">
        <f t="shared" si="61"/>
        <v>290</v>
      </c>
      <c r="E812" s="23">
        <f t="shared" ca="1" si="62"/>
        <v>283</v>
      </c>
      <c r="F812" s="27">
        <v>65</v>
      </c>
      <c r="G812" s="27">
        <v>135</v>
      </c>
      <c r="H812" s="28">
        <f t="shared" ca="1" si="63"/>
        <v>19355</v>
      </c>
    </row>
    <row r="813" spans="2:8">
      <c r="B813" s="23">
        <f t="shared" ca="1" si="60"/>
        <v>5.8301654394434799E-3</v>
      </c>
      <c r="C813" s="23">
        <f t="shared" ca="1" si="64"/>
        <v>22</v>
      </c>
      <c r="D813" s="23">
        <f t="shared" si="61"/>
        <v>290</v>
      </c>
      <c r="E813" s="23">
        <f t="shared" ca="1" si="62"/>
        <v>22</v>
      </c>
      <c r="F813" s="27">
        <v>65</v>
      </c>
      <c r="G813" s="27">
        <v>135</v>
      </c>
      <c r="H813" s="28">
        <f t="shared" ca="1" si="63"/>
        <v>-15880</v>
      </c>
    </row>
    <row r="814" spans="2:8">
      <c r="B814" s="23">
        <f t="shared" ca="1" si="60"/>
        <v>0.53986179116230582</v>
      </c>
      <c r="C814" s="23">
        <f t="shared" ca="1" si="64"/>
        <v>300</v>
      </c>
      <c r="D814" s="23">
        <f t="shared" si="61"/>
        <v>290</v>
      </c>
      <c r="E814" s="23">
        <f t="shared" ca="1" si="62"/>
        <v>290</v>
      </c>
      <c r="F814" s="27">
        <v>65</v>
      </c>
      <c r="G814" s="27">
        <v>135</v>
      </c>
      <c r="H814" s="28">
        <f t="shared" ca="1" si="63"/>
        <v>20300</v>
      </c>
    </row>
    <row r="815" spans="2:8">
      <c r="B815" s="23">
        <f t="shared" ca="1" si="60"/>
        <v>0.70319720312692502</v>
      </c>
      <c r="C815" s="23">
        <f t="shared" ca="1" si="64"/>
        <v>346</v>
      </c>
      <c r="D815" s="23">
        <f t="shared" si="61"/>
        <v>290</v>
      </c>
      <c r="E815" s="23">
        <f t="shared" ca="1" si="62"/>
        <v>290</v>
      </c>
      <c r="F815" s="27">
        <v>65</v>
      </c>
      <c r="G815" s="27">
        <v>135</v>
      </c>
      <c r="H815" s="28">
        <f t="shared" ca="1" si="63"/>
        <v>20300</v>
      </c>
    </row>
    <row r="816" spans="2:8">
      <c r="B816" s="23">
        <f t="shared" ca="1" si="60"/>
        <v>0.65290151958103748</v>
      </c>
      <c r="C816" s="23">
        <f t="shared" ca="1" si="64"/>
        <v>331</v>
      </c>
      <c r="D816" s="23">
        <f t="shared" si="61"/>
        <v>290</v>
      </c>
      <c r="E816" s="23">
        <f t="shared" ca="1" si="62"/>
        <v>290</v>
      </c>
      <c r="F816" s="27">
        <v>65</v>
      </c>
      <c r="G816" s="27">
        <v>135</v>
      </c>
      <c r="H816" s="28">
        <f t="shared" ca="1" si="63"/>
        <v>20300</v>
      </c>
    </row>
    <row r="817" spans="2:8">
      <c r="B817" s="23">
        <f t="shared" ca="1" si="60"/>
        <v>0.76415907713430664</v>
      </c>
      <c r="C817" s="23">
        <f t="shared" ca="1" si="64"/>
        <v>366</v>
      </c>
      <c r="D817" s="23">
        <f t="shared" si="61"/>
        <v>290</v>
      </c>
      <c r="E817" s="23">
        <f t="shared" ca="1" si="62"/>
        <v>290</v>
      </c>
      <c r="F817" s="27">
        <v>65</v>
      </c>
      <c r="G817" s="27">
        <v>135</v>
      </c>
      <c r="H817" s="28">
        <f t="shared" ca="1" si="63"/>
        <v>20300</v>
      </c>
    </row>
    <row r="818" spans="2:8">
      <c r="B818" s="23">
        <f t="shared" ca="1" si="60"/>
        <v>0.4579059901801249</v>
      </c>
      <c r="C818" s="23">
        <f t="shared" ca="1" si="64"/>
        <v>278</v>
      </c>
      <c r="D818" s="23">
        <f t="shared" si="61"/>
        <v>290</v>
      </c>
      <c r="E818" s="23">
        <f t="shared" ca="1" si="62"/>
        <v>278</v>
      </c>
      <c r="F818" s="27">
        <v>65</v>
      </c>
      <c r="G818" s="27">
        <v>135</v>
      </c>
      <c r="H818" s="28">
        <f t="shared" ca="1" si="63"/>
        <v>18680</v>
      </c>
    </row>
    <row r="819" spans="2:8">
      <c r="B819" s="23">
        <f t="shared" ca="1" si="60"/>
        <v>0.48024209770469317</v>
      </c>
      <c r="C819" s="23">
        <f t="shared" ca="1" si="64"/>
        <v>284</v>
      </c>
      <c r="D819" s="23">
        <f t="shared" si="61"/>
        <v>290</v>
      </c>
      <c r="E819" s="23">
        <f t="shared" ca="1" si="62"/>
        <v>284</v>
      </c>
      <c r="F819" s="27">
        <v>65</v>
      </c>
      <c r="G819" s="27">
        <v>135</v>
      </c>
      <c r="H819" s="28">
        <f t="shared" ca="1" si="63"/>
        <v>19490</v>
      </c>
    </row>
    <row r="820" spans="2:8">
      <c r="B820" s="23">
        <f t="shared" ca="1" si="60"/>
        <v>0.76803150264891651</v>
      </c>
      <c r="C820" s="23">
        <f t="shared" ca="1" si="64"/>
        <v>367</v>
      </c>
      <c r="D820" s="23">
        <f t="shared" si="61"/>
        <v>290</v>
      </c>
      <c r="E820" s="23">
        <f t="shared" ca="1" si="62"/>
        <v>290</v>
      </c>
      <c r="F820" s="27">
        <v>65</v>
      </c>
      <c r="G820" s="27">
        <v>135</v>
      </c>
      <c r="H820" s="28">
        <f t="shared" ca="1" si="63"/>
        <v>20300</v>
      </c>
    </row>
    <row r="821" spans="2:8">
      <c r="B821" s="23">
        <f t="shared" ca="1" si="60"/>
        <v>0.1933414678887686</v>
      </c>
      <c r="C821" s="23">
        <f t="shared" ca="1" si="64"/>
        <v>198</v>
      </c>
      <c r="D821" s="23">
        <f t="shared" si="61"/>
        <v>290</v>
      </c>
      <c r="E821" s="23">
        <f t="shared" ca="1" si="62"/>
        <v>198</v>
      </c>
      <c r="F821" s="27">
        <v>65</v>
      </c>
      <c r="G821" s="27">
        <v>135</v>
      </c>
      <c r="H821" s="28">
        <f t="shared" ca="1" si="63"/>
        <v>7880</v>
      </c>
    </row>
    <row r="822" spans="2:8">
      <c r="B822" s="23">
        <f t="shared" ca="1" si="60"/>
        <v>0.29673279822788778</v>
      </c>
      <c r="C822" s="23">
        <f t="shared" ca="1" si="64"/>
        <v>233</v>
      </c>
      <c r="D822" s="23">
        <f t="shared" si="61"/>
        <v>290</v>
      </c>
      <c r="E822" s="23">
        <f t="shared" ca="1" si="62"/>
        <v>233</v>
      </c>
      <c r="F822" s="27">
        <v>65</v>
      </c>
      <c r="G822" s="27">
        <v>135</v>
      </c>
      <c r="H822" s="28">
        <f t="shared" ca="1" si="63"/>
        <v>12605</v>
      </c>
    </row>
    <row r="823" spans="2:8">
      <c r="B823" s="23">
        <f t="shared" ca="1" si="60"/>
        <v>0.48327540769142707</v>
      </c>
      <c r="C823" s="23">
        <f t="shared" ca="1" si="64"/>
        <v>285</v>
      </c>
      <c r="D823" s="23">
        <f t="shared" si="61"/>
        <v>290</v>
      </c>
      <c r="E823" s="23">
        <f t="shared" ca="1" si="62"/>
        <v>285</v>
      </c>
      <c r="F823" s="27">
        <v>65</v>
      </c>
      <c r="G823" s="27">
        <v>135</v>
      </c>
      <c r="H823" s="28">
        <f t="shared" ca="1" si="63"/>
        <v>19625</v>
      </c>
    </row>
    <row r="824" spans="2:8">
      <c r="B824" s="23">
        <f t="shared" ca="1" si="60"/>
        <v>0.59414393950157862</v>
      </c>
      <c r="C824" s="23">
        <f t="shared" ca="1" si="64"/>
        <v>315</v>
      </c>
      <c r="D824" s="23">
        <f t="shared" si="61"/>
        <v>290</v>
      </c>
      <c r="E824" s="23">
        <f t="shared" ca="1" si="62"/>
        <v>290</v>
      </c>
      <c r="F824" s="27">
        <v>65</v>
      </c>
      <c r="G824" s="27">
        <v>135</v>
      </c>
      <c r="H824" s="28">
        <f t="shared" ca="1" si="63"/>
        <v>20300</v>
      </c>
    </row>
    <row r="825" spans="2:8">
      <c r="B825" s="23">
        <f t="shared" ca="1" si="60"/>
        <v>0.39180949764485551</v>
      </c>
      <c r="C825" s="23">
        <f t="shared" ca="1" si="64"/>
        <v>260</v>
      </c>
      <c r="D825" s="23">
        <f t="shared" si="61"/>
        <v>290</v>
      </c>
      <c r="E825" s="23">
        <f t="shared" ca="1" si="62"/>
        <v>260</v>
      </c>
      <c r="F825" s="27">
        <v>65</v>
      </c>
      <c r="G825" s="27">
        <v>135</v>
      </c>
      <c r="H825" s="28">
        <f t="shared" ca="1" si="63"/>
        <v>16250</v>
      </c>
    </row>
    <row r="826" spans="2:8">
      <c r="B826" s="23">
        <f t="shared" ca="1" si="60"/>
        <v>0.7227661507547346</v>
      </c>
      <c r="C826" s="23">
        <f t="shared" ca="1" si="64"/>
        <v>352</v>
      </c>
      <c r="D826" s="23">
        <f t="shared" si="61"/>
        <v>290</v>
      </c>
      <c r="E826" s="23">
        <f t="shared" ca="1" si="62"/>
        <v>290</v>
      </c>
      <c r="F826" s="27">
        <v>65</v>
      </c>
      <c r="G826" s="27">
        <v>135</v>
      </c>
      <c r="H826" s="28">
        <f t="shared" ca="1" si="63"/>
        <v>20300</v>
      </c>
    </row>
    <row r="827" spans="2:8">
      <c r="B827" s="23">
        <f t="shared" ca="1" si="60"/>
        <v>0.10054580012817294</v>
      </c>
      <c r="C827" s="23">
        <f t="shared" ca="1" si="64"/>
        <v>154</v>
      </c>
      <c r="D827" s="23">
        <f t="shared" si="61"/>
        <v>290</v>
      </c>
      <c r="E827" s="23">
        <f t="shared" ca="1" si="62"/>
        <v>154</v>
      </c>
      <c r="F827" s="27">
        <v>65</v>
      </c>
      <c r="G827" s="27">
        <v>135</v>
      </c>
      <c r="H827" s="28">
        <f t="shared" ca="1" si="63"/>
        <v>1940</v>
      </c>
    </row>
    <row r="828" spans="2:8">
      <c r="B828" s="23">
        <f t="shared" ca="1" si="60"/>
        <v>0.67098731059357508</v>
      </c>
      <c r="C828" s="23">
        <f t="shared" ca="1" si="64"/>
        <v>336</v>
      </c>
      <c r="D828" s="23">
        <f t="shared" si="61"/>
        <v>290</v>
      </c>
      <c r="E828" s="23">
        <f t="shared" ca="1" si="62"/>
        <v>290</v>
      </c>
      <c r="F828" s="27">
        <v>65</v>
      </c>
      <c r="G828" s="27">
        <v>135</v>
      </c>
      <c r="H828" s="28">
        <f t="shared" ca="1" si="63"/>
        <v>20300</v>
      </c>
    </row>
    <row r="829" spans="2:8">
      <c r="B829" s="23">
        <f t="shared" ca="1" si="60"/>
        <v>0.87087215264151896</v>
      </c>
      <c r="C829" s="23">
        <f t="shared" ca="1" si="64"/>
        <v>409</v>
      </c>
      <c r="D829" s="23">
        <f t="shared" si="61"/>
        <v>290</v>
      </c>
      <c r="E829" s="23">
        <f t="shared" ca="1" si="62"/>
        <v>290</v>
      </c>
      <c r="F829" s="27">
        <v>65</v>
      </c>
      <c r="G829" s="27">
        <v>135</v>
      </c>
      <c r="H829" s="28">
        <f t="shared" ca="1" si="63"/>
        <v>20300</v>
      </c>
    </row>
    <row r="830" spans="2:8">
      <c r="B830" s="23">
        <f t="shared" ca="1" si="60"/>
        <v>0.71717934175881048</v>
      </c>
      <c r="C830" s="23">
        <f t="shared" ca="1" si="64"/>
        <v>350</v>
      </c>
      <c r="D830" s="23">
        <f t="shared" si="61"/>
        <v>290</v>
      </c>
      <c r="E830" s="23">
        <f t="shared" ca="1" si="62"/>
        <v>290</v>
      </c>
      <c r="F830" s="27">
        <v>65</v>
      </c>
      <c r="G830" s="27">
        <v>135</v>
      </c>
      <c r="H830" s="28">
        <f t="shared" ca="1" si="63"/>
        <v>20300</v>
      </c>
    </row>
    <row r="831" spans="2:8">
      <c r="B831" s="23">
        <f t="shared" ca="1" si="60"/>
        <v>0.25152006784530023</v>
      </c>
      <c r="C831" s="23">
        <f t="shared" ca="1" si="64"/>
        <v>219</v>
      </c>
      <c r="D831" s="23">
        <f t="shared" si="61"/>
        <v>290</v>
      </c>
      <c r="E831" s="23">
        <f t="shared" ca="1" si="62"/>
        <v>219</v>
      </c>
      <c r="F831" s="27">
        <v>65</v>
      </c>
      <c r="G831" s="27">
        <v>135</v>
      </c>
      <c r="H831" s="28">
        <f t="shared" ca="1" si="63"/>
        <v>10715</v>
      </c>
    </row>
    <row r="832" spans="2:8">
      <c r="B832" s="23">
        <f t="shared" ca="1" si="60"/>
        <v>0.12129268816772465</v>
      </c>
      <c r="C832" s="23">
        <f t="shared" ca="1" si="64"/>
        <v>166</v>
      </c>
      <c r="D832" s="23">
        <f t="shared" si="61"/>
        <v>290</v>
      </c>
      <c r="E832" s="23">
        <f t="shared" ca="1" si="62"/>
        <v>166</v>
      </c>
      <c r="F832" s="27">
        <v>65</v>
      </c>
      <c r="G832" s="27">
        <v>135</v>
      </c>
      <c r="H832" s="28">
        <f t="shared" ca="1" si="63"/>
        <v>3560</v>
      </c>
    </row>
    <row r="833" spans="2:8">
      <c r="B833" s="23">
        <f t="shared" ca="1" si="60"/>
        <v>0.51445201276393759</v>
      </c>
      <c r="C833" s="23">
        <f t="shared" ca="1" si="64"/>
        <v>293</v>
      </c>
      <c r="D833" s="23">
        <f t="shared" si="61"/>
        <v>290</v>
      </c>
      <c r="E833" s="23">
        <f t="shared" ca="1" si="62"/>
        <v>290</v>
      </c>
      <c r="F833" s="27">
        <v>65</v>
      </c>
      <c r="G833" s="27">
        <v>135</v>
      </c>
      <c r="H833" s="28">
        <f t="shared" ca="1" si="63"/>
        <v>20300</v>
      </c>
    </row>
    <row r="834" spans="2:8">
      <c r="B834" s="23">
        <f t="shared" ca="1" si="60"/>
        <v>1.4906332109940745E-2</v>
      </c>
      <c r="C834" s="23">
        <f t="shared" ca="1" si="64"/>
        <v>59</v>
      </c>
      <c r="D834" s="23">
        <f t="shared" si="61"/>
        <v>290</v>
      </c>
      <c r="E834" s="23">
        <f t="shared" ca="1" si="62"/>
        <v>59</v>
      </c>
      <c r="F834" s="27">
        <v>65</v>
      </c>
      <c r="G834" s="27">
        <v>135</v>
      </c>
      <c r="H834" s="28">
        <f t="shared" ca="1" si="63"/>
        <v>-10885</v>
      </c>
    </row>
    <row r="835" spans="2:8">
      <c r="B835" s="23">
        <f t="shared" ca="1" si="60"/>
        <v>0.86116896851843783</v>
      </c>
      <c r="C835" s="23">
        <f t="shared" ca="1" si="64"/>
        <v>405</v>
      </c>
      <c r="D835" s="23">
        <f t="shared" si="61"/>
        <v>290</v>
      </c>
      <c r="E835" s="23">
        <f t="shared" ca="1" si="62"/>
        <v>290</v>
      </c>
      <c r="F835" s="27">
        <v>65</v>
      </c>
      <c r="G835" s="27">
        <v>135</v>
      </c>
      <c r="H835" s="28">
        <f t="shared" ca="1" si="63"/>
        <v>20300</v>
      </c>
    </row>
    <row r="836" spans="2:8">
      <c r="B836" s="23">
        <f t="shared" ca="1" si="60"/>
        <v>0.17206770147410944</v>
      </c>
      <c r="C836" s="23">
        <f t="shared" ca="1" si="64"/>
        <v>189</v>
      </c>
      <c r="D836" s="23">
        <f t="shared" si="61"/>
        <v>290</v>
      </c>
      <c r="E836" s="23">
        <f t="shared" ca="1" si="62"/>
        <v>189</v>
      </c>
      <c r="F836" s="27">
        <v>65</v>
      </c>
      <c r="G836" s="27">
        <v>135</v>
      </c>
      <c r="H836" s="28">
        <f t="shared" ca="1" si="63"/>
        <v>6665</v>
      </c>
    </row>
    <row r="837" spans="2:8">
      <c r="B837" s="23">
        <f t="shared" ca="1" si="60"/>
        <v>0.94491985639918419</v>
      </c>
      <c r="C837" s="23">
        <f t="shared" ca="1" si="64"/>
        <v>459</v>
      </c>
      <c r="D837" s="23">
        <f t="shared" si="61"/>
        <v>290</v>
      </c>
      <c r="E837" s="23">
        <f t="shared" ca="1" si="62"/>
        <v>290</v>
      </c>
      <c r="F837" s="27">
        <v>65</v>
      </c>
      <c r="G837" s="27">
        <v>135</v>
      </c>
      <c r="H837" s="28">
        <f t="shared" ca="1" si="63"/>
        <v>20300</v>
      </c>
    </row>
    <row r="838" spans="2:8">
      <c r="B838" s="23">
        <f t="shared" ca="1" si="60"/>
        <v>0.5675894725423013</v>
      </c>
      <c r="C838" s="23">
        <f t="shared" ca="1" si="64"/>
        <v>308</v>
      </c>
      <c r="D838" s="23">
        <f t="shared" si="61"/>
        <v>290</v>
      </c>
      <c r="E838" s="23">
        <f t="shared" ca="1" si="62"/>
        <v>290</v>
      </c>
      <c r="F838" s="27">
        <v>65</v>
      </c>
      <c r="G838" s="27">
        <v>135</v>
      </c>
      <c r="H838" s="28">
        <f t="shared" ca="1" si="63"/>
        <v>20300</v>
      </c>
    </row>
    <row r="839" spans="2:8">
      <c r="B839" s="23">
        <f t="shared" ca="1" si="60"/>
        <v>0.52560093237688821</v>
      </c>
      <c r="C839" s="23">
        <f t="shared" ca="1" si="64"/>
        <v>296</v>
      </c>
      <c r="D839" s="23">
        <f t="shared" si="61"/>
        <v>290</v>
      </c>
      <c r="E839" s="23">
        <f t="shared" ca="1" si="62"/>
        <v>290</v>
      </c>
      <c r="F839" s="27">
        <v>65</v>
      </c>
      <c r="G839" s="27">
        <v>135</v>
      </c>
      <c r="H839" s="28">
        <f t="shared" ca="1" si="63"/>
        <v>20300</v>
      </c>
    </row>
    <row r="840" spans="2:8">
      <c r="B840" s="23">
        <f t="shared" ca="1" si="60"/>
        <v>0.4065008468623903</v>
      </c>
      <c r="C840" s="23">
        <f t="shared" ca="1" si="64"/>
        <v>265</v>
      </c>
      <c r="D840" s="23">
        <f t="shared" si="61"/>
        <v>290</v>
      </c>
      <c r="E840" s="23">
        <f t="shared" ca="1" si="62"/>
        <v>265</v>
      </c>
      <c r="F840" s="27">
        <v>65</v>
      </c>
      <c r="G840" s="27">
        <v>135</v>
      </c>
      <c r="H840" s="28">
        <f t="shared" ca="1" si="63"/>
        <v>16925</v>
      </c>
    </row>
    <row r="841" spans="2:8">
      <c r="B841" s="23">
        <f t="shared" ca="1" si="60"/>
        <v>0.70943085984539034</v>
      </c>
      <c r="C841" s="23">
        <f t="shared" ca="1" si="64"/>
        <v>348</v>
      </c>
      <c r="D841" s="23">
        <f t="shared" si="61"/>
        <v>290</v>
      </c>
      <c r="E841" s="23">
        <f t="shared" ca="1" si="62"/>
        <v>290</v>
      </c>
      <c r="F841" s="27">
        <v>65</v>
      </c>
      <c r="G841" s="27">
        <v>135</v>
      </c>
      <c r="H841" s="28">
        <f t="shared" ca="1" si="63"/>
        <v>20300</v>
      </c>
    </row>
    <row r="842" spans="2:8">
      <c r="B842" s="23">
        <f t="shared" ca="1" si="60"/>
        <v>0.305621902707647</v>
      </c>
      <c r="C842" s="23">
        <f t="shared" ca="1" si="64"/>
        <v>236</v>
      </c>
      <c r="D842" s="23">
        <f t="shared" si="61"/>
        <v>290</v>
      </c>
      <c r="E842" s="23">
        <f t="shared" ca="1" si="62"/>
        <v>236</v>
      </c>
      <c r="F842" s="27">
        <v>65</v>
      </c>
      <c r="G842" s="27">
        <v>135</v>
      </c>
      <c r="H842" s="28">
        <f t="shared" ca="1" si="63"/>
        <v>13010</v>
      </c>
    </row>
    <row r="843" spans="2:8">
      <c r="B843" s="23">
        <f t="shared" ca="1" si="60"/>
        <v>0.13914113205207113</v>
      </c>
      <c r="C843" s="23">
        <f t="shared" ca="1" si="64"/>
        <v>175</v>
      </c>
      <c r="D843" s="23">
        <f t="shared" si="61"/>
        <v>290</v>
      </c>
      <c r="E843" s="23">
        <f t="shared" ca="1" si="62"/>
        <v>175</v>
      </c>
      <c r="F843" s="27">
        <v>65</v>
      </c>
      <c r="G843" s="27">
        <v>135</v>
      </c>
      <c r="H843" s="28">
        <f t="shared" ca="1" si="63"/>
        <v>4775</v>
      </c>
    </row>
    <row r="844" spans="2:8">
      <c r="B844" s="23">
        <f t="shared" ca="1" si="60"/>
        <v>0.77488468449069636</v>
      </c>
      <c r="C844" s="23">
        <f t="shared" ca="1" si="64"/>
        <v>370</v>
      </c>
      <c r="D844" s="23">
        <f t="shared" si="61"/>
        <v>290</v>
      </c>
      <c r="E844" s="23">
        <f t="shared" ca="1" si="62"/>
        <v>290</v>
      </c>
      <c r="F844" s="27">
        <v>65</v>
      </c>
      <c r="G844" s="27">
        <v>135</v>
      </c>
      <c r="H844" s="28">
        <f t="shared" ca="1" si="63"/>
        <v>20300</v>
      </c>
    </row>
    <row r="845" spans="2:8">
      <c r="B845" s="23">
        <f t="shared" ca="1" si="60"/>
        <v>0.20547375062553319</v>
      </c>
      <c r="C845" s="23">
        <f t="shared" ca="1" si="64"/>
        <v>202</v>
      </c>
      <c r="D845" s="23">
        <f t="shared" si="61"/>
        <v>290</v>
      </c>
      <c r="E845" s="23">
        <f t="shared" ca="1" si="62"/>
        <v>202</v>
      </c>
      <c r="F845" s="27">
        <v>65</v>
      </c>
      <c r="G845" s="27">
        <v>135</v>
      </c>
      <c r="H845" s="28">
        <f t="shared" ca="1" si="63"/>
        <v>8420</v>
      </c>
    </row>
    <row r="846" spans="2:8">
      <c r="B846" s="23">
        <f t="shared" ca="1" si="60"/>
        <v>0.75088951468330145</v>
      </c>
      <c r="C846" s="23">
        <f t="shared" ca="1" si="64"/>
        <v>361</v>
      </c>
      <c r="D846" s="23">
        <f t="shared" si="61"/>
        <v>290</v>
      </c>
      <c r="E846" s="23">
        <f t="shared" ca="1" si="62"/>
        <v>290</v>
      </c>
      <c r="F846" s="27">
        <v>65</v>
      </c>
      <c r="G846" s="27">
        <v>135</v>
      </c>
      <c r="H846" s="28">
        <f t="shared" ca="1" si="63"/>
        <v>20300</v>
      </c>
    </row>
    <row r="847" spans="2:8">
      <c r="B847" s="23">
        <f t="shared" ca="1" si="60"/>
        <v>0.1472860281841567</v>
      </c>
      <c r="C847" s="23">
        <f t="shared" ca="1" si="64"/>
        <v>179</v>
      </c>
      <c r="D847" s="23">
        <f t="shared" si="61"/>
        <v>290</v>
      </c>
      <c r="E847" s="23">
        <f t="shared" ca="1" si="62"/>
        <v>179</v>
      </c>
      <c r="F847" s="27">
        <v>65</v>
      </c>
      <c r="G847" s="27">
        <v>135</v>
      </c>
      <c r="H847" s="28">
        <f t="shared" ca="1" si="63"/>
        <v>5315</v>
      </c>
    </row>
    <row r="848" spans="2:8">
      <c r="B848" s="23">
        <f t="shared" ca="1" si="60"/>
        <v>0.36772549780564767</v>
      </c>
      <c r="C848" s="23">
        <f t="shared" ca="1" si="64"/>
        <v>254</v>
      </c>
      <c r="D848" s="23">
        <f t="shared" si="61"/>
        <v>290</v>
      </c>
      <c r="E848" s="23">
        <f t="shared" ca="1" si="62"/>
        <v>254</v>
      </c>
      <c r="F848" s="27">
        <v>65</v>
      </c>
      <c r="G848" s="27">
        <v>135</v>
      </c>
      <c r="H848" s="28">
        <f t="shared" ca="1" si="63"/>
        <v>15440</v>
      </c>
    </row>
    <row r="849" spans="2:8">
      <c r="B849" s="23">
        <f t="shared" ref="B849:B912" ca="1" si="65">RAND()</f>
        <v>0.32890607156686547</v>
      </c>
      <c r="C849" s="23">
        <f t="shared" ca="1" si="64"/>
        <v>243</v>
      </c>
      <c r="D849" s="23">
        <f t="shared" ref="D849:D912" si="66">$B$9</f>
        <v>290</v>
      </c>
      <c r="E849" s="23">
        <f t="shared" ref="E849:E912" ca="1" si="67">_xlfn.FLOOR.MATH(MIN(C849,D849))</f>
        <v>243</v>
      </c>
      <c r="F849" s="27">
        <v>65</v>
      </c>
      <c r="G849" s="27">
        <v>135</v>
      </c>
      <c r="H849" s="28">
        <f t="shared" ref="H849:H912" ca="1" si="68">E849*G849-D849*F849</f>
        <v>13955</v>
      </c>
    </row>
    <row r="850" spans="2:8">
      <c r="B850" s="23">
        <f t="shared" ca="1" si="65"/>
        <v>0.72586595231631812</v>
      </c>
      <c r="C850" s="23">
        <f t="shared" ref="C850:C913" ca="1" si="69">_xlfn.FLOOR.MATH(_xlfn.NORM.INV(B850,$B$6,$B$7))</f>
        <v>353</v>
      </c>
      <c r="D850" s="23">
        <f t="shared" si="66"/>
        <v>290</v>
      </c>
      <c r="E850" s="23">
        <f t="shared" ca="1" si="67"/>
        <v>290</v>
      </c>
      <c r="F850" s="27">
        <v>65</v>
      </c>
      <c r="G850" s="27">
        <v>135</v>
      </c>
      <c r="H850" s="28">
        <f t="shared" ca="1" si="68"/>
        <v>20300</v>
      </c>
    </row>
    <row r="851" spans="2:8">
      <c r="B851" s="23">
        <f t="shared" ca="1" si="65"/>
        <v>0.41400540331494984</v>
      </c>
      <c r="C851" s="23">
        <f t="shared" ca="1" si="69"/>
        <v>267</v>
      </c>
      <c r="D851" s="23">
        <f t="shared" si="66"/>
        <v>290</v>
      </c>
      <c r="E851" s="23">
        <f t="shared" ca="1" si="67"/>
        <v>267</v>
      </c>
      <c r="F851" s="27">
        <v>65</v>
      </c>
      <c r="G851" s="27">
        <v>135</v>
      </c>
      <c r="H851" s="28">
        <f t="shared" ca="1" si="68"/>
        <v>17195</v>
      </c>
    </row>
    <row r="852" spans="2:8">
      <c r="B852" s="23">
        <f t="shared" ca="1" si="65"/>
        <v>0.4134773343094863</v>
      </c>
      <c r="C852" s="23">
        <f t="shared" ca="1" si="69"/>
        <v>266</v>
      </c>
      <c r="D852" s="23">
        <f t="shared" si="66"/>
        <v>290</v>
      </c>
      <c r="E852" s="23">
        <f t="shared" ca="1" si="67"/>
        <v>266</v>
      </c>
      <c r="F852" s="27">
        <v>65</v>
      </c>
      <c r="G852" s="27">
        <v>135</v>
      </c>
      <c r="H852" s="28">
        <f t="shared" ca="1" si="68"/>
        <v>17060</v>
      </c>
    </row>
    <row r="853" spans="2:8">
      <c r="B853" s="23">
        <f t="shared" ca="1" si="65"/>
        <v>0.64988329627730956</v>
      </c>
      <c r="C853" s="23">
        <f t="shared" ca="1" si="69"/>
        <v>330</v>
      </c>
      <c r="D853" s="23">
        <f t="shared" si="66"/>
        <v>290</v>
      </c>
      <c r="E853" s="23">
        <f t="shared" ca="1" si="67"/>
        <v>290</v>
      </c>
      <c r="F853" s="27">
        <v>65</v>
      </c>
      <c r="G853" s="27">
        <v>135</v>
      </c>
      <c r="H853" s="28">
        <f t="shared" ca="1" si="68"/>
        <v>20300</v>
      </c>
    </row>
    <row r="854" spans="2:8">
      <c r="B854" s="23">
        <f t="shared" ca="1" si="65"/>
        <v>0.27480955060693657</v>
      </c>
      <c r="C854" s="23">
        <f t="shared" ca="1" si="69"/>
        <v>226</v>
      </c>
      <c r="D854" s="23">
        <f t="shared" si="66"/>
        <v>290</v>
      </c>
      <c r="E854" s="23">
        <f t="shared" ca="1" si="67"/>
        <v>226</v>
      </c>
      <c r="F854" s="27">
        <v>65</v>
      </c>
      <c r="G854" s="27">
        <v>135</v>
      </c>
      <c r="H854" s="28">
        <f t="shared" ca="1" si="68"/>
        <v>11660</v>
      </c>
    </row>
    <row r="855" spans="2:8">
      <c r="B855" s="23">
        <f t="shared" ca="1" si="65"/>
        <v>0.5040676710961085</v>
      </c>
      <c r="C855" s="23">
        <f t="shared" ca="1" si="69"/>
        <v>291</v>
      </c>
      <c r="D855" s="23">
        <f t="shared" si="66"/>
        <v>290</v>
      </c>
      <c r="E855" s="23">
        <f t="shared" ca="1" si="67"/>
        <v>290</v>
      </c>
      <c r="F855" s="27">
        <v>65</v>
      </c>
      <c r="G855" s="27">
        <v>135</v>
      </c>
      <c r="H855" s="28">
        <f t="shared" ca="1" si="68"/>
        <v>20300</v>
      </c>
    </row>
    <row r="856" spans="2:8">
      <c r="B856" s="23">
        <f t="shared" ca="1" si="65"/>
        <v>1.4438906426761378E-3</v>
      </c>
      <c r="C856" s="23">
        <f t="shared" ca="1" si="69"/>
        <v>-26</v>
      </c>
      <c r="D856" s="23">
        <f t="shared" si="66"/>
        <v>290</v>
      </c>
      <c r="E856" s="23">
        <f t="shared" ca="1" si="67"/>
        <v>-26</v>
      </c>
      <c r="F856" s="27">
        <v>65</v>
      </c>
      <c r="G856" s="27">
        <v>135</v>
      </c>
      <c r="H856" s="28">
        <f t="shared" ca="1" si="68"/>
        <v>-22360</v>
      </c>
    </row>
    <row r="857" spans="2:8">
      <c r="B857" s="23">
        <f t="shared" ca="1" si="65"/>
        <v>0.75272981633153613</v>
      </c>
      <c r="C857" s="23">
        <f t="shared" ca="1" si="69"/>
        <v>362</v>
      </c>
      <c r="D857" s="23">
        <f t="shared" si="66"/>
        <v>290</v>
      </c>
      <c r="E857" s="23">
        <f t="shared" ca="1" si="67"/>
        <v>290</v>
      </c>
      <c r="F857" s="27">
        <v>65</v>
      </c>
      <c r="G857" s="27">
        <v>135</v>
      </c>
      <c r="H857" s="28">
        <f t="shared" ca="1" si="68"/>
        <v>20300</v>
      </c>
    </row>
    <row r="858" spans="2:8">
      <c r="B858" s="23">
        <f t="shared" ca="1" si="65"/>
        <v>0.30038922207457963</v>
      </c>
      <c r="C858" s="23">
        <f t="shared" ca="1" si="69"/>
        <v>234</v>
      </c>
      <c r="D858" s="23">
        <f t="shared" si="66"/>
        <v>290</v>
      </c>
      <c r="E858" s="23">
        <f t="shared" ca="1" si="67"/>
        <v>234</v>
      </c>
      <c r="F858" s="27">
        <v>65</v>
      </c>
      <c r="G858" s="27">
        <v>135</v>
      </c>
      <c r="H858" s="28">
        <f t="shared" ca="1" si="68"/>
        <v>12740</v>
      </c>
    </row>
    <row r="859" spans="2:8">
      <c r="B859" s="23">
        <f t="shared" ca="1" si="65"/>
        <v>0.47235110116795265</v>
      </c>
      <c r="C859" s="23">
        <f t="shared" ca="1" si="69"/>
        <v>282</v>
      </c>
      <c r="D859" s="23">
        <f t="shared" si="66"/>
        <v>290</v>
      </c>
      <c r="E859" s="23">
        <f t="shared" ca="1" si="67"/>
        <v>282</v>
      </c>
      <c r="F859" s="27">
        <v>65</v>
      </c>
      <c r="G859" s="27">
        <v>135</v>
      </c>
      <c r="H859" s="28">
        <f t="shared" ca="1" si="68"/>
        <v>19220</v>
      </c>
    </row>
    <row r="860" spans="2:8">
      <c r="B860" s="23">
        <f t="shared" ca="1" si="65"/>
        <v>0.60558837482485572</v>
      </c>
      <c r="C860" s="23">
        <f t="shared" ca="1" si="69"/>
        <v>318</v>
      </c>
      <c r="D860" s="23">
        <f t="shared" si="66"/>
        <v>290</v>
      </c>
      <c r="E860" s="23">
        <f t="shared" ca="1" si="67"/>
        <v>290</v>
      </c>
      <c r="F860" s="27">
        <v>65</v>
      </c>
      <c r="G860" s="27">
        <v>135</v>
      </c>
      <c r="H860" s="28">
        <f t="shared" ca="1" si="68"/>
        <v>20300</v>
      </c>
    </row>
    <row r="861" spans="2:8">
      <c r="B861" s="23">
        <f t="shared" ca="1" si="65"/>
        <v>0.1555033177471481</v>
      </c>
      <c r="C861" s="23">
        <f t="shared" ca="1" si="69"/>
        <v>182</v>
      </c>
      <c r="D861" s="23">
        <f t="shared" si="66"/>
        <v>290</v>
      </c>
      <c r="E861" s="23">
        <f t="shared" ca="1" si="67"/>
        <v>182</v>
      </c>
      <c r="F861" s="27">
        <v>65</v>
      </c>
      <c r="G861" s="27">
        <v>135</v>
      </c>
      <c r="H861" s="28">
        <f t="shared" ca="1" si="68"/>
        <v>5720</v>
      </c>
    </row>
    <row r="862" spans="2:8">
      <c r="B862" s="23">
        <f t="shared" ca="1" si="65"/>
        <v>0.2053873228966786</v>
      </c>
      <c r="C862" s="23">
        <f t="shared" ca="1" si="69"/>
        <v>202</v>
      </c>
      <c r="D862" s="23">
        <f t="shared" si="66"/>
        <v>290</v>
      </c>
      <c r="E862" s="23">
        <f t="shared" ca="1" si="67"/>
        <v>202</v>
      </c>
      <c r="F862" s="27">
        <v>65</v>
      </c>
      <c r="G862" s="27">
        <v>135</v>
      </c>
      <c r="H862" s="28">
        <f t="shared" ca="1" si="68"/>
        <v>8420</v>
      </c>
    </row>
    <row r="863" spans="2:8">
      <c r="B863" s="23">
        <f t="shared" ca="1" si="65"/>
        <v>0.54482389744309567</v>
      </c>
      <c r="C863" s="23">
        <f t="shared" ca="1" si="69"/>
        <v>302</v>
      </c>
      <c r="D863" s="23">
        <f t="shared" si="66"/>
        <v>290</v>
      </c>
      <c r="E863" s="23">
        <f t="shared" ca="1" si="67"/>
        <v>290</v>
      </c>
      <c r="F863" s="27">
        <v>65</v>
      </c>
      <c r="G863" s="27">
        <v>135</v>
      </c>
      <c r="H863" s="28">
        <f t="shared" ca="1" si="68"/>
        <v>20300</v>
      </c>
    </row>
    <row r="864" spans="2:8">
      <c r="B864" s="23">
        <f t="shared" ca="1" si="65"/>
        <v>0.84081405208321158</v>
      </c>
      <c r="C864" s="23">
        <f t="shared" ca="1" si="69"/>
        <v>395</v>
      </c>
      <c r="D864" s="23">
        <f t="shared" si="66"/>
        <v>290</v>
      </c>
      <c r="E864" s="23">
        <f t="shared" ca="1" si="67"/>
        <v>290</v>
      </c>
      <c r="F864" s="27">
        <v>65</v>
      </c>
      <c r="G864" s="27">
        <v>135</v>
      </c>
      <c r="H864" s="28">
        <f t="shared" ca="1" si="68"/>
        <v>20300</v>
      </c>
    </row>
    <row r="865" spans="2:8">
      <c r="B865" s="23">
        <f t="shared" ca="1" si="65"/>
        <v>0.1653581179578858</v>
      </c>
      <c r="C865" s="23">
        <f t="shared" ca="1" si="69"/>
        <v>187</v>
      </c>
      <c r="D865" s="23">
        <f t="shared" si="66"/>
        <v>290</v>
      </c>
      <c r="E865" s="23">
        <f t="shared" ca="1" si="67"/>
        <v>187</v>
      </c>
      <c r="F865" s="27">
        <v>65</v>
      </c>
      <c r="G865" s="27">
        <v>135</v>
      </c>
      <c r="H865" s="28">
        <f t="shared" ca="1" si="68"/>
        <v>6395</v>
      </c>
    </row>
    <row r="866" spans="2:8">
      <c r="B866" s="23">
        <f t="shared" ca="1" si="65"/>
        <v>0.36027137375027218</v>
      </c>
      <c r="C866" s="23">
        <f t="shared" ca="1" si="69"/>
        <v>252</v>
      </c>
      <c r="D866" s="23">
        <f t="shared" si="66"/>
        <v>290</v>
      </c>
      <c r="E866" s="23">
        <f t="shared" ca="1" si="67"/>
        <v>252</v>
      </c>
      <c r="F866" s="27">
        <v>65</v>
      </c>
      <c r="G866" s="27">
        <v>135</v>
      </c>
      <c r="H866" s="28">
        <f t="shared" ca="1" si="68"/>
        <v>15170</v>
      </c>
    </row>
    <row r="867" spans="2:8">
      <c r="B867" s="23">
        <f t="shared" ca="1" si="65"/>
        <v>0.55991088954290724</v>
      </c>
      <c r="C867" s="23">
        <f t="shared" ca="1" si="69"/>
        <v>306</v>
      </c>
      <c r="D867" s="23">
        <f t="shared" si="66"/>
        <v>290</v>
      </c>
      <c r="E867" s="23">
        <f t="shared" ca="1" si="67"/>
        <v>290</v>
      </c>
      <c r="F867" s="27">
        <v>65</v>
      </c>
      <c r="G867" s="27">
        <v>135</v>
      </c>
      <c r="H867" s="28">
        <f t="shared" ca="1" si="68"/>
        <v>20300</v>
      </c>
    </row>
    <row r="868" spans="2:8">
      <c r="B868" s="23">
        <f t="shared" ca="1" si="65"/>
        <v>0.91700728115543562</v>
      </c>
      <c r="C868" s="23">
        <f t="shared" ca="1" si="69"/>
        <v>436</v>
      </c>
      <c r="D868" s="23">
        <f t="shared" si="66"/>
        <v>290</v>
      </c>
      <c r="E868" s="23">
        <f t="shared" ca="1" si="67"/>
        <v>290</v>
      </c>
      <c r="F868" s="27">
        <v>65</v>
      </c>
      <c r="G868" s="27">
        <v>135</v>
      </c>
      <c r="H868" s="28">
        <f t="shared" ca="1" si="68"/>
        <v>20300</v>
      </c>
    </row>
    <row r="869" spans="2:8">
      <c r="B869" s="23">
        <f t="shared" ca="1" si="65"/>
        <v>0.32132779794284405</v>
      </c>
      <c r="C869" s="23">
        <f t="shared" ca="1" si="69"/>
        <v>240</v>
      </c>
      <c r="D869" s="23">
        <f t="shared" si="66"/>
        <v>290</v>
      </c>
      <c r="E869" s="23">
        <f t="shared" ca="1" si="67"/>
        <v>240</v>
      </c>
      <c r="F869" s="27">
        <v>65</v>
      </c>
      <c r="G869" s="27">
        <v>135</v>
      </c>
      <c r="H869" s="28">
        <f t="shared" ca="1" si="68"/>
        <v>13550</v>
      </c>
    </row>
    <row r="870" spans="2:8">
      <c r="B870" s="23">
        <f t="shared" ca="1" si="65"/>
        <v>0.86891676532491546</v>
      </c>
      <c r="C870" s="23">
        <f t="shared" ca="1" si="69"/>
        <v>408</v>
      </c>
      <c r="D870" s="23">
        <f t="shared" si="66"/>
        <v>290</v>
      </c>
      <c r="E870" s="23">
        <f t="shared" ca="1" si="67"/>
        <v>290</v>
      </c>
      <c r="F870" s="27">
        <v>65</v>
      </c>
      <c r="G870" s="27">
        <v>135</v>
      </c>
      <c r="H870" s="28">
        <f t="shared" ca="1" si="68"/>
        <v>20300</v>
      </c>
    </row>
    <row r="871" spans="2:8">
      <c r="B871" s="23">
        <f t="shared" ca="1" si="65"/>
        <v>0.75839691234822282</v>
      </c>
      <c r="C871" s="23">
        <f t="shared" ca="1" si="69"/>
        <v>364</v>
      </c>
      <c r="D871" s="23">
        <f t="shared" si="66"/>
        <v>290</v>
      </c>
      <c r="E871" s="23">
        <f t="shared" ca="1" si="67"/>
        <v>290</v>
      </c>
      <c r="F871" s="27">
        <v>65</v>
      </c>
      <c r="G871" s="27">
        <v>135</v>
      </c>
      <c r="H871" s="28">
        <f t="shared" ca="1" si="68"/>
        <v>20300</v>
      </c>
    </row>
    <row r="872" spans="2:8">
      <c r="B872" s="23">
        <f t="shared" ca="1" si="65"/>
        <v>0.46998923621650845</v>
      </c>
      <c r="C872" s="23">
        <f t="shared" ca="1" si="69"/>
        <v>282</v>
      </c>
      <c r="D872" s="23">
        <f t="shared" si="66"/>
        <v>290</v>
      </c>
      <c r="E872" s="23">
        <f t="shared" ca="1" si="67"/>
        <v>282</v>
      </c>
      <c r="F872" s="27">
        <v>65</v>
      </c>
      <c r="G872" s="27">
        <v>135</v>
      </c>
      <c r="H872" s="28">
        <f t="shared" ca="1" si="68"/>
        <v>19220</v>
      </c>
    </row>
    <row r="873" spans="2:8">
      <c r="B873" s="23">
        <f t="shared" ca="1" si="65"/>
        <v>0.86369126013482167</v>
      </c>
      <c r="C873" s="23">
        <f t="shared" ca="1" si="69"/>
        <v>406</v>
      </c>
      <c r="D873" s="23">
        <f t="shared" si="66"/>
        <v>290</v>
      </c>
      <c r="E873" s="23">
        <f t="shared" ca="1" si="67"/>
        <v>290</v>
      </c>
      <c r="F873" s="27">
        <v>65</v>
      </c>
      <c r="G873" s="27">
        <v>135</v>
      </c>
      <c r="H873" s="28">
        <f t="shared" ca="1" si="68"/>
        <v>20300</v>
      </c>
    </row>
    <row r="874" spans="2:8">
      <c r="B874" s="23">
        <f t="shared" ca="1" si="65"/>
        <v>0.44654058286005338</v>
      </c>
      <c r="C874" s="23">
        <f t="shared" ca="1" si="69"/>
        <v>275</v>
      </c>
      <c r="D874" s="23">
        <f t="shared" si="66"/>
        <v>290</v>
      </c>
      <c r="E874" s="23">
        <f t="shared" ca="1" si="67"/>
        <v>275</v>
      </c>
      <c r="F874" s="27">
        <v>65</v>
      </c>
      <c r="G874" s="27">
        <v>135</v>
      </c>
      <c r="H874" s="28">
        <f t="shared" ca="1" si="68"/>
        <v>18275</v>
      </c>
    </row>
    <row r="875" spans="2:8">
      <c r="B875" s="23">
        <f t="shared" ca="1" si="65"/>
        <v>0.62370105915768703</v>
      </c>
      <c r="C875" s="23">
        <f t="shared" ca="1" si="69"/>
        <v>323</v>
      </c>
      <c r="D875" s="23">
        <f t="shared" si="66"/>
        <v>290</v>
      </c>
      <c r="E875" s="23">
        <f t="shared" ca="1" si="67"/>
        <v>290</v>
      </c>
      <c r="F875" s="27">
        <v>65</v>
      </c>
      <c r="G875" s="27">
        <v>135</v>
      </c>
      <c r="H875" s="28">
        <f t="shared" ca="1" si="68"/>
        <v>20300</v>
      </c>
    </row>
    <row r="876" spans="2:8">
      <c r="B876" s="23">
        <f t="shared" ca="1" si="65"/>
        <v>0.23591514903373945</v>
      </c>
      <c r="C876" s="23">
        <f t="shared" ca="1" si="69"/>
        <v>213</v>
      </c>
      <c r="D876" s="23">
        <f t="shared" si="66"/>
        <v>290</v>
      </c>
      <c r="E876" s="23">
        <f t="shared" ca="1" si="67"/>
        <v>213</v>
      </c>
      <c r="F876" s="27">
        <v>65</v>
      </c>
      <c r="G876" s="27">
        <v>135</v>
      </c>
      <c r="H876" s="28">
        <f t="shared" ca="1" si="68"/>
        <v>9905</v>
      </c>
    </row>
    <row r="877" spans="2:8">
      <c r="B877" s="23">
        <f t="shared" ca="1" si="65"/>
        <v>3.6953046636025277E-2</v>
      </c>
      <c r="C877" s="23">
        <f t="shared" ca="1" si="69"/>
        <v>100</v>
      </c>
      <c r="D877" s="23">
        <f t="shared" si="66"/>
        <v>290</v>
      </c>
      <c r="E877" s="23">
        <f t="shared" ca="1" si="67"/>
        <v>100</v>
      </c>
      <c r="F877" s="27">
        <v>65</v>
      </c>
      <c r="G877" s="27">
        <v>135</v>
      </c>
      <c r="H877" s="28">
        <f t="shared" ca="1" si="68"/>
        <v>-5350</v>
      </c>
    </row>
    <row r="878" spans="2:8">
      <c r="B878" s="23">
        <f t="shared" ca="1" si="65"/>
        <v>0.16836156818063752</v>
      </c>
      <c r="C878" s="23">
        <f t="shared" ca="1" si="69"/>
        <v>188</v>
      </c>
      <c r="D878" s="23">
        <f t="shared" si="66"/>
        <v>290</v>
      </c>
      <c r="E878" s="23">
        <f t="shared" ca="1" si="67"/>
        <v>188</v>
      </c>
      <c r="F878" s="27">
        <v>65</v>
      </c>
      <c r="G878" s="27">
        <v>135</v>
      </c>
      <c r="H878" s="28">
        <f t="shared" ca="1" si="68"/>
        <v>6530</v>
      </c>
    </row>
    <row r="879" spans="2:8">
      <c r="B879" s="23">
        <f t="shared" ca="1" si="65"/>
        <v>0.10347105985809035</v>
      </c>
      <c r="C879" s="23">
        <f t="shared" ca="1" si="69"/>
        <v>156</v>
      </c>
      <c r="D879" s="23">
        <f t="shared" si="66"/>
        <v>290</v>
      </c>
      <c r="E879" s="23">
        <f t="shared" ca="1" si="67"/>
        <v>156</v>
      </c>
      <c r="F879" s="27">
        <v>65</v>
      </c>
      <c r="G879" s="27">
        <v>135</v>
      </c>
      <c r="H879" s="28">
        <f t="shared" ca="1" si="68"/>
        <v>2210</v>
      </c>
    </row>
    <row r="880" spans="2:8">
      <c r="B880" s="23">
        <f t="shared" ca="1" si="65"/>
        <v>0.50635965074109635</v>
      </c>
      <c r="C880" s="23">
        <f t="shared" ca="1" si="69"/>
        <v>291</v>
      </c>
      <c r="D880" s="23">
        <f t="shared" si="66"/>
        <v>290</v>
      </c>
      <c r="E880" s="23">
        <f t="shared" ca="1" si="67"/>
        <v>290</v>
      </c>
      <c r="F880" s="27">
        <v>65</v>
      </c>
      <c r="G880" s="27">
        <v>135</v>
      </c>
      <c r="H880" s="28">
        <f t="shared" ca="1" si="68"/>
        <v>20300</v>
      </c>
    </row>
    <row r="881" spans="2:8">
      <c r="B881" s="23">
        <f t="shared" ca="1" si="65"/>
        <v>0.71175415835480826</v>
      </c>
      <c r="C881" s="23">
        <f t="shared" ca="1" si="69"/>
        <v>349</v>
      </c>
      <c r="D881" s="23">
        <f t="shared" si="66"/>
        <v>290</v>
      </c>
      <c r="E881" s="23">
        <f t="shared" ca="1" si="67"/>
        <v>290</v>
      </c>
      <c r="F881" s="27">
        <v>65</v>
      </c>
      <c r="G881" s="27">
        <v>135</v>
      </c>
      <c r="H881" s="28">
        <f t="shared" ca="1" si="68"/>
        <v>20300</v>
      </c>
    </row>
    <row r="882" spans="2:8">
      <c r="B882" s="23">
        <f t="shared" ca="1" si="65"/>
        <v>0.69901799226080774</v>
      </c>
      <c r="C882" s="23">
        <f t="shared" ca="1" si="69"/>
        <v>345</v>
      </c>
      <c r="D882" s="23">
        <f t="shared" si="66"/>
        <v>290</v>
      </c>
      <c r="E882" s="23">
        <f t="shared" ca="1" si="67"/>
        <v>290</v>
      </c>
      <c r="F882" s="27">
        <v>65</v>
      </c>
      <c r="G882" s="27">
        <v>135</v>
      </c>
      <c r="H882" s="28">
        <f t="shared" ca="1" si="68"/>
        <v>20300</v>
      </c>
    </row>
    <row r="883" spans="2:8">
      <c r="B883" s="23">
        <f t="shared" ca="1" si="65"/>
        <v>0.16229364860784012</v>
      </c>
      <c r="C883" s="23">
        <f t="shared" ca="1" si="69"/>
        <v>185</v>
      </c>
      <c r="D883" s="23">
        <f t="shared" si="66"/>
        <v>290</v>
      </c>
      <c r="E883" s="23">
        <f t="shared" ca="1" si="67"/>
        <v>185</v>
      </c>
      <c r="F883" s="27">
        <v>65</v>
      </c>
      <c r="G883" s="27">
        <v>135</v>
      </c>
      <c r="H883" s="28">
        <f t="shared" ca="1" si="68"/>
        <v>6125</v>
      </c>
    </row>
    <row r="884" spans="2:8">
      <c r="B884" s="23">
        <f t="shared" ca="1" si="65"/>
        <v>0.63476970764042495</v>
      </c>
      <c r="C884" s="23">
        <f t="shared" ca="1" si="69"/>
        <v>326</v>
      </c>
      <c r="D884" s="23">
        <f t="shared" si="66"/>
        <v>290</v>
      </c>
      <c r="E884" s="23">
        <f t="shared" ca="1" si="67"/>
        <v>290</v>
      </c>
      <c r="F884" s="27">
        <v>65</v>
      </c>
      <c r="G884" s="27">
        <v>135</v>
      </c>
      <c r="H884" s="28">
        <f t="shared" ca="1" si="68"/>
        <v>20300</v>
      </c>
    </row>
    <row r="885" spans="2:8">
      <c r="B885" s="23">
        <f t="shared" ca="1" si="65"/>
        <v>3.4936085052683641E-4</v>
      </c>
      <c r="C885" s="23">
        <f t="shared" ca="1" si="69"/>
        <v>-70</v>
      </c>
      <c r="D885" s="23">
        <f t="shared" si="66"/>
        <v>290</v>
      </c>
      <c r="E885" s="23">
        <f t="shared" ca="1" si="67"/>
        <v>-70</v>
      </c>
      <c r="F885" s="27">
        <v>65</v>
      </c>
      <c r="G885" s="27">
        <v>135</v>
      </c>
      <c r="H885" s="28">
        <f t="shared" ca="1" si="68"/>
        <v>-28300</v>
      </c>
    </row>
    <row r="886" spans="2:8">
      <c r="B886" s="23">
        <f t="shared" ca="1" si="65"/>
        <v>0.9350724872472308</v>
      </c>
      <c r="C886" s="23">
        <f t="shared" ca="1" si="69"/>
        <v>450</v>
      </c>
      <c r="D886" s="23">
        <f t="shared" si="66"/>
        <v>290</v>
      </c>
      <c r="E886" s="23">
        <f t="shared" ca="1" si="67"/>
        <v>290</v>
      </c>
      <c r="F886" s="27">
        <v>65</v>
      </c>
      <c r="G886" s="27">
        <v>135</v>
      </c>
      <c r="H886" s="28">
        <f t="shared" ca="1" si="68"/>
        <v>20300</v>
      </c>
    </row>
    <row r="887" spans="2:8">
      <c r="B887" s="23">
        <f t="shared" ca="1" si="65"/>
        <v>0.87949104103012621</v>
      </c>
      <c r="C887" s="23">
        <f t="shared" ca="1" si="69"/>
        <v>414</v>
      </c>
      <c r="D887" s="23">
        <f t="shared" si="66"/>
        <v>290</v>
      </c>
      <c r="E887" s="23">
        <f t="shared" ca="1" si="67"/>
        <v>290</v>
      </c>
      <c r="F887" s="27">
        <v>65</v>
      </c>
      <c r="G887" s="27">
        <v>135</v>
      </c>
      <c r="H887" s="28">
        <f t="shared" ca="1" si="68"/>
        <v>20300</v>
      </c>
    </row>
    <row r="888" spans="2:8">
      <c r="B888" s="23">
        <f t="shared" ca="1" si="65"/>
        <v>0.31813444865071405</v>
      </c>
      <c r="C888" s="23">
        <f t="shared" ca="1" si="69"/>
        <v>239</v>
      </c>
      <c r="D888" s="23">
        <f t="shared" si="66"/>
        <v>290</v>
      </c>
      <c r="E888" s="23">
        <f t="shared" ca="1" si="67"/>
        <v>239</v>
      </c>
      <c r="F888" s="27">
        <v>65</v>
      </c>
      <c r="G888" s="27">
        <v>135</v>
      </c>
      <c r="H888" s="28">
        <f t="shared" ca="1" si="68"/>
        <v>13415</v>
      </c>
    </row>
    <row r="889" spans="2:8">
      <c r="B889" s="23">
        <f t="shared" ca="1" si="65"/>
        <v>0.94574056123375638</v>
      </c>
      <c r="C889" s="23">
        <f t="shared" ca="1" si="69"/>
        <v>460</v>
      </c>
      <c r="D889" s="23">
        <f t="shared" si="66"/>
        <v>290</v>
      </c>
      <c r="E889" s="23">
        <f t="shared" ca="1" si="67"/>
        <v>290</v>
      </c>
      <c r="F889" s="27">
        <v>65</v>
      </c>
      <c r="G889" s="27">
        <v>135</v>
      </c>
      <c r="H889" s="28">
        <f t="shared" ca="1" si="68"/>
        <v>20300</v>
      </c>
    </row>
    <row r="890" spans="2:8">
      <c r="B890" s="23">
        <f t="shared" ca="1" si="65"/>
        <v>0.25500592812585021</v>
      </c>
      <c r="C890" s="23">
        <f t="shared" ca="1" si="69"/>
        <v>220</v>
      </c>
      <c r="D890" s="23">
        <f t="shared" si="66"/>
        <v>290</v>
      </c>
      <c r="E890" s="23">
        <f t="shared" ca="1" si="67"/>
        <v>220</v>
      </c>
      <c r="F890" s="27">
        <v>65</v>
      </c>
      <c r="G890" s="27">
        <v>135</v>
      </c>
      <c r="H890" s="28">
        <f t="shared" ca="1" si="68"/>
        <v>10850</v>
      </c>
    </row>
    <row r="891" spans="2:8">
      <c r="B891" s="23">
        <f t="shared" ca="1" si="65"/>
        <v>0.58154875589333765</v>
      </c>
      <c r="C891" s="23">
        <f t="shared" ca="1" si="69"/>
        <v>311</v>
      </c>
      <c r="D891" s="23">
        <f t="shared" si="66"/>
        <v>290</v>
      </c>
      <c r="E891" s="23">
        <f t="shared" ca="1" si="67"/>
        <v>290</v>
      </c>
      <c r="F891" s="27">
        <v>65</v>
      </c>
      <c r="G891" s="27">
        <v>135</v>
      </c>
      <c r="H891" s="28">
        <f t="shared" ca="1" si="68"/>
        <v>20300</v>
      </c>
    </row>
    <row r="892" spans="2:8">
      <c r="B892" s="23">
        <f t="shared" ca="1" si="65"/>
        <v>0.11794439434710535</v>
      </c>
      <c r="C892" s="23">
        <f t="shared" ca="1" si="69"/>
        <v>164</v>
      </c>
      <c r="D892" s="23">
        <f t="shared" si="66"/>
        <v>290</v>
      </c>
      <c r="E892" s="23">
        <f t="shared" ca="1" si="67"/>
        <v>164</v>
      </c>
      <c r="F892" s="27">
        <v>65</v>
      </c>
      <c r="G892" s="27">
        <v>135</v>
      </c>
      <c r="H892" s="28">
        <f t="shared" ca="1" si="68"/>
        <v>3290</v>
      </c>
    </row>
    <row r="893" spans="2:8">
      <c r="B893" s="23">
        <f t="shared" ca="1" si="65"/>
        <v>0.8014835894992991</v>
      </c>
      <c r="C893" s="23">
        <f t="shared" ca="1" si="69"/>
        <v>379</v>
      </c>
      <c r="D893" s="23">
        <f t="shared" si="66"/>
        <v>290</v>
      </c>
      <c r="E893" s="23">
        <f t="shared" ca="1" si="67"/>
        <v>290</v>
      </c>
      <c r="F893" s="27">
        <v>65</v>
      </c>
      <c r="G893" s="27">
        <v>135</v>
      </c>
      <c r="H893" s="28">
        <f t="shared" ca="1" si="68"/>
        <v>20300</v>
      </c>
    </row>
    <row r="894" spans="2:8">
      <c r="B894" s="23">
        <f t="shared" ca="1" si="65"/>
        <v>0.94118631735504976</v>
      </c>
      <c r="C894" s="23">
        <f t="shared" ca="1" si="69"/>
        <v>455</v>
      </c>
      <c r="D894" s="23">
        <f t="shared" si="66"/>
        <v>290</v>
      </c>
      <c r="E894" s="23">
        <f t="shared" ca="1" si="67"/>
        <v>290</v>
      </c>
      <c r="F894" s="27">
        <v>65</v>
      </c>
      <c r="G894" s="27">
        <v>135</v>
      </c>
      <c r="H894" s="28">
        <f t="shared" ca="1" si="68"/>
        <v>20300</v>
      </c>
    </row>
    <row r="895" spans="2:8">
      <c r="B895" s="23">
        <f t="shared" ca="1" si="65"/>
        <v>0.657577837184945</v>
      </c>
      <c r="C895" s="23">
        <f t="shared" ca="1" si="69"/>
        <v>333</v>
      </c>
      <c r="D895" s="23">
        <f t="shared" si="66"/>
        <v>290</v>
      </c>
      <c r="E895" s="23">
        <f t="shared" ca="1" si="67"/>
        <v>290</v>
      </c>
      <c r="F895" s="27">
        <v>65</v>
      </c>
      <c r="G895" s="27">
        <v>135</v>
      </c>
      <c r="H895" s="28">
        <f t="shared" ca="1" si="68"/>
        <v>20300</v>
      </c>
    </row>
    <row r="896" spans="2:8">
      <c r="B896" s="23">
        <f t="shared" ca="1" si="65"/>
        <v>0.92258487318288196</v>
      </c>
      <c r="C896" s="23">
        <f t="shared" ca="1" si="69"/>
        <v>440</v>
      </c>
      <c r="D896" s="23">
        <f t="shared" si="66"/>
        <v>290</v>
      </c>
      <c r="E896" s="23">
        <f t="shared" ca="1" si="67"/>
        <v>290</v>
      </c>
      <c r="F896" s="27">
        <v>65</v>
      </c>
      <c r="G896" s="27">
        <v>135</v>
      </c>
      <c r="H896" s="28">
        <f t="shared" ca="1" si="68"/>
        <v>20300</v>
      </c>
    </row>
    <row r="897" spans="2:8">
      <c r="B897" s="23">
        <f t="shared" ca="1" si="65"/>
        <v>0.93439152497568079</v>
      </c>
      <c r="C897" s="23">
        <f t="shared" ca="1" si="69"/>
        <v>450</v>
      </c>
      <c r="D897" s="23">
        <f t="shared" si="66"/>
        <v>290</v>
      </c>
      <c r="E897" s="23">
        <f t="shared" ca="1" si="67"/>
        <v>290</v>
      </c>
      <c r="F897" s="27">
        <v>65</v>
      </c>
      <c r="G897" s="27">
        <v>135</v>
      </c>
      <c r="H897" s="28">
        <f t="shared" ca="1" si="68"/>
        <v>20300</v>
      </c>
    </row>
    <row r="898" spans="2:8">
      <c r="B898" s="23">
        <f t="shared" ca="1" si="65"/>
        <v>0.12495692436751282</v>
      </c>
      <c r="C898" s="23">
        <f t="shared" ca="1" si="69"/>
        <v>168</v>
      </c>
      <c r="D898" s="23">
        <f t="shared" si="66"/>
        <v>290</v>
      </c>
      <c r="E898" s="23">
        <f t="shared" ca="1" si="67"/>
        <v>168</v>
      </c>
      <c r="F898" s="27">
        <v>65</v>
      </c>
      <c r="G898" s="27">
        <v>135</v>
      </c>
      <c r="H898" s="28">
        <f t="shared" ca="1" si="68"/>
        <v>3830</v>
      </c>
    </row>
    <row r="899" spans="2:8">
      <c r="B899" s="23">
        <f t="shared" ca="1" si="65"/>
        <v>0.79078702386479038</v>
      </c>
      <c r="C899" s="23">
        <f t="shared" ca="1" si="69"/>
        <v>375</v>
      </c>
      <c r="D899" s="23">
        <f t="shared" si="66"/>
        <v>290</v>
      </c>
      <c r="E899" s="23">
        <f t="shared" ca="1" si="67"/>
        <v>290</v>
      </c>
      <c r="F899" s="27">
        <v>65</v>
      </c>
      <c r="G899" s="27">
        <v>135</v>
      </c>
      <c r="H899" s="28">
        <f t="shared" ca="1" si="68"/>
        <v>20300</v>
      </c>
    </row>
    <row r="900" spans="2:8">
      <c r="B900" s="23">
        <f t="shared" ca="1" si="65"/>
        <v>0.92720739452307266</v>
      </c>
      <c r="C900" s="23">
        <f t="shared" ca="1" si="69"/>
        <v>444</v>
      </c>
      <c r="D900" s="23">
        <f t="shared" si="66"/>
        <v>290</v>
      </c>
      <c r="E900" s="23">
        <f t="shared" ca="1" si="67"/>
        <v>290</v>
      </c>
      <c r="F900" s="27">
        <v>65</v>
      </c>
      <c r="G900" s="27">
        <v>135</v>
      </c>
      <c r="H900" s="28">
        <f t="shared" ca="1" si="68"/>
        <v>20300</v>
      </c>
    </row>
    <row r="901" spans="2:8">
      <c r="B901" s="23">
        <f t="shared" ca="1" si="65"/>
        <v>0.4448943777356289</v>
      </c>
      <c r="C901" s="23">
        <f t="shared" ca="1" si="69"/>
        <v>275</v>
      </c>
      <c r="D901" s="23">
        <f t="shared" si="66"/>
        <v>290</v>
      </c>
      <c r="E901" s="23">
        <f t="shared" ca="1" si="67"/>
        <v>275</v>
      </c>
      <c r="F901" s="27">
        <v>65</v>
      </c>
      <c r="G901" s="27">
        <v>135</v>
      </c>
      <c r="H901" s="28">
        <f t="shared" ca="1" si="68"/>
        <v>18275</v>
      </c>
    </row>
    <row r="902" spans="2:8">
      <c r="B902" s="23">
        <f t="shared" ca="1" si="65"/>
        <v>0.44279016169476204</v>
      </c>
      <c r="C902" s="23">
        <f t="shared" ca="1" si="69"/>
        <v>274</v>
      </c>
      <c r="D902" s="23">
        <f t="shared" si="66"/>
        <v>290</v>
      </c>
      <c r="E902" s="23">
        <f t="shared" ca="1" si="67"/>
        <v>274</v>
      </c>
      <c r="F902" s="27">
        <v>65</v>
      </c>
      <c r="G902" s="27">
        <v>135</v>
      </c>
      <c r="H902" s="28">
        <f t="shared" ca="1" si="68"/>
        <v>18140</v>
      </c>
    </row>
    <row r="903" spans="2:8">
      <c r="B903" s="23">
        <f t="shared" ca="1" si="65"/>
        <v>9.6208491329909385E-2</v>
      </c>
      <c r="C903" s="23">
        <f t="shared" ca="1" si="69"/>
        <v>151</v>
      </c>
      <c r="D903" s="23">
        <f t="shared" si="66"/>
        <v>290</v>
      </c>
      <c r="E903" s="23">
        <f t="shared" ca="1" si="67"/>
        <v>151</v>
      </c>
      <c r="F903" s="27">
        <v>65</v>
      </c>
      <c r="G903" s="27">
        <v>135</v>
      </c>
      <c r="H903" s="28">
        <f t="shared" ca="1" si="68"/>
        <v>1535</v>
      </c>
    </row>
    <row r="904" spans="2:8">
      <c r="B904" s="23">
        <f t="shared" ca="1" si="65"/>
        <v>0.11092059701902302</v>
      </c>
      <c r="C904" s="23">
        <f t="shared" ca="1" si="69"/>
        <v>160</v>
      </c>
      <c r="D904" s="23">
        <f t="shared" si="66"/>
        <v>290</v>
      </c>
      <c r="E904" s="23">
        <f t="shared" ca="1" si="67"/>
        <v>160</v>
      </c>
      <c r="F904" s="27">
        <v>65</v>
      </c>
      <c r="G904" s="27">
        <v>135</v>
      </c>
      <c r="H904" s="28">
        <f t="shared" ca="1" si="68"/>
        <v>2750</v>
      </c>
    </row>
    <row r="905" spans="2:8">
      <c r="B905" s="23">
        <f t="shared" ca="1" si="65"/>
        <v>0.35475007573868589</v>
      </c>
      <c r="C905" s="23">
        <f t="shared" ca="1" si="69"/>
        <v>250</v>
      </c>
      <c r="D905" s="23">
        <f t="shared" si="66"/>
        <v>290</v>
      </c>
      <c r="E905" s="23">
        <f t="shared" ca="1" si="67"/>
        <v>250</v>
      </c>
      <c r="F905" s="27">
        <v>65</v>
      </c>
      <c r="G905" s="27">
        <v>135</v>
      </c>
      <c r="H905" s="28">
        <f t="shared" ca="1" si="68"/>
        <v>14900</v>
      </c>
    </row>
    <row r="906" spans="2:8">
      <c r="B906" s="23">
        <f t="shared" ca="1" si="65"/>
        <v>0.19092910580368716</v>
      </c>
      <c r="C906" s="23">
        <f t="shared" ca="1" si="69"/>
        <v>197</v>
      </c>
      <c r="D906" s="23">
        <f t="shared" si="66"/>
        <v>290</v>
      </c>
      <c r="E906" s="23">
        <f t="shared" ca="1" si="67"/>
        <v>197</v>
      </c>
      <c r="F906" s="27">
        <v>65</v>
      </c>
      <c r="G906" s="27">
        <v>135</v>
      </c>
      <c r="H906" s="28">
        <f t="shared" ca="1" si="68"/>
        <v>7745</v>
      </c>
    </row>
    <row r="907" spans="2:8">
      <c r="B907" s="23">
        <f t="shared" ca="1" si="65"/>
        <v>3.0371829432987218E-2</v>
      </c>
      <c r="C907" s="23">
        <f t="shared" ca="1" si="69"/>
        <v>91</v>
      </c>
      <c r="D907" s="23">
        <f t="shared" si="66"/>
        <v>290</v>
      </c>
      <c r="E907" s="23">
        <f t="shared" ca="1" si="67"/>
        <v>91</v>
      </c>
      <c r="F907" s="27">
        <v>65</v>
      </c>
      <c r="G907" s="27">
        <v>135</v>
      </c>
      <c r="H907" s="28">
        <f t="shared" ca="1" si="68"/>
        <v>-6565</v>
      </c>
    </row>
    <row r="908" spans="2:8">
      <c r="B908" s="23">
        <f t="shared" ca="1" si="65"/>
        <v>0.73939306777651082</v>
      </c>
      <c r="C908" s="23">
        <f t="shared" ca="1" si="69"/>
        <v>358</v>
      </c>
      <c r="D908" s="23">
        <f t="shared" si="66"/>
        <v>290</v>
      </c>
      <c r="E908" s="23">
        <f t="shared" ca="1" si="67"/>
        <v>290</v>
      </c>
      <c r="F908" s="27">
        <v>65</v>
      </c>
      <c r="G908" s="27">
        <v>135</v>
      </c>
      <c r="H908" s="28">
        <f t="shared" ca="1" si="68"/>
        <v>20300</v>
      </c>
    </row>
    <row r="909" spans="2:8">
      <c r="B909" s="23">
        <f t="shared" ca="1" si="65"/>
        <v>0.23485131334464648</v>
      </c>
      <c r="C909" s="23">
        <f t="shared" ca="1" si="69"/>
        <v>213</v>
      </c>
      <c r="D909" s="23">
        <f t="shared" si="66"/>
        <v>290</v>
      </c>
      <c r="E909" s="23">
        <f t="shared" ca="1" si="67"/>
        <v>213</v>
      </c>
      <c r="F909" s="27">
        <v>65</v>
      </c>
      <c r="G909" s="27">
        <v>135</v>
      </c>
      <c r="H909" s="28">
        <f t="shared" ca="1" si="68"/>
        <v>9905</v>
      </c>
    </row>
    <row r="910" spans="2:8">
      <c r="B910" s="23">
        <f t="shared" ca="1" si="65"/>
        <v>0.27297192494802369</v>
      </c>
      <c r="C910" s="23">
        <f t="shared" ca="1" si="69"/>
        <v>226</v>
      </c>
      <c r="D910" s="23">
        <f t="shared" si="66"/>
        <v>290</v>
      </c>
      <c r="E910" s="23">
        <f t="shared" ca="1" si="67"/>
        <v>226</v>
      </c>
      <c r="F910" s="27">
        <v>65</v>
      </c>
      <c r="G910" s="27">
        <v>135</v>
      </c>
      <c r="H910" s="28">
        <f t="shared" ca="1" si="68"/>
        <v>11660</v>
      </c>
    </row>
    <row r="911" spans="2:8">
      <c r="B911" s="23">
        <f t="shared" ca="1" si="65"/>
        <v>0.24226726871884474</v>
      </c>
      <c r="C911" s="23">
        <f t="shared" ca="1" si="69"/>
        <v>216</v>
      </c>
      <c r="D911" s="23">
        <f t="shared" si="66"/>
        <v>290</v>
      </c>
      <c r="E911" s="23">
        <f t="shared" ca="1" si="67"/>
        <v>216</v>
      </c>
      <c r="F911" s="27">
        <v>65</v>
      </c>
      <c r="G911" s="27">
        <v>135</v>
      </c>
      <c r="H911" s="28">
        <f t="shared" ca="1" si="68"/>
        <v>10310</v>
      </c>
    </row>
    <row r="912" spans="2:8">
      <c r="B912" s="23">
        <f t="shared" ca="1" si="65"/>
        <v>0.80977099831602151</v>
      </c>
      <c r="C912" s="23">
        <f t="shared" ca="1" si="69"/>
        <v>383</v>
      </c>
      <c r="D912" s="23">
        <f t="shared" si="66"/>
        <v>290</v>
      </c>
      <c r="E912" s="23">
        <f t="shared" ca="1" si="67"/>
        <v>290</v>
      </c>
      <c r="F912" s="27">
        <v>65</v>
      </c>
      <c r="G912" s="27">
        <v>135</v>
      </c>
      <c r="H912" s="28">
        <f t="shared" ca="1" si="68"/>
        <v>20300</v>
      </c>
    </row>
    <row r="913" spans="2:8">
      <c r="B913" s="23">
        <f t="shared" ref="B913:B976" ca="1" si="70">RAND()</f>
        <v>0.35687558575789369</v>
      </c>
      <c r="C913" s="23">
        <f t="shared" ca="1" si="69"/>
        <v>251</v>
      </c>
      <c r="D913" s="23">
        <f t="shared" ref="D913:D976" si="71">$B$9</f>
        <v>290</v>
      </c>
      <c r="E913" s="23">
        <f t="shared" ref="E913:E976" ca="1" si="72">_xlfn.FLOOR.MATH(MIN(C913,D913))</f>
        <v>251</v>
      </c>
      <c r="F913" s="27">
        <v>65</v>
      </c>
      <c r="G913" s="27">
        <v>135</v>
      </c>
      <c r="H913" s="28">
        <f t="shared" ref="H913:H976" ca="1" si="73">E913*G913-D913*F913</f>
        <v>15035</v>
      </c>
    </row>
    <row r="914" spans="2:8">
      <c r="B914" s="23">
        <f t="shared" ca="1" si="70"/>
        <v>0.94695259095439777</v>
      </c>
      <c r="C914" s="23">
        <f t="shared" ref="C914:C977" ca="1" si="74">_xlfn.FLOOR.MATH(_xlfn.NORM.INV(B914,$B$6,$B$7))</f>
        <v>461</v>
      </c>
      <c r="D914" s="23">
        <f t="shared" si="71"/>
        <v>290</v>
      </c>
      <c r="E914" s="23">
        <f t="shared" ca="1" si="72"/>
        <v>290</v>
      </c>
      <c r="F914" s="27">
        <v>65</v>
      </c>
      <c r="G914" s="27">
        <v>135</v>
      </c>
      <c r="H914" s="28">
        <f t="shared" ca="1" si="73"/>
        <v>20300</v>
      </c>
    </row>
    <row r="915" spans="2:8">
      <c r="B915" s="23">
        <f t="shared" ca="1" si="70"/>
        <v>0.71107382563613686</v>
      </c>
      <c r="C915" s="23">
        <f t="shared" ca="1" si="74"/>
        <v>349</v>
      </c>
      <c r="D915" s="23">
        <f t="shared" si="71"/>
        <v>290</v>
      </c>
      <c r="E915" s="23">
        <f t="shared" ca="1" si="72"/>
        <v>290</v>
      </c>
      <c r="F915" s="27">
        <v>65</v>
      </c>
      <c r="G915" s="27">
        <v>135</v>
      </c>
      <c r="H915" s="28">
        <f t="shared" ca="1" si="73"/>
        <v>20300</v>
      </c>
    </row>
    <row r="916" spans="2:8">
      <c r="B916" s="23">
        <f t="shared" ca="1" si="70"/>
        <v>0.64612463417508081</v>
      </c>
      <c r="C916" s="23">
        <f t="shared" ca="1" si="74"/>
        <v>329</v>
      </c>
      <c r="D916" s="23">
        <f t="shared" si="71"/>
        <v>290</v>
      </c>
      <c r="E916" s="23">
        <f t="shared" ca="1" si="72"/>
        <v>290</v>
      </c>
      <c r="F916" s="27">
        <v>65</v>
      </c>
      <c r="G916" s="27">
        <v>135</v>
      </c>
      <c r="H916" s="28">
        <f t="shared" ca="1" si="73"/>
        <v>20300</v>
      </c>
    </row>
    <row r="917" spans="2:8">
      <c r="B917" s="23">
        <f t="shared" ca="1" si="70"/>
        <v>0.44076037359875386</v>
      </c>
      <c r="C917" s="23">
        <f t="shared" ca="1" si="74"/>
        <v>274</v>
      </c>
      <c r="D917" s="23">
        <f t="shared" si="71"/>
        <v>290</v>
      </c>
      <c r="E917" s="23">
        <f t="shared" ca="1" si="72"/>
        <v>274</v>
      </c>
      <c r="F917" s="27">
        <v>65</v>
      </c>
      <c r="G917" s="27">
        <v>135</v>
      </c>
      <c r="H917" s="28">
        <f t="shared" ca="1" si="73"/>
        <v>18140</v>
      </c>
    </row>
    <row r="918" spans="2:8">
      <c r="B918" s="23">
        <f t="shared" ca="1" si="70"/>
        <v>0.18764192627118148</v>
      </c>
      <c r="C918" s="23">
        <f t="shared" ca="1" si="74"/>
        <v>196</v>
      </c>
      <c r="D918" s="23">
        <f t="shared" si="71"/>
        <v>290</v>
      </c>
      <c r="E918" s="23">
        <f t="shared" ca="1" si="72"/>
        <v>196</v>
      </c>
      <c r="F918" s="27">
        <v>65</v>
      </c>
      <c r="G918" s="27">
        <v>135</v>
      </c>
      <c r="H918" s="28">
        <f t="shared" ca="1" si="73"/>
        <v>7610</v>
      </c>
    </row>
    <row r="919" spans="2:8">
      <c r="B919" s="23">
        <f t="shared" ca="1" si="70"/>
        <v>0.42786546418547866</v>
      </c>
      <c r="C919" s="23">
        <f t="shared" ca="1" si="74"/>
        <v>270</v>
      </c>
      <c r="D919" s="23">
        <f t="shared" si="71"/>
        <v>290</v>
      </c>
      <c r="E919" s="23">
        <f t="shared" ca="1" si="72"/>
        <v>270</v>
      </c>
      <c r="F919" s="27">
        <v>65</v>
      </c>
      <c r="G919" s="27">
        <v>135</v>
      </c>
      <c r="H919" s="28">
        <f t="shared" ca="1" si="73"/>
        <v>17600</v>
      </c>
    </row>
    <row r="920" spans="2:8">
      <c r="B920" s="23">
        <f t="shared" ca="1" si="70"/>
        <v>5.6618450686238164E-2</v>
      </c>
      <c r="C920" s="23">
        <f t="shared" ca="1" si="74"/>
        <v>122</v>
      </c>
      <c r="D920" s="23">
        <f t="shared" si="71"/>
        <v>290</v>
      </c>
      <c r="E920" s="23">
        <f t="shared" ca="1" si="72"/>
        <v>122</v>
      </c>
      <c r="F920" s="27">
        <v>65</v>
      </c>
      <c r="G920" s="27">
        <v>135</v>
      </c>
      <c r="H920" s="28">
        <f t="shared" ca="1" si="73"/>
        <v>-2380</v>
      </c>
    </row>
    <row r="921" spans="2:8">
      <c r="B921" s="23">
        <f t="shared" ca="1" si="70"/>
        <v>0.17725501993462178</v>
      </c>
      <c r="C921" s="23">
        <f t="shared" ca="1" si="74"/>
        <v>191</v>
      </c>
      <c r="D921" s="23">
        <f t="shared" si="71"/>
        <v>290</v>
      </c>
      <c r="E921" s="23">
        <f t="shared" ca="1" si="72"/>
        <v>191</v>
      </c>
      <c r="F921" s="27">
        <v>65</v>
      </c>
      <c r="G921" s="27">
        <v>135</v>
      </c>
      <c r="H921" s="28">
        <f t="shared" ca="1" si="73"/>
        <v>6935</v>
      </c>
    </row>
    <row r="922" spans="2:8">
      <c r="B922" s="23">
        <f t="shared" ca="1" si="70"/>
        <v>0.21232367909407945</v>
      </c>
      <c r="C922" s="23">
        <f t="shared" ca="1" si="74"/>
        <v>205</v>
      </c>
      <c r="D922" s="23">
        <f t="shared" si="71"/>
        <v>290</v>
      </c>
      <c r="E922" s="23">
        <f t="shared" ca="1" si="72"/>
        <v>205</v>
      </c>
      <c r="F922" s="27">
        <v>65</v>
      </c>
      <c r="G922" s="27">
        <v>135</v>
      </c>
      <c r="H922" s="28">
        <f t="shared" ca="1" si="73"/>
        <v>8825</v>
      </c>
    </row>
    <row r="923" spans="2:8">
      <c r="B923" s="23">
        <f t="shared" ca="1" si="70"/>
        <v>0.64934834112845397</v>
      </c>
      <c r="C923" s="23">
        <f t="shared" ca="1" si="74"/>
        <v>330</v>
      </c>
      <c r="D923" s="23">
        <f t="shared" si="71"/>
        <v>290</v>
      </c>
      <c r="E923" s="23">
        <f t="shared" ca="1" si="72"/>
        <v>290</v>
      </c>
      <c r="F923" s="27">
        <v>65</v>
      </c>
      <c r="G923" s="27">
        <v>135</v>
      </c>
      <c r="H923" s="28">
        <f t="shared" ca="1" si="73"/>
        <v>20300</v>
      </c>
    </row>
    <row r="924" spans="2:8">
      <c r="B924" s="23">
        <f t="shared" ca="1" si="70"/>
        <v>0.95431484856596194</v>
      </c>
      <c r="C924" s="23">
        <f t="shared" ca="1" si="74"/>
        <v>468</v>
      </c>
      <c r="D924" s="23">
        <f t="shared" si="71"/>
        <v>290</v>
      </c>
      <c r="E924" s="23">
        <f t="shared" ca="1" si="72"/>
        <v>290</v>
      </c>
      <c r="F924" s="27">
        <v>65</v>
      </c>
      <c r="G924" s="27">
        <v>135</v>
      </c>
      <c r="H924" s="28">
        <f t="shared" ca="1" si="73"/>
        <v>20300</v>
      </c>
    </row>
    <row r="925" spans="2:8">
      <c r="B925" s="23">
        <f t="shared" ca="1" si="70"/>
        <v>0.71880568687398205</v>
      </c>
      <c r="C925" s="23">
        <f t="shared" ca="1" si="74"/>
        <v>351</v>
      </c>
      <c r="D925" s="23">
        <f t="shared" si="71"/>
        <v>290</v>
      </c>
      <c r="E925" s="23">
        <f t="shared" ca="1" si="72"/>
        <v>290</v>
      </c>
      <c r="F925" s="27">
        <v>65</v>
      </c>
      <c r="G925" s="27">
        <v>135</v>
      </c>
      <c r="H925" s="28">
        <f t="shared" ca="1" si="73"/>
        <v>20300</v>
      </c>
    </row>
    <row r="926" spans="2:8">
      <c r="B926" s="23">
        <f t="shared" ca="1" si="70"/>
        <v>0.32846854611277287</v>
      </c>
      <c r="C926" s="23">
        <f t="shared" ca="1" si="74"/>
        <v>243</v>
      </c>
      <c r="D926" s="23">
        <f t="shared" si="71"/>
        <v>290</v>
      </c>
      <c r="E926" s="23">
        <f t="shared" ca="1" si="72"/>
        <v>243</v>
      </c>
      <c r="F926" s="27">
        <v>65</v>
      </c>
      <c r="G926" s="27">
        <v>135</v>
      </c>
      <c r="H926" s="28">
        <f t="shared" ca="1" si="73"/>
        <v>13955</v>
      </c>
    </row>
    <row r="927" spans="2:8">
      <c r="B927" s="23">
        <f t="shared" ca="1" si="70"/>
        <v>0.35557828556931159</v>
      </c>
      <c r="C927" s="23">
        <f t="shared" ca="1" si="74"/>
        <v>250</v>
      </c>
      <c r="D927" s="23">
        <f t="shared" si="71"/>
        <v>290</v>
      </c>
      <c r="E927" s="23">
        <f t="shared" ca="1" si="72"/>
        <v>250</v>
      </c>
      <c r="F927" s="27">
        <v>65</v>
      </c>
      <c r="G927" s="27">
        <v>135</v>
      </c>
      <c r="H927" s="28">
        <f t="shared" ca="1" si="73"/>
        <v>14900</v>
      </c>
    </row>
    <row r="928" spans="2:8">
      <c r="B928" s="23">
        <f t="shared" ca="1" si="70"/>
        <v>0.21480542189720764</v>
      </c>
      <c r="C928" s="23">
        <f t="shared" ca="1" si="74"/>
        <v>206</v>
      </c>
      <c r="D928" s="23">
        <f t="shared" si="71"/>
        <v>290</v>
      </c>
      <c r="E928" s="23">
        <f t="shared" ca="1" si="72"/>
        <v>206</v>
      </c>
      <c r="F928" s="27">
        <v>65</v>
      </c>
      <c r="G928" s="27">
        <v>135</v>
      </c>
      <c r="H928" s="28">
        <f t="shared" ca="1" si="73"/>
        <v>8960</v>
      </c>
    </row>
    <row r="929" spans="2:8">
      <c r="B929" s="23">
        <f t="shared" ca="1" si="70"/>
        <v>0.83575353655457507</v>
      </c>
      <c r="C929" s="23">
        <f t="shared" ca="1" si="74"/>
        <v>393</v>
      </c>
      <c r="D929" s="23">
        <f t="shared" si="71"/>
        <v>290</v>
      </c>
      <c r="E929" s="23">
        <f t="shared" ca="1" si="72"/>
        <v>290</v>
      </c>
      <c r="F929" s="27">
        <v>65</v>
      </c>
      <c r="G929" s="27">
        <v>135</v>
      </c>
      <c r="H929" s="28">
        <f t="shared" ca="1" si="73"/>
        <v>20300</v>
      </c>
    </row>
    <row r="930" spans="2:8">
      <c r="B930" s="23">
        <f t="shared" ca="1" si="70"/>
        <v>0.30380194830586871</v>
      </c>
      <c r="C930" s="23">
        <f t="shared" ca="1" si="74"/>
        <v>235</v>
      </c>
      <c r="D930" s="23">
        <f t="shared" si="71"/>
        <v>290</v>
      </c>
      <c r="E930" s="23">
        <f t="shared" ca="1" si="72"/>
        <v>235</v>
      </c>
      <c r="F930" s="27">
        <v>65</v>
      </c>
      <c r="G930" s="27">
        <v>135</v>
      </c>
      <c r="H930" s="28">
        <f t="shared" ca="1" si="73"/>
        <v>12875</v>
      </c>
    </row>
    <row r="931" spans="2:8">
      <c r="B931" s="23">
        <f t="shared" ca="1" si="70"/>
        <v>0.40160496687765934</v>
      </c>
      <c r="C931" s="23">
        <f t="shared" ca="1" si="74"/>
        <v>263</v>
      </c>
      <c r="D931" s="23">
        <f t="shared" si="71"/>
        <v>290</v>
      </c>
      <c r="E931" s="23">
        <f t="shared" ca="1" si="72"/>
        <v>263</v>
      </c>
      <c r="F931" s="27">
        <v>65</v>
      </c>
      <c r="G931" s="27">
        <v>135</v>
      </c>
      <c r="H931" s="28">
        <f t="shared" ca="1" si="73"/>
        <v>16655</v>
      </c>
    </row>
    <row r="932" spans="2:8">
      <c r="B932" s="23">
        <f t="shared" ca="1" si="70"/>
        <v>0.49536946687151817</v>
      </c>
      <c r="C932" s="23">
        <f t="shared" ca="1" si="74"/>
        <v>288</v>
      </c>
      <c r="D932" s="23">
        <f t="shared" si="71"/>
        <v>290</v>
      </c>
      <c r="E932" s="23">
        <f t="shared" ca="1" si="72"/>
        <v>288</v>
      </c>
      <c r="F932" s="27">
        <v>65</v>
      </c>
      <c r="G932" s="27">
        <v>135</v>
      </c>
      <c r="H932" s="28">
        <f t="shared" ca="1" si="73"/>
        <v>20030</v>
      </c>
    </row>
    <row r="933" spans="2:8">
      <c r="B933" s="23">
        <f t="shared" ca="1" si="70"/>
        <v>0.53038316399454222</v>
      </c>
      <c r="C933" s="23">
        <f t="shared" ca="1" si="74"/>
        <v>298</v>
      </c>
      <c r="D933" s="23">
        <f t="shared" si="71"/>
        <v>290</v>
      </c>
      <c r="E933" s="23">
        <f t="shared" ca="1" si="72"/>
        <v>290</v>
      </c>
      <c r="F933" s="27">
        <v>65</v>
      </c>
      <c r="G933" s="27">
        <v>135</v>
      </c>
      <c r="H933" s="28">
        <f t="shared" ca="1" si="73"/>
        <v>20300</v>
      </c>
    </row>
    <row r="934" spans="2:8">
      <c r="B934" s="23">
        <f t="shared" ca="1" si="70"/>
        <v>0.4098115751031205</v>
      </c>
      <c r="C934" s="23">
        <f t="shared" ca="1" si="74"/>
        <v>265</v>
      </c>
      <c r="D934" s="23">
        <f t="shared" si="71"/>
        <v>290</v>
      </c>
      <c r="E934" s="23">
        <f t="shared" ca="1" si="72"/>
        <v>265</v>
      </c>
      <c r="F934" s="27">
        <v>65</v>
      </c>
      <c r="G934" s="27">
        <v>135</v>
      </c>
      <c r="H934" s="28">
        <f t="shared" ca="1" si="73"/>
        <v>16925</v>
      </c>
    </row>
    <row r="935" spans="2:8">
      <c r="B935" s="23">
        <f t="shared" ca="1" si="70"/>
        <v>0.32092501713713273</v>
      </c>
      <c r="C935" s="23">
        <f t="shared" ca="1" si="74"/>
        <v>240</v>
      </c>
      <c r="D935" s="23">
        <f t="shared" si="71"/>
        <v>290</v>
      </c>
      <c r="E935" s="23">
        <f t="shared" ca="1" si="72"/>
        <v>240</v>
      </c>
      <c r="F935" s="27">
        <v>65</v>
      </c>
      <c r="G935" s="27">
        <v>135</v>
      </c>
      <c r="H935" s="28">
        <f t="shared" ca="1" si="73"/>
        <v>13550</v>
      </c>
    </row>
    <row r="936" spans="2:8">
      <c r="B936" s="23">
        <f t="shared" ca="1" si="70"/>
        <v>0.27565052452365657</v>
      </c>
      <c r="C936" s="23">
        <f t="shared" ca="1" si="74"/>
        <v>226</v>
      </c>
      <c r="D936" s="23">
        <f t="shared" si="71"/>
        <v>290</v>
      </c>
      <c r="E936" s="23">
        <f t="shared" ca="1" si="72"/>
        <v>226</v>
      </c>
      <c r="F936" s="27">
        <v>65</v>
      </c>
      <c r="G936" s="27">
        <v>135</v>
      </c>
      <c r="H936" s="28">
        <f t="shared" ca="1" si="73"/>
        <v>11660</v>
      </c>
    </row>
    <row r="937" spans="2:8">
      <c r="B937" s="23">
        <f t="shared" ca="1" si="70"/>
        <v>0.86124340536959831</v>
      </c>
      <c r="C937" s="23">
        <f t="shared" ca="1" si="74"/>
        <v>405</v>
      </c>
      <c r="D937" s="23">
        <f t="shared" si="71"/>
        <v>290</v>
      </c>
      <c r="E937" s="23">
        <f t="shared" ca="1" si="72"/>
        <v>290</v>
      </c>
      <c r="F937" s="27">
        <v>65</v>
      </c>
      <c r="G937" s="27">
        <v>135</v>
      </c>
      <c r="H937" s="28">
        <f t="shared" ca="1" si="73"/>
        <v>20300</v>
      </c>
    </row>
    <row r="938" spans="2:8">
      <c r="B938" s="23">
        <f t="shared" ca="1" si="70"/>
        <v>0.9586873716342732</v>
      </c>
      <c r="C938" s="23">
        <f t="shared" ca="1" si="74"/>
        <v>474</v>
      </c>
      <c r="D938" s="23">
        <f t="shared" si="71"/>
        <v>290</v>
      </c>
      <c r="E938" s="23">
        <f t="shared" ca="1" si="72"/>
        <v>290</v>
      </c>
      <c r="F938" s="27">
        <v>65</v>
      </c>
      <c r="G938" s="27">
        <v>135</v>
      </c>
      <c r="H938" s="28">
        <f t="shared" ca="1" si="73"/>
        <v>20300</v>
      </c>
    </row>
    <row r="939" spans="2:8">
      <c r="B939" s="23">
        <f t="shared" ca="1" si="70"/>
        <v>0.89363564085038227</v>
      </c>
      <c r="C939" s="23">
        <f t="shared" ca="1" si="74"/>
        <v>422</v>
      </c>
      <c r="D939" s="23">
        <f t="shared" si="71"/>
        <v>290</v>
      </c>
      <c r="E939" s="23">
        <f t="shared" ca="1" si="72"/>
        <v>290</v>
      </c>
      <c r="F939" s="27">
        <v>65</v>
      </c>
      <c r="G939" s="27">
        <v>135</v>
      </c>
      <c r="H939" s="28">
        <f t="shared" ca="1" si="73"/>
        <v>20300</v>
      </c>
    </row>
    <row r="940" spans="2:8">
      <c r="B940" s="23">
        <f t="shared" ca="1" si="70"/>
        <v>0.11607783617522272</v>
      </c>
      <c r="C940" s="23">
        <f t="shared" ca="1" si="74"/>
        <v>163</v>
      </c>
      <c r="D940" s="23">
        <f t="shared" si="71"/>
        <v>290</v>
      </c>
      <c r="E940" s="23">
        <f t="shared" ca="1" si="72"/>
        <v>163</v>
      </c>
      <c r="F940" s="27">
        <v>65</v>
      </c>
      <c r="G940" s="27">
        <v>135</v>
      </c>
      <c r="H940" s="28">
        <f t="shared" ca="1" si="73"/>
        <v>3155</v>
      </c>
    </row>
    <row r="941" spans="2:8">
      <c r="B941" s="23">
        <f t="shared" ca="1" si="70"/>
        <v>0.96724719273632931</v>
      </c>
      <c r="C941" s="23">
        <f t="shared" ca="1" si="74"/>
        <v>485</v>
      </c>
      <c r="D941" s="23">
        <f t="shared" si="71"/>
        <v>290</v>
      </c>
      <c r="E941" s="23">
        <f t="shared" ca="1" si="72"/>
        <v>290</v>
      </c>
      <c r="F941" s="27">
        <v>65</v>
      </c>
      <c r="G941" s="27">
        <v>135</v>
      </c>
      <c r="H941" s="28">
        <f t="shared" ca="1" si="73"/>
        <v>20300</v>
      </c>
    </row>
    <row r="942" spans="2:8">
      <c r="B942" s="23">
        <f t="shared" ca="1" si="70"/>
        <v>0.56590839987460895</v>
      </c>
      <c r="C942" s="23">
        <f t="shared" ca="1" si="74"/>
        <v>307</v>
      </c>
      <c r="D942" s="23">
        <f t="shared" si="71"/>
        <v>290</v>
      </c>
      <c r="E942" s="23">
        <f t="shared" ca="1" si="72"/>
        <v>290</v>
      </c>
      <c r="F942" s="27">
        <v>65</v>
      </c>
      <c r="G942" s="27">
        <v>135</v>
      </c>
      <c r="H942" s="28">
        <f t="shared" ca="1" si="73"/>
        <v>20300</v>
      </c>
    </row>
    <row r="943" spans="2:8">
      <c r="B943" s="23">
        <f t="shared" ca="1" si="70"/>
        <v>0.68826197469705319</v>
      </c>
      <c r="C943" s="23">
        <f t="shared" ca="1" si="74"/>
        <v>342</v>
      </c>
      <c r="D943" s="23">
        <f t="shared" si="71"/>
        <v>290</v>
      </c>
      <c r="E943" s="23">
        <f t="shared" ca="1" si="72"/>
        <v>290</v>
      </c>
      <c r="F943" s="27">
        <v>65</v>
      </c>
      <c r="G943" s="27">
        <v>135</v>
      </c>
      <c r="H943" s="28">
        <f t="shared" ca="1" si="73"/>
        <v>20300</v>
      </c>
    </row>
    <row r="944" spans="2:8">
      <c r="B944" s="23">
        <f t="shared" ca="1" si="70"/>
        <v>0.89808097189144676</v>
      </c>
      <c r="C944" s="23">
        <f t="shared" ca="1" si="74"/>
        <v>424</v>
      </c>
      <c r="D944" s="23">
        <f t="shared" si="71"/>
        <v>290</v>
      </c>
      <c r="E944" s="23">
        <f t="shared" ca="1" si="72"/>
        <v>290</v>
      </c>
      <c r="F944" s="27">
        <v>65</v>
      </c>
      <c r="G944" s="27">
        <v>135</v>
      </c>
      <c r="H944" s="28">
        <f t="shared" ca="1" si="73"/>
        <v>20300</v>
      </c>
    </row>
    <row r="945" spans="2:8">
      <c r="B945" s="23">
        <f t="shared" ca="1" si="70"/>
        <v>0.39128198084139898</v>
      </c>
      <c r="C945" s="23">
        <f t="shared" ca="1" si="74"/>
        <v>260</v>
      </c>
      <c r="D945" s="23">
        <f t="shared" si="71"/>
        <v>290</v>
      </c>
      <c r="E945" s="23">
        <f t="shared" ca="1" si="72"/>
        <v>260</v>
      </c>
      <c r="F945" s="27">
        <v>65</v>
      </c>
      <c r="G945" s="27">
        <v>135</v>
      </c>
      <c r="H945" s="28">
        <f t="shared" ca="1" si="73"/>
        <v>16250</v>
      </c>
    </row>
    <row r="946" spans="2:8">
      <c r="B946" s="23">
        <f t="shared" ca="1" si="70"/>
        <v>0.15355039596612829</v>
      </c>
      <c r="C946" s="23">
        <f t="shared" ca="1" si="74"/>
        <v>181</v>
      </c>
      <c r="D946" s="23">
        <f t="shared" si="71"/>
        <v>290</v>
      </c>
      <c r="E946" s="23">
        <f t="shared" ca="1" si="72"/>
        <v>181</v>
      </c>
      <c r="F946" s="27">
        <v>65</v>
      </c>
      <c r="G946" s="27">
        <v>135</v>
      </c>
      <c r="H946" s="28">
        <f t="shared" ca="1" si="73"/>
        <v>5585</v>
      </c>
    </row>
    <row r="947" spans="2:8">
      <c r="B947" s="23">
        <f t="shared" ca="1" si="70"/>
        <v>0.66375433671966677</v>
      </c>
      <c r="C947" s="23">
        <f t="shared" ca="1" si="74"/>
        <v>334</v>
      </c>
      <c r="D947" s="23">
        <f t="shared" si="71"/>
        <v>290</v>
      </c>
      <c r="E947" s="23">
        <f t="shared" ca="1" si="72"/>
        <v>290</v>
      </c>
      <c r="F947" s="27">
        <v>65</v>
      </c>
      <c r="G947" s="27">
        <v>135</v>
      </c>
      <c r="H947" s="28">
        <f t="shared" ca="1" si="73"/>
        <v>20300</v>
      </c>
    </row>
    <row r="948" spans="2:8">
      <c r="B948" s="23">
        <f t="shared" ca="1" si="70"/>
        <v>7.6899910235392888E-3</v>
      </c>
      <c r="C948" s="23">
        <f t="shared" ca="1" si="74"/>
        <v>33</v>
      </c>
      <c r="D948" s="23">
        <f t="shared" si="71"/>
        <v>290</v>
      </c>
      <c r="E948" s="23">
        <f t="shared" ca="1" si="72"/>
        <v>33</v>
      </c>
      <c r="F948" s="27">
        <v>65</v>
      </c>
      <c r="G948" s="27">
        <v>135</v>
      </c>
      <c r="H948" s="28">
        <f t="shared" ca="1" si="73"/>
        <v>-14395</v>
      </c>
    </row>
    <row r="949" spans="2:8">
      <c r="B949" s="23">
        <f t="shared" ca="1" si="70"/>
        <v>0.98423985214507648</v>
      </c>
      <c r="C949" s="23">
        <f t="shared" ca="1" si="74"/>
        <v>517</v>
      </c>
      <c r="D949" s="23">
        <f t="shared" si="71"/>
        <v>290</v>
      </c>
      <c r="E949" s="23">
        <f t="shared" ca="1" si="72"/>
        <v>290</v>
      </c>
      <c r="F949" s="27">
        <v>65</v>
      </c>
      <c r="G949" s="27">
        <v>135</v>
      </c>
      <c r="H949" s="28">
        <f t="shared" ca="1" si="73"/>
        <v>20300</v>
      </c>
    </row>
    <row r="950" spans="2:8">
      <c r="B950" s="23">
        <f t="shared" ca="1" si="70"/>
        <v>0.32384923591426529</v>
      </c>
      <c r="C950" s="23">
        <f t="shared" ca="1" si="74"/>
        <v>241</v>
      </c>
      <c r="D950" s="23">
        <f t="shared" si="71"/>
        <v>290</v>
      </c>
      <c r="E950" s="23">
        <f t="shared" ca="1" si="72"/>
        <v>241</v>
      </c>
      <c r="F950" s="27">
        <v>65</v>
      </c>
      <c r="G950" s="27">
        <v>135</v>
      </c>
      <c r="H950" s="28">
        <f t="shared" ca="1" si="73"/>
        <v>13685</v>
      </c>
    </row>
    <row r="951" spans="2:8">
      <c r="B951" s="23">
        <f t="shared" ca="1" si="70"/>
        <v>0.85638945970196101</v>
      </c>
      <c r="C951" s="23">
        <f t="shared" ca="1" si="74"/>
        <v>402</v>
      </c>
      <c r="D951" s="23">
        <f t="shared" si="71"/>
        <v>290</v>
      </c>
      <c r="E951" s="23">
        <f t="shared" ca="1" si="72"/>
        <v>290</v>
      </c>
      <c r="F951" s="27">
        <v>65</v>
      </c>
      <c r="G951" s="27">
        <v>135</v>
      </c>
      <c r="H951" s="28">
        <f t="shared" ca="1" si="73"/>
        <v>20300</v>
      </c>
    </row>
    <row r="952" spans="2:8">
      <c r="B952" s="23">
        <f t="shared" ca="1" si="70"/>
        <v>0.54917877317285246</v>
      </c>
      <c r="C952" s="23">
        <f t="shared" ca="1" si="74"/>
        <v>303</v>
      </c>
      <c r="D952" s="23">
        <f t="shared" si="71"/>
        <v>290</v>
      </c>
      <c r="E952" s="23">
        <f t="shared" ca="1" si="72"/>
        <v>290</v>
      </c>
      <c r="F952" s="27">
        <v>65</v>
      </c>
      <c r="G952" s="27">
        <v>135</v>
      </c>
      <c r="H952" s="28">
        <f t="shared" ca="1" si="73"/>
        <v>20300</v>
      </c>
    </row>
    <row r="953" spans="2:8">
      <c r="B953" s="23">
        <f t="shared" ca="1" si="70"/>
        <v>0.34125641961462594</v>
      </c>
      <c r="C953" s="23">
        <f t="shared" ca="1" si="74"/>
        <v>246</v>
      </c>
      <c r="D953" s="23">
        <f t="shared" si="71"/>
        <v>290</v>
      </c>
      <c r="E953" s="23">
        <f t="shared" ca="1" si="72"/>
        <v>246</v>
      </c>
      <c r="F953" s="27">
        <v>65</v>
      </c>
      <c r="G953" s="27">
        <v>135</v>
      </c>
      <c r="H953" s="28">
        <f t="shared" ca="1" si="73"/>
        <v>14360</v>
      </c>
    </row>
    <row r="954" spans="2:8">
      <c r="B954" s="23">
        <f t="shared" ca="1" si="70"/>
        <v>0.34593820673615838</v>
      </c>
      <c r="C954" s="23">
        <f t="shared" ca="1" si="74"/>
        <v>248</v>
      </c>
      <c r="D954" s="23">
        <f t="shared" si="71"/>
        <v>290</v>
      </c>
      <c r="E954" s="23">
        <f t="shared" ca="1" si="72"/>
        <v>248</v>
      </c>
      <c r="F954" s="27">
        <v>65</v>
      </c>
      <c r="G954" s="27">
        <v>135</v>
      </c>
      <c r="H954" s="28">
        <f t="shared" ca="1" si="73"/>
        <v>14630</v>
      </c>
    </row>
    <row r="955" spans="2:8">
      <c r="B955" s="23">
        <f t="shared" ca="1" si="70"/>
        <v>0.66479849374610001</v>
      </c>
      <c r="C955" s="23">
        <f t="shared" ca="1" si="74"/>
        <v>335</v>
      </c>
      <c r="D955" s="23">
        <f t="shared" si="71"/>
        <v>290</v>
      </c>
      <c r="E955" s="23">
        <f t="shared" ca="1" si="72"/>
        <v>290</v>
      </c>
      <c r="F955" s="27">
        <v>65</v>
      </c>
      <c r="G955" s="27">
        <v>135</v>
      </c>
      <c r="H955" s="28">
        <f t="shared" ca="1" si="73"/>
        <v>20300</v>
      </c>
    </row>
    <row r="956" spans="2:8">
      <c r="B956" s="23">
        <f t="shared" ca="1" si="70"/>
        <v>0.57205416595621106</v>
      </c>
      <c r="C956" s="23">
        <f t="shared" ca="1" si="74"/>
        <v>309</v>
      </c>
      <c r="D956" s="23">
        <f t="shared" si="71"/>
        <v>290</v>
      </c>
      <c r="E956" s="23">
        <f t="shared" ca="1" si="72"/>
        <v>290</v>
      </c>
      <c r="F956" s="27">
        <v>65</v>
      </c>
      <c r="G956" s="27">
        <v>135</v>
      </c>
      <c r="H956" s="28">
        <f t="shared" ca="1" si="73"/>
        <v>20300</v>
      </c>
    </row>
    <row r="957" spans="2:8">
      <c r="B957" s="23">
        <f t="shared" ca="1" si="70"/>
        <v>0.11357255483915507</v>
      </c>
      <c r="C957" s="23">
        <f t="shared" ca="1" si="74"/>
        <v>162</v>
      </c>
      <c r="D957" s="23">
        <f t="shared" si="71"/>
        <v>290</v>
      </c>
      <c r="E957" s="23">
        <f t="shared" ca="1" si="72"/>
        <v>162</v>
      </c>
      <c r="F957" s="27">
        <v>65</v>
      </c>
      <c r="G957" s="27">
        <v>135</v>
      </c>
      <c r="H957" s="28">
        <f t="shared" ca="1" si="73"/>
        <v>3020</v>
      </c>
    </row>
    <row r="958" spans="2:8">
      <c r="B958" s="23">
        <f t="shared" ca="1" si="70"/>
        <v>0.46121431070762797</v>
      </c>
      <c r="C958" s="23">
        <f t="shared" ca="1" si="74"/>
        <v>279</v>
      </c>
      <c r="D958" s="23">
        <f t="shared" si="71"/>
        <v>290</v>
      </c>
      <c r="E958" s="23">
        <f t="shared" ca="1" si="72"/>
        <v>279</v>
      </c>
      <c r="F958" s="27">
        <v>65</v>
      </c>
      <c r="G958" s="27">
        <v>135</v>
      </c>
      <c r="H958" s="28">
        <f t="shared" ca="1" si="73"/>
        <v>18815</v>
      </c>
    </row>
    <row r="959" spans="2:8">
      <c r="B959" s="23">
        <f t="shared" ca="1" si="70"/>
        <v>0.62424156979756129</v>
      </c>
      <c r="C959" s="23">
        <f t="shared" ca="1" si="74"/>
        <v>323</v>
      </c>
      <c r="D959" s="23">
        <f t="shared" si="71"/>
        <v>290</v>
      </c>
      <c r="E959" s="23">
        <f t="shared" ca="1" si="72"/>
        <v>290</v>
      </c>
      <c r="F959" s="27">
        <v>65</v>
      </c>
      <c r="G959" s="27">
        <v>135</v>
      </c>
      <c r="H959" s="28">
        <f t="shared" ca="1" si="73"/>
        <v>20300</v>
      </c>
    </row>
    <row r="960" spans="2:8">
      <c r="B960" s="23">
        <f t="shared" ca="1" si="70"/>
        <v>0.59712841333970124</v>
      </c>
      <c r="C960" s="23">
        <f t="shared" ca="1" si="74"/>
        <v>316</v>
      </c>
      <c r="D960" s="23">
        <f t="shared" si="71"/>
        <v>290</v>
      </c>
      <c r="E960" s="23">
        <f t="shared" ca="1" si="72"/>
        <v>290</v>
      </c>
      <c r="F960" s="27">
        <v>65</v>
      </c>
      <c r="G960" s="27">
        <v>135</v>
      </c>
      <c r="H960" s="28">
        <f t="shared" ca="1" si="73"/>
        <v>20300</v>
      </c>
    </row>
    <row r="961" spans="2:8">
      <c r="B961" s="23">
        <f t="shared" ca="1" si="70"/>
        <v>0.63090165209228788</v>
      </c>
      <c r="C961" s="23">
        <f t="shared" ca="1" si="74"/>
        <v>325</v>
      </c>
      <c r="D961" s="23">
        <f t="shared" si="71"/>
        <v>290</v>
      </c>
      <c r="E961" s="23">
        <f t="shared" ca="1" si="72"/>
        <v>290</v>
      </c>
      <c r="F961" s="27">
        <v>65</v>
      </c>
      <c r="G961" s="27">
        <v>135</v>
      </c>
      <c r="H961" s="28">
        <f t="shared" ca="1" si="73"/>
        <v>20300</v>
      </c>
    </row>
    <row r="962" spans="2:8">
      <c r="B962" s="23">
        <f t="shared" ca="1" si="70"/>
        <v>2.4121931755815007E-2</v>
      </c>
      <c r="C962" s="23">
        <f t="shared" ca="1" si="74"/>
        <v>80</v>
      </c>
      <c r="D962" s="23">
        <f t="shared" si="71"/>
        <v>290</v>
      </c>
      <c r="E962" s="23">
        <f t="shared" ca="1" si="72"/>
        <v>80</v>
      </c>
      <c r="F962" s="27">
        <v>65</v>
      </c>
      <c r="G962" s="27">
        <v>135</v>
      </c>
      <c r="H962" s="28">
        <f t="shared" ca="1" si="73"/>
        <v>-8050</v>
      </c>
    </row>
    <row r="963" spans="2:8">
      <c r="B963" s="23">
        <f t="shared" ca="1" si="70"/>
        <v>0.94148128132211728</v>
      </c>
      <c r="C963" s="23">
        <f t="shared" ca="1" si="74"/>
        <v>456</v>
      </c>
      <c r="D963" s="23">
        <f t="shared" si="71"/>
        <v>290</v>
      </c>
      <c r="E963" s="23">
        <f t="shared" ca="1" si="72"/>
        <v>290</v>
      </c>
      <c r="F963" s="27">
        <v>65</v>
      </c>
      <c r="G963" s="27">
        <v>135</v>
      </c>
      <c r="H963" s="28">
        <f t="shared" ca="1" si="73"/>
        <v>20300</v>
      </c>
    </row>
    <row r="964" spans="2:8">
      <c r="B964" s="23">
        <f t="shared" ca="1" si="70"/>
        <v>0.44979907264748087</v>
      </c>
      <c r="C964" s="23">
        <f t="shared" ca="1" si="74"/>
        <v>276</v>
      </c>
      <c r="D964" s="23">
        <f t="shared" si="71"/>
        <v>290</v>
      </c>
      <c r="E964" s="23">
        <f t="shared" ca="1" si="72"/>
        <v>276</v>
      </c>
      <c r="F964" s="27">
        <v>65</v>
      </c>
      <c r="G964" s="27">
        <v>135</v>
      </c>
      <c r="H964" s="28">
        <f t="shared" ca="1" si="73"/>
        <v>18410</v>
      </c>
    </row>
    <row r="965" spans="2:8">
      <c r="B965" s="23">
        <f t="shared" ca="1" si="70"/>
        <v>8.3744170857576794E-2</v>
      </c>
      <c r="C965" s="23">
        <f t="shared" ca="1" si="74"/>
        <v>143</v>
      </c>
      <c r="D965" s="23">
        <f t="shared" si="71"/>
        <v>290</v>
      </c>
      <c r="E965" s="23">
        <f t="shared" ca="1" si="72"/>
        <v>143</v>
      </c>
      <c r="F965" s="27">
        <v>65</v>
      </c>
      <c r="G965" s="27">
        <v>135</v>
      </c>
      <c r="H965" s="28">
        <f t="shared" ca="1" si="73"/>
        <v>455</v>
      </c>
    </row>
    <row r="966" spans="2:8">
      <c r="B966" s="23">
        <f t="shared" ca="1" si="70"/>
        <v>0.35966698769229788</v>
      </c>
      <c r="C966" s="23">
        <f t="shared" ca="1" si="74"/>
        <v>251</v>
      </c>
      <c r="D966" s="23">
        <f t="shared" si="71"/>
        <v>290</v>
      </c>
      <c r="E966" s="23">
        <f t="shared" ca="1" si="72"/>
        <v>251</v>
      </c>
      <c r="F966" s="27">
        <v>65</v>
      </c>
      <c r="G966" s="27">
        <v>135</v>
      </c>
      <c r="H966" s="28">
        <f t="shared" ca="1" si="73"/>
        <v>15035</v>
      </c>
    </row>
    <row r="967" spans="2:8">
      <c r="B967" s="23">
        <f t="shared" ca="1" si="70"/>
        <v>0.36744997551963177</v>
      </c>
      <c r="C967" s="23">
        <f t="shared" ca="1" si="74"/>
        <v>254</v>
      </c>
      <c r="D967" s="23">
        <f t="shared" si="71"/>
        <v>290</v>
      </c>
      <c r="E967" s="23">
        <f t="shared" ca="1" si="72"/>
        <v>254</v>
      </c>
      <c r="F967" s="27">
        <v>65</v>
      </c>
      <c r="G967" s="27">
        <v>135</v>
      </c>
      <c r="H967" s="28">
        <f t="shared" ca="1" si="73"/>
        <v>15440</v>
      </c>
    </row>
    <row r="968" spans="2:8">
      <c r="B968" s="23">
        <f t="shared" ca="1" si="70"/>
        <v>0.33381013474459997</v>
      </c>
      <c r="C968" s="23">
        <f t="shared" ca="1" si="74"/>
        <v>244</v>
      </c>
      <c r="D968" s="23">
        <f t="shared" si="71"/>
        <v>290</v>
      </c>
      <c r="E968" s="23">
        <f t="shared" ca="1" si="72"/>
        <v>244</v>
      </c>
      <c r="F968" s="27">
        <v>65</v>
      </c>
      <c r="G968" s="27">
        <v>135</v>
      </c>
      <c r="H968" s="28">
        <f t="shared" ca="1" si="73"/>
        <v>14090</v>
      </c>
    </row>
    <row r="969" spans="2:8">
      <c r="B969" s="23">
        <f t="shared" ca="1" si="70"/>
        <v>0.51559231003842487</v>
      </c>
      <c r="C969" s="23">
        <f t="shared" ca="1" si="74"/>
        <v>294</v>
      </c>
      <c r="D969" s="23">
        <f t="shared" si="71"/>
        <v>290</v>
      </c>
      <c r="E969" s="23">
        <f t="shared" ca="1" si="72"/>
        <v>290</v>
      </c>
      <c r="F969" s="27">
        <v>65</v>
      </c>
      <c r="G969" s="27">
        <v>135</v>
      </c>
      <c r="H969" s="28">
        <f t="shared" ca="1" si="73"/>
        <v>20300</v>
      </c>
    </row>
    <row r="970" spans="2:8">
      <c r="B970" s="23">
        <f t="shared" ca="1" si="70"/>
        <v>0.39525192578087731</v>
      </c>
      <c r="C970" s="23">
        <f t="shared" ca="1" si="74"/>
        <v>261</v>
      </c>
      <c r="D970" s="23">
        <f t="shared" si="71"/>
        <v>290</v>
      </c>
      <c r="E970" s="23">
        <f t="shared" ca="1" si="72"/>
        <v>261</v>
      </c>
      <c r="F970" s="27">
        <v>65</v>
      </c>
      <c r="G970" s="27">
        <v>135</v>
      </c>
      <c r="H970" s="28">
        <f t="shared" ca="1" si="73"/>
        <v>16385</v>
      </c>
    </row>
    <row r="971" spans="2:8">
      <c r="B971" s="23">
        <f t="shared" ca="1" si="70"/>
        <v>0.66856829486392932</v>
      </c>
      <c r="C971" s="23">
        <f t="shared" ca="1" si="74"/>
        <v>336</v>
      </c>
      <c r="D971" s="23">
        <f t="shared" si="71"/>
        <v>290</v>
      </c>
      <c r="E971" s="23">
        <f t="shared" ca="1" si="72"/>
        <v>290</v>
      </c>
      <c r="F971" s="27">
        <v>65</v>
      </c>
      <c r="G971" s="27">
        <v>135</v>
      </c>
      <c r="H971" s="28">
        <f t="shared" ca="1" si="73"/>
        <v>20300</v>
      </c>
    </row>
    <row r="972" spans="2:8">
      <c r="B972" s="23">
        <f t="shared" ca="1" si="70"/>
        <v>0.40646703483416258</v>
      </c>
      <c r="C972" s="23">
        <f t="shared" ca="1" si="74"/>
        <v>265</v>
      </c>
      <c r="D972" s="23">
        <f t="shared" si="71"/>
        <v>290</v>
      </c>
      <c r="E972" s="23">
        <f t="shared" ca="1" si="72"/>
        <v>265</v>
      </c>
      <c r="F972" s="27">
        <v>65</v>
      </c>
      <c r="G972" s="27">
        <v>135</v>
      </c>
      <c r="H972" s="28">
        <f t="shared" ca="1" si="73"/>
        <v>16925</v>
      </c>
    </row>
    <row r="973" spans="2:8">
      <c r="B973" s="23">
        <f t="shared" ca="1" si="70"/>
        <v>0.10350437673830692</v>
      </c>
      <c r="C973" s="23">
        <f t="shared" ca="1" si="74"/>
        <v>156</v>
      </c>
      <c r="D973" s="23">
        <f t="shared" si="71"/>
        <v>290</v>
      </c>
      <c r="E973" s="23">
        <f t="shared" ca="1" si="72"/>
        <v>156</v>
      </c>
      <c r="F973" s="27">
        <v>65</v>
      </c>
      <c r="G973" s="27">
        <v>135</v>
      </c>
      <c r="H973" s="28">
        <f t="shared" ca="1" si="73"/>
        <v>2210</v>
      </c>
    </row>
    <row r="974" spans="2:8">
      <c r="B974" s="23">
        <f t="shared" ca="1" si="70"/>
        <v>0.54041543868440967</v>
      </c>
      <c r="C974" s="23">
        <f t="shared" ca="1" si="74"/>
        <v>300</v>
      </c>
      <c r="D974" s="23">
        <f t="shared" si="71"/>
        <v>290</v>
      </c>
      <c r="E974" s="23">
        <f t="shared" ca="1" si="72"/>
        <v>290</v>
      </c>
      <c r="F974" s="27">
        <v>65</v>
      </c>
      <c r="G974" s="27">
        <v>135</v>
      </c>
      <c r="H974" s="28">
        <f t="shared" ca="1" si="73"/>
        <v>20300</v>
      </c>
    </row>
    <row r="975" spans="2:8">
      <c r="B975" s="23">
        <f t="shared" ca="1" si="70"/>
        <v>0.64094620932558077</v>
      </c>
      <c r="C975" s="23">
        <f t="shared" ca="1" si="74"/>
        <v>328</v>
      </c>
      <c r="D975" s="23">
        <f t="shared" si="71"/>
        <v>290</v>
      </c>
      <c r="E975" s="23">
        <f t="shared" ca="1" si="72"/>
        <v>290</v>
      </c>
      <c r="F975" s="27">
        <v>65</v>
      </c>
      <c r="G975" s="27">
        <v>135</v>
      </c>
      <c r="H975" s="28">
        <f t="shared" ca="1" si="73"/>
        <v>20300</v>
      </c>
    </row>
    <row r="976" spans="2:8">
      <c r="B976" s="23">
        <f t="shared" ca="1" si="70"/>
        <v>0.74709877608295461</v>
      </c>
      <c r="C976" s="23">
        <f t="shared" ca="1" si="74"/>
        <v>360</v>
      </c>
      <c r="D976" s="23">
        <f t="shared" si="71"/>
        <v>290</v>
      </c>
      <c r="E976" s="23">
        <f t="shared" ca="1" si="72"/>
        <v>290</v>
      </c>
      <c r="F976" s="27">
        <v>65</v>
      </c>
      <c r="G976" s="27">
        <v>135</v>
      </c>
      <c r="H976" s="28">
        <f t="shared" ca="1" si="73"/>
        <v>20300</v>
      </c>
    </row>
    <row r="977" spans="2:8">
      <c r="B977" s="23">
        <f t="shared" ref="B977:B1000" ca="1" si="75">RAND()</f>
        <v>0.44627978502978549</v>
      </c>
      <c r="C977" s="23">
        <f t="shared" ca="1" si="74"/>
        <v>275</v>
      </c>
      <c r="D977" s="23">
        <f t="shared" ref="D977:D1000" si="76">$B$9</f>
        <v>290</v>
      </c>
      <c r="E977" s="23">
        <f t="shared" ref="E977:E1000" ca="1" si="77">_xlfn.FLOOR.MATH(MIN(C977,D977))</f>
        <v>275</v>
      </c>
      <c r="F977" s="27">
        <v>65</v>
      </c>
      <c r="G977" s="27">
        <v>135</v>
      </c>
      <c r="H977" s="28">
        <f t="shared" ref="H977:H1000" ca="1" si="78">E977*G977-D977*F977</f>
        <v>18275</v>
      </c>
    </row>
    <row r="978" spans="2:8">
      <c r="B978" s="23">
        <f t="shared" ca="1" si="75"/>
        <v>0.94613210490967392</v>
      </c>
      <c r="C978" s="23">
        <f t="shared" ref="C978:C1000" ca="1" si="79">_xlfn.FLOOR.MATH(_xlfn.NORM.INV(B978,$B$6,$B$7))</f>
        <v>460</v>
      </c>
      <c r="D978" s="23">
        <f t="shared" si="76"/>
        <v>290</v>
      </c>
      <c r="E978" s="23">
        <f t="shared" ca="1" si="77"/>
        <v>290</v>
      </c>
      <c r="F978" s="27">
        <v>65</v>
      </c>
      <c r="G978" s="27">
        <v>135</v>
      </c>
      <c r="H978" s="28">
        <f t="shared" ca="1" si="78"/>
        <v>20300</v>
      </c>
    </row>
    <row r="979" spans="2:8">
      <c r="B979" s="23">
        <f t="shared" ca="1" si="75"/>
        <v>0.9936591565549262</v>
      </c>
      <c r="C979" s="23">
        <f t="shared" ca="1" si="79"/>
        <v>554</v>
      </c>
      <c r="D979" s="23">
        <f t="shared" si="76"/>
        <v>290</v>
      </c>
      <c r="E979" s="23">
        <f t="shared" ca="1" si="77"/>
        <v>290</v>
      </c>
      <c r="F979" s="27">
        <v>65</v>
      </c>
      <c r="G979" s="27">
        <v>135</v>
      </c>
      <c r="H979" s="28">
        <f t="shared" ca="1" si="78"/>
        <v>20300</v>
      </c>
    </row>
    <row r="980" spans="2:8">
      <c r="B980" s="23">
        <f t="shared" ca="1" si="75"/>
        <v>0.89875668674121079</v>
      </c>
      <c r="C980" s="23">
        <f t="shared" ca="1" si="79"/>
        <v>425</v>
      </c>
      <c r="D980" s="23">
        <f t="shared" si="76"/>
        <v>290</v>
      </c>
      <c r="E980" s="23">
        <f t="shared" ca="1" si="77"/>
        <v>290</v>
      </c>
      <c r="F980" s="27">
        <v>65</v>
      </c>
      <c r="G980" s="27">
        <v>135</v>
      </c>
      <c r="H980" s="28">
        <f t="shared" ca="1" si="78"/>
        <v>20300</v>
      </c>
    </row>
    <row r="981" spans="2:8">
      <c r="B981" s="23">
        <f t="shared" ca="1" si="75"/>
        <v>0.76679509493475306</v>
      </c>
      <c r="C981" s="23">
        <f t="shared" ca="1" si="79"/>
        <v>367</v>
      </c>
      <c r="D981" s="23">
        <f t="shared" si="76"/>
        <v>290</v>
      </c>
      <c r="E981" s="23">
        <f t="shared" ca="1" si="77"/>
        <v>290</v>
      </c>
      <c r="F981" s="27">
        <v>65</v>
      </c>
      <c r="G981" s="27">
        <v>135</v>
      </c>
      <c r="H981" s="28">
        <f t="shared" ca="1" si="78"/>
        <v>20300</v>
      </c>
    </row>
    <row r="982" spans="2:8">
      <c r="B982" s="23">
        <f t="shared" ca="1" si="75"/>
        <v>0.38557828961220186</v>
      </c>
      <c r="C982" s="23">
        <f t="shared" ca="1" si="79"/>
        <v>259</v>
      </c>
      <c r="D982" s="23">
        <f t="shared" si="76"/>
        <v>290</v>
      </c>
      <c r="E982" s="23">
        <f t="shared" ca="1" si="77"/>
        <v>259</v>
      </c>
      <c r="F982" s="27">
        <v>65</v>
      </c>
      <c r="G982" s="27">
        <v>135</v>
      </c>
      <c r="H982" s="28">
        <f t="shared" ca="1" si="78"/>
        <v>16115</v>
      </c>
    </row>
    <row r="983" spans="2:8">
      <c r="B983" s="23">
        <f t="shared" ca="1" si="75"/>
        <v>0.76432342603227799</v>
      </c>
      <c r="C983" s="23">
        <f t="shared" ca="1" si="79"/>
        <v>366</v>
      </c>
      <c r="D983" s="23">
        <f t="shared" si="76"/>
        <v>290</v>
      </c>
      <c r="E983" s="23">
        <f t="shared" ca="1" si="77"/>
        <v>290</v>
      </c>
      <c r="F983" s="27">
        <v>65</v>
      </c>
      <c r="G983" s="27">
        <v>135</v>
      </c>
      <c r="H983" s="28">
        <f t="shared" ca="1" si="78"/>
        <v>20300</v>
      </c>
    </row>
    <row r="984" spans="2:8">
      <c r="B984" s="23">
        <f t="shared" ca="1" si="75"/>
        <v>0.61929971908809123</v>
      </c>
      <c r="C984" s="23">
        <f t="shared" ca="1" si="79"/>
        <v>322</v>
      </c>
      <c r="D984" s="23">
        <f t="shared" si="76"/>
        <v>290</v>
      </c>
      <c r="E984" s="23">
        <f t="shared" ca="1" si="77"/>
        <v>290</v>
      </c>
      <c r="F984" s="27">
        <v>65</v>
      </c>
      <c r="G984" s="27">
        <v>135</v>
      </c>
      <c r="H984" s="28">
        <f t="shared" ca="1" si="78"/>
        <v>20300</v>
      </c>
    </row>
    <row r="985" spans="2:8">
      <c r="B985" s="23">
        <f t="shared" ca="1" si="75"/>
        <v>0.62789995317940672</v>
      </c>
      <c r="C985" s="23">
        <f t="shared" ca="1" si="79"/>
        <v>324</v>
      </c>
      <c r="D985" s="23">
        <f t="shared" si="76"/>
        <v>290</v>
      </c>
      <c r="E985" s="23">
        <f t="shared" ca="1" si="77"/>
        <v>290</v>
      </c>
      <c r="F985" s="27">
        <v>65</v>
      </c>
      <c r="G985" s="27">
        <v>135</v>
      </c>
      <c r="H985" s="28">
        <f t="shared" ca="1" si="78"/>
        <v>20300</v>
      </c>
    </row>
    <row r="986" spans="2:8">
      <c r="B986" s="23">
        <f t="shared" ca="1" si="75"/>
        <v>2.3849606041322247E-2</v>
      </c>
      <c r="C986" s="23">
        <f t="shared" ca="1" si="79"/>
        <v>80</v>
      </c>
      <c r="D986" s="23">
        <f t="shared" si="76"/>
        <v>290</v>
      </c>
      <c r="E986" s="23">
        <f t="shared" ca="1" si="77"/>
        <v>80</v>
      </c>
      <c r="F986" s="27">
        <v>65</v>
      </c>
      <c r="G986" s="27">
        <v>135</v>
      </c>
      <c r="H986" s="28">
        <f t="shared" ca="1" si="78"/>
        <v>-8050</v>
      </c>
    </row>
    <row r="987" spans="2:8">
      <c r="B987" s="23">
        <f t="shared" ca="1" si="75"/>
        <v>0.21186312969229926</v>
      </c>
      <c r="C987" s="23">
        <f t="shared" ca="1" si="79"/>
        <v>205</v>
      </c>
      <c r="D987" s="23">
        <f t="shared" si="76"/>
        <v>290</v>
      </c>
      <c r="E987" s="23">
        <f t="shared" ca="1" si="77"/>
        <v>205</v>
      </c>
      <c r="F987" s="27">
        <v>65</v>
      </c>
      <c r="G987" s="27">
        <v>135</v>
      </c>
      <c r="H987" s="28">
        <f t="shared" ca="1" si="78"/>
        <v>8825</v>
      </c>
    </row>
    <row r="988" spans="2:8">
      <c r="B988" s="23">
        <f t="shared" ca="1" si="75"/>
        <v>0.22152936373429089</v>
      </c>
      <c r="C988" s="23">
        <f t="shared" ca="1" si="79"/>
        <v>208</v>
      </c>
      <c r="D988" s="23">
        <f t="shared" si="76"/>
        <v>290</v>
      </c>
      <c r="E988" s="23">
        <f t="shared" ca="1" si="77"/>
        <v>208</v>
      </c>
      <c r="F988" s="27">
        <v>65</v>
      </c>
      <c r="G988" s="27">
        <v>135</v>
      </c>
      <c r="H988" s="28">
        <f t="shared" ca="1" si="78"/>
        <v>9230</v>
      </c>
    </row>
    <row r="989" spans="2:8">
      <c r="B989" s="23">
        <f t="shared" ca="1" si="75"/>
        <v>0.40273653946851495</v>
      </c>
      <c r="C989" s="23">
        <f t="shared" ca="1" si="79"/>
        <v>263</v>
      </c>
      <c r="D989" s="23">
        <f t="shared" si="76"/>
        <v>290</v>
      </c>
      <c r="E989" s="23">
        <f t="shared" ca="1" si="77"/>
        <v>263</v>
      </c>
      <c r="F989" s="27">
        <v>65</v>
      </c>
      <c r="G989" s="27">
        <v>135</v>
      </c>
      <c r="H989" s="28">
        <f t="shared" ca="1" si="78"/>
        <v>16655</v>
      </c>
    </row>
    <row r="990" spans="2:8">
      <c r="B990" s="23">
        <f t="shared" ca="1" si="75"/>
        <v>0.98912312389461454</v>
      </c>
      <c r="C990" s="23">
        <f t="shared" ca="1" si="79"/>
        <v>533</v>
      </c>
      <c r="D990" s="23">
        <f t="shared" si="76"/>
        <v>290</v>
      </c>
      <c r="E990" s="23">
        <f t="shared" ca="1" si="77"/>
        <v>290</v>
      </c>
      <c r="F990" s="27">
        <v>65</v>
      </c>
      <c r="G990" s="27">
        <v>135</v>
      </c>
      <c r="H990" s="28">
        <f t="shared" ca="1" si="78"/>
        <v>20300</v>
      </c>
    </row>
    <row r="991" spans="2:8">
      <c r="B991" s="23">
        <f t="shared" ca="1" si="75"/>
        <v>9.0903785619002919E-2</v>
      </c>
      <c r="C991" s="23">
        <f t="shared" ca="1" si="79"/>
        <v>148</v>
      </c>
      <c r="D991" s="23">
        <f t="shared" si="76"/>
        <v>290</v>
      </c>
      <c r="E991" s="23">
        <f t="shared" ca="1" si="77"/>
        <v>148</v>
      </c>
      <c r="F991" s="27">
        <v>65</v>
      </c>
      <c r="G991" s="27">
        <v>135</v>
      </c>
      <c r="H991" s="28">
        <f t="shared" ca="1" si="78"/>
        <v>1130</v>
      </c>
    </row>
    <row r="992" spans="2:8">
      <c r="B992" s="23">
        <f t="shared" ca="1" si="75"/>
        <v>0.71546332213059038</v>
      </c>
      <c r="C992" s="23">
        <f t="shared" ca="1" si="79"/>
        <v>350</v>
      </c>
      <c r="D992" s="23">
        <f t="shared" si="76"/>
        <v>290</v>
      </c>
      <c r="E992" s="23">
        <f t="shared" ca="1" si="77"/>
        <v>290</v>
      </c>
      <c r="F992" s="27">
        <v>65</v>
      </c>
      <c r="G992" s="27">
        <v>135</v>
      </c>
      <c r="H992" s="28">
        <f t="shared" ca="1" si="78"/>
        <v>20300</v>
      </c>
    </row>
    <row r="993" spans="2:8">
      <c r="B993" s="23">
        <f t="shared" ca="1" si="75"/>
        <v>0.71358172522964636</v>
      </c>
      <c r="C993" s="23">
        <f t="shared" ca="1" si="79"/>
        <v>349</v>
      </c>
      <c r="D993" s="23">
        <f t="shared" si="76"/>
        <v>290</v>
      </c>
      <c r="E993" s="23">
        <f t="shared" ca="1" si="77"/>
        <v>290</v>
      </c>
      <c r="F993" s="27">
        <v>65</v>
      </c>
      <c r="G993" s="27">
        <v>135</v>
      </c>
      <c r="H993" s="28">
        <f t="shared" ca="1" si="78"/>
        <v>20300</v>
      </c>
    </row>
    <row r="994" spans="2:8">
      <c r="B994" s="23">
        <f t="shared" ca="1" si="75"/>
        <v>0.49202272169133965</v>
      </c>
      <c r="C994" s="23">
        <f t="shared" ca="1" si="79"/>
        <v>287</v>
      </c>
      <c r="D994" s="23">
        <f t="shared" si="76"/>
        <v>290</v>
      </c>
      <c r="E994" s="23">
        <f t="shared" ca="1" si="77"/>
        <v>287</v>
      </c>
      <c r="F994" s="27">
        <v>65</v>
      </c>
      <c r="G994" s="27">
        <v>135</v>
      </c>
      <c r="H994" s="28">
        <f t="shared" ca="1" si="78"/>
        <v>19895</v>
      </c>
    </row>
    <row r="995" spans="2:8">
      <c r="B995" s="23">
        <f t="shared" ca="1" si="75"/>
        <v>0.35392272245927736</v>
      </c>
      <c r="C995" s="23">
        <f t="shared" ca="1" si="79"/>
        <v>250</v>
      </c>
      <c r="D995" s="23">
        <f t="shared" si="76"/>
        <v>290</v>
      </c>
      <c r="E995" s="23">
        <f t="shared" ca="1" si="77"/>
        <v>250</v>
      </c>
      <c r="F995" s="27">
        <v>65</v>
      </c>
      <c r="G995" s="27">
        <v>135</v>
      </c>
      <c r="H995" s="28">
        <f t="shared" ca="1" si="78"/>
        <v>14900</v>
      </c>
    </row>
    <row r="996" spans="2:8">
      <c r="B996" s="23">
        <f t="shared" ca="1" si="75"/>
        <v>0.19993126654462068</v>
      </c>
      <c r="C996" s="23">
        <f t="shared" ca="1" si="79"/>
        <v>200</v>
      </c>
      <c r="D996" s="23">
        <f t="shared" si="76"/>
        <v>290</v>
      </c>
      <c r="E996" s="23">
        <f t="shared" ca="1" si="77"/>
        <v>200</v>
      </c>
      <c r="F996" s="27">
        <v>65</v>
      </c>
      <c r="G996" s="27">
        <v>135</v>
      </c>
      <c r="H996" s="28">
        <f t="shared" ca="1" si="78"/>
        <v>8150</v>
      </c>
    </row>
    <row r="997" spans="2:8">
      <c r="B997" s="23">
        <f t="shared" ca="1" si="75"/>
        <v>0.13300212218836949</v>
      </c>
      <c r="C997" s="23">
        <f t="shared" ca="1" si="79"/>
        <v>172</v>
      </c>
      <c r="D997" s="23">
        <f t="shared" si="76"/>
        <v>290</v>
      </c>
      <c r="E997" s="23">
        <f t="shared" ca="1" si="77"/>
        <v>172</v>
      </c>
      <c r="F997" s="27">
        <v>65</v>
      </c>
      <c r="G997" s="27">
        <v>135</v>
      </c>
      <c r="H997" s="28">
        <f t="shared" ca="1" si="78"/>
        <v>4370</v>
      </c>
    </row>
    <row r="998" spans="2:8">
      <c r="B998" s="23">
        <f t="shared" ca="1" si="75"/>
        <v>0.28152205228992611</v>
      </c>
      <c r="C998" s="23">
        <f t="shared" ca="1" si="79"/>
        <v>228</v>
      </c>
      <c r="D998" s="23">
        <f t="shared" si="76"/>
        <v>290</v>
      </c>
      <c r="E998" s="23">
        <f t="shared" ca="1" si="77"/>
        <v>228</v>
      </c>
      <c r="F998" s="27">
        <v>65</v>
      </c>
      <c r="G998" s="27">
        <v>135</v>
      </c>
      <c r="H998" s="28">
        <f t="shared" ca="1" si="78"/>
        <v>11930</v>
      </c>
    </row>
    <row r="999" spans="2:8">
      <c r="B999" s="23">
        <f t="shared" ca="1" si="75"/>
        <v>0.82973517556569187</v>
      </c>
      <c r="C999" s="23">
        <f t="shared" ca="1" si="79"/>
        <v>391</v>
      </c>
      <c r="D999" s="23">
        <f t="shared" si="76"/>
        <v>290</v>
      </c>
      <c r="E999" s="23">
        <f t="shared" ca="1" si="77"/>
        <v>290</v>
      </c>
      <c r="F999" s="27">
        <v>65</v>
      </c>
      <c r="G999" s="27">
        <v>135</v>
      </c>
      <c r="H999" s="28">
        <f t="shared" ca="1" si="78"/>
        <v>20300</v>
      </c>
    </row>
    <row r="1000" spans="2:8">
      <c r="B1000" s="23">
        <f t="shared" ca="1" si="75"/>
        <v>6.1485103536769947E-2</v>
      </c>
      <c r="C1000" s="23">
        <f t="shared" ca="1" si="79"/>
        <v>126</v>
      </c>
      <c r="D1000" s="23">
        <f t="shared" si="76"/>
        <v>290</v>
      </c>
      <c r="E1000" s="23">
        <f t="shared" ca="1" si="77"/>
        <v>126</v>
      </c>
      <c r="F1000" s="27">
        <v>65</v>
      </c>
      <c r="G1000" s="27">
        <v>135</v>
      </c>
      <c r="H1000" s="28">
        <f t="shared" ca="1" si="78"/>
        <v>-1840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AEE1-3323-CC44-8132-71B52D9E9FEC}">
  <dimension ref="A1:AT1016"/>
  <sheetViews>
    <sheetView topLeftCell="A76" zoomScale="125" workbookViewId="0">
      <selection activeCell="A21" sqref="A21"/>
    </sheetView>
  </sheetViews>
  <sheetFormatPr baseColWidth="10" defaultRowHeight="15"/>
  <cols>
    <col min="1" max="1" width="19.33203125" customWidth="1"/>
    <col min="2" max="2" width="24.6640625" customWidth="1"/>
    <col min="3" max="3" width="16" customWidth="1"/>
    <col min="4" max="4" width="23.6640625" customWidth="1"/>
    <col min="5" max="5" width="22.6640625" customWidth="1"/>
    <col min="6" max="6" width="17.33203125" customWidth="1"/>
    <col min="7" max="7" width="16" customWidth="1"/>
    <col min="8" max="8" width="14.33203125" customWidth="1"/>
    <col min="9" max="9" width="16.83203125" customWidth="1"/>
    <col min="15" max="15" width="17" customWidth="1"/>
    <col min="16" max="16" width="13.1640625" customWidth="1"/>
    <col min="31" max="31" width="18.83203125" customWidth="1"/>
  </cols>
  <sheetData>
    <row r="1" spans="1:46">
      <c r="A1" s="34" t="s">
        <v>51</v>
      </c>
      <c r="B1" s="35">
        <v>95</v>
      </c>
    </row>
    <row r="2" spans="1:46">
      <c r="A2" s="34" t="s">
        <v>45</v>
      </c>
      <c r="B2" s="35">
        <v>65</v>
      </c>
    </row>
    <row r="3" spans="1:46">
      <c r="A3" s="34" t="s">
        <v>40</v>
      </c>
      <c r="B3" s="35">
        <v>135</v>
      </c>
    </row>
    <row r="4" spans="1:46" ht="21">
      <c r="A4" s="34" t="s">
        <v>87</v>
      </c>
      <c r="B4" s="11">
        <f>'Task 3'!B6</f>
        <v>290.08235597868486</v>
      </c>
      <c r="P4" s="40" t="s">
        <v>103</v>
      </c>
      <c r="AG4" s="39" t="s">
        <v>102</v>
      </c>
    </row>
    <row r="5" spans="1:46">
      <c r="A5" s="34" t="s">
        <v>88</v>
      </c>
      <c r="B5" s="11">
        <f>'Task 3'!B7</f>
        <v>105.97784872757833</v>
      </c>
      <c r="AG5" s="22"/>
    </row>
    <row r="6" spans="1:46">
      <c r="P6" s="10" t="s">
        <v>79</v>
      </c>
      <c r="Q6" s="11">
        <f>MAX(Q11:Q69)</f>
        <v>9364.8358208955233</v>
      </c>
      <c r="R6" s="11">
        <f t="shared" ref="R6:AC6" si="0">MAX(R11:R69)</f>
        <v>10880.865671641792</v>
      </c>
      <c r="S6" s="11">
        <f t="shared" si="0"/>
        <v>17554.447761194031</v>
      </c>
      <c r="T6" s="11">
        <f t="shared" si="0"/>
        <v>11234.014925373134</v>
      </c>
      <c r="U6" s="11">
        <f t="shared" si="0"/>
        <v>12950.268656716418</v>
      </c>
      <c r="V6" s="11">
        <f t="shared" si="0"/>
        <v>9202.5970149253735</v>
      </c>
      <c r="W6" s="11">
        <f t="shared" si="0"/>
        <v>67695.26865671642</v>
      </c>
      <c r="X6" s="11">
        <f t="shared" si="0"/>
        <v>67420.298507462692</v>
      </c>
      <c r="Y6" s="11">
        <f t="shared" si="0"/>
        <v>64633.014925373136</v>
      </c>
      <c r="Z6" s="11">
        <f t="shared" si="0"/>
        <v>11578.701492537313</v>
      </c>
      <c r="AA6" s="11">
        <f t="shared" si="0"/>
        <v>6403.8955223880594</v>
      </c>
      <c r="AB6" s="11">
        <f t="shared" si="0"/>
        <v>9460.6119402985078</v>
      </c>
      <c r="AC6" s="11">
        <f t="shared" si="0"/>
        <v>8148.686567164179</v>
      </c>
      <c r="AG6" s="10" t="s">
        <v>79</v>
      </c>
      <c r="AH6" s="11">
        <f>MAX(AH11:AH69)</f>
        <v>10994.542288557213</v>
      </c>
      <c r="AI6" s="11">
        <f t="shared" ref="AI6:AT6" si="1">MAX(AI11:AI69)</f>
        <v>12878.97512437811</v>
      </c>
      <c r="AJ6" s="11">
        <f t="shared" si="1"/>
        <v>19469.631840796021</v>
      </c>
      <c r="AK6" s="11">
        <f t="shared" si="1"/>
        <v>13165.208955223881</v>
      </c>
      <c r="AL6" s="11">
        <f t="shared" si="1"/>
        <v>14290.124378109453</v>
      </c>
      <c r="AM6" s="11">
        <f t="shared" si="1"/>
        <v>11264.368159203979</v>
      </c>
      <c r="AN6" s="11">
        <f t="shared" si="1"/>
        <v>69634.69154228855</v>
      </c>
      <c r="AO6" s="11">
        <f t="shared" si="1"/>
        <v>69129.562189054734</v>
      </c>
      <c r="AP6" s="11">
        <f t="shared" si="1"/>
        <v>66541.303482587071</v>
      </c>
      <c r="AQ6" s="11">
        <f t="shared" si="1"/>
        <v>13609.567164179105</v>
      </c>
      <c r="AR6" s="11">
        <f t="shared" si="1"/>
        <v>8244.1243781094527</v>
      </c>
      <c r="AS6" s="11">
        <f t="shared" si="1"/>
        <v>11321.034825870647</v>
      </c>
      <c r="AT6" s="11">
        <f t="shared" si="1"/>
        <v>10280.716417910447</v>
      </c>
    </row>
    <row r="7" spans="1:46">
      <c r="D7" s="13" t="s">
        <v>122</v>
      </c>
      <c r="E7" s="10" t="s">
        <v>105</v>
      </c>
      <c r="F7" s="13" t="s">
        <v>104</v>
      </c>
      <c r="G7" s="34" t="s">
        <v>79</v>
      </c>
      <c r="H7" s="34" t="s">
        <v>43</v>
      </c>
      <c r="I7" s="12"/>
      <c r="P7" s="10" t="s">
        <v>43</v>
      </c>
      <c r="Q7" s="11">
        <f t="shared" ref="Q7:AC7" si="2">_xlfn.SINGLE(_xlfn.XLOOKUP(Q6,Q11:Q69,$AG$11:$AG$69,0,0,1))</f>
        <v>225</v>
      </c>
      <c r="R7" s="11">
        <f t="shared" si="2"/>
        <v>225</v>
      </c>
      <c r="S7" s="11">
        <f t="shared" si="2"/>
        <v>325</v>
      </c>
      <c r="T7" s="11">
        <f t="shared" si="2"/>
        <v>225</v>
      </c>
      <c r="U7" s="11">
        <f t="shared" si="2"/>
        <v>275</v>
      </c>
      <c r="V7" s="11">
        <f t="shared" si="2"/>
        <v>200</v>
      </c>
      <c r="W7" s="11">
        <f t="shared" si="2"/>
        <v>1050</v>
      </c>
      <c r="X7" s="11">
        <f t="shared" si="2"/>
        <v>1050</v>
      </c>
      <c r="Y7" s="11">
        <f t="shared" si="2"/>
        <v>1025</v>
      </c>
      <c r="Z7" s="11">
        <f t="shared" si="2"/>
        <v>225</v>
      </c>
      <c r="AA7" s="11">
        <f t="shared" si="2"/>
        <v>175</v>
      </c>
      <c r="AB7" s="11">
        <f t="shared" si="2"/>
        <v>225</v>
      </c>
      <c r="AC7" s="11">
        <f t="shared" si="2"/>
        <v>175</v>
      </c>
      <c r="AG7" s="10" t="s">
        <v>43</v>
      </c>
      <c r="AH7" s="11">
        <f t="shared" ref="AH7:AT7" si="3">_xlfn.SINGLE(_xlfn.XLOOKUP(AH6,AH11:AH69,$AG$11:$AG$69,0,0,1))</f>
        <v>175</v>
      </c>
      <c r="AI7" s="11">
        <f t="shared" si="3"/>
        <v>225</v>
      </c>
      <c r="AJ7" s="11">
        <f t="shared" si="3"/>
        <v>300</v>
      </c>
      <c r="AK7" s="11">
        <f t="shared" si="3"/>
        <v>200</v>
      </c>
      <c r="AL7" s="11">
        <f t="shared" si="3"/>
        <v>225</v>
      </c>
      <c r="AM7" s="11">
        <f t="shared" si="3"/>
        <v>150</v>
      </c>
      <c r="AN7" s="11">
        <f t="shared" si="3"/>
        <v>1000</v>
      </c>
      <c r="AO7" s="11">
        <f t="shared" si="3"/>
        <v>1025</v>
      </c>
      <c r="AP7" s="11">
        <f t="shared" si="3"/>
        <v>975</v>
      </c>
      <c r="AQ7" s="11">
        <f t="shared" si="3"/>
        <v>250</v>
      </c>
      <c r="AR7" s="11">
        <f t="shared" si="3"/>
        <v>125</v>
      </c>
      <c r="AS7" s="11">
        <f t="shared" si="3"/>
        <v>175</v>
      </c>
      <c r="AT7" s="11">
        <f t="shared" si="3"/>
        <v>175</v>
      </c>
    </row>
    <row r="8" spans="1:46">
      <c r="D8" s="38">
        <v>300</v>
      </c>
      <c r="E8" s="11">
        <f ca="1">AVERAGE(D12:D1016)</f>
        <v>14402.462686567163</v>
      </c>
      <c r="F8" s="38">
        <f ca="1">AVERAGE(I12:I1016)</f>
        <v>15781.129353233831</v>
      </c>
      <c r="G8" s="11">
        <f>MAX(L11:L71)</f>
        <v>16840.786069651742</v>
      </c>
      <c r="H8" s="11">
        <f>_xlfn.XLOOKUP(G8,L11:L71,K11:K71,0,0,1)</f>
        <v>260</v>
      </c>
      <c r="P8" s="10" t="s">
        <v>78</v>
      </c>
      <c r="Q8" s="10" t="s">
        <v>89</v>
      </c>
      <c r="R8" s="10" t="s">
        <v>90</v>
      </c>
      <c r="S8" s="10" t="s">
        <v>91</v>
      </c>
      <c r="T8" s="10" t="s">
        <v>92</v>
      </c>
      <c r="U8" s="10" t="s">
        <v>93</v>
      </c>
      <c r="V8" s="10" t="s">
        <v>94</v>
      </c>
      <c r="W8" s="10" t="s">
        <v>95</v>
      </c>
      <c r="X8" s="10" t="s">
        <v>96</v>
      </c>
      <c r="Y8" s="10" t="s">
        <v>97</v>
      </c>
      <c r="Z8" s="10" t="s">
        <v>98</v>
      </c>
      <c r="AA8" s="10" t="s">
        <v>99</v>
      </c>
      <c r="AB8" s="10" t="s">
        <v>100</v>
      </c>
      <c r="AC8" s="10" t="s">
        <v>101</v>
      </c>
      <c r="AG8" s="10" t="s">
        <v>78</v>
      </c>
      <c r="AH8" s="10" t="s">
        <v>89</v>
      </c>
      <c r="AI8" s="10" t="s">
        <v>90</v>
      </c>
      <c r="AJ8" s="10" t="s">
        <v>91</v>
      </c>
      <c r="AK8" s="10" t="s">
        <v>92</v>
      </c>
      <c r="AL8" s="10" t="s">
        <v>93</v>
      </c>
      <c r="AM8" s="10" t="s">
        <v>94</v>
      </c>
      <c r="AN8" s="10" t="s">
        <v>95</v>
      </c>
      <c r="AO8" s="10" t="s">
        <v>96</v>
      </c>
      <c r="AP8" s="10" t="s">
        <v>97</v>
      </c>
      <c r="AQ8" s="10" t="s">
        <v>98</v>
      </c>
      <c r="AR8" s="10" t="s">
        <v>99</v>
      </c>
      <c r="AS8" s="10" t="s">
        <v>100</v>
      </c>
      <c r="AT8" s="10" t="s">
        <v>101</v>
      </c>
    </row>
    <row r="9" spans="1:46">
      <c r="K9" s="10" t="s">
        <v>78</v>
      </c>
      <c r="L9" s="10" t="s">
        <v>85</v>
      </c>
    </row>
    <row r="10" spans="1:46">
      <c r="K10" s="23"/>
      <c r="L10" s="23">
        <f ca="1">F8</f>
        <v>15781.129353233831</v>
      </c>
      <c r="O10" s="10" t="s">
        <v>106</v>
      </c>
      <c r="P10" s="23">
        <f ca="1">AVERAGE(D12:D1016)</f>
        <v>14402.462686567163</v>
      </c>
      <c r="Q10" s="10" cm="1">
        <f t="array" ref="Q10:AC10">TRANSPOSE('Task 6'!M2:M14)</f>
        <v>213.05229141683495</v>
      </c>
      <c r="R10" s="10">
        <v>238.42052061636642</v>
      </c>
      <c r="S10" s="10">
        <v>330.65705995619646</v>
      </c>
      <c r="T10" s="10">
        <v>238.42052061636642</v>
      </c>
      <c r="U10" s="10">
        <v>260.79688459805226</v>
      </c>
      <c r="V10" s="10">
        <v>213.05229141683495</v>
      </c>
      <c r="W10" s="10">
        <v>1047.6988275742237</v>
      </c>
      <c r="X10" s="10">
        <v>1042.3469380327697</v>
      </c>
      <c r="Y10" s="10">
        <v>999.95423439300635</v>
      </c>
      <c r="Z10" s="10">
        <v>249.93795686222938</v>
      </c>
      <c r="AA10" s="10">
        <v>167.23644084180168</v>
      </c>
      <c r="AB10" s="10">
        <v>213.05229141683495</v>
      </c>
      <c r="AC10" s="10">
        <v>198.97329481418251</v>
      </c>
      <c r="AF10" s="10" t="s">
        <v>106</v>
      </c>
      <c r="AG10" s="23">
        <f ca="1">F8</f>
        <v>15781.129353233831</v>
      </c>
      <c r="AH10" s="10" cm="1">
        <f t="array" ref="AH10:AT10">TRANSPOSE('Task 6'!M2:M14)</f>
        <v>213.05229141683495</v>
      </c>
      <c r="AI10" s="10">
        <v>238.42052061636642</v>
      </c>
      <c r="AJ10" s="10">
        <v>330.65705995619646</v>
      </c>
      <c r="AK10" s="10">
        <v>238.42052061636642</v>
      </c>
      <c r="AL10" s="10">
        <v>260.79688459805226</v>
      </c>
      <c r="AM10" s="10">
        <v>213.05229141683495</v>
      </c>
      <c r="AN10" s="10">
        <v>1047.6988275742237</v>
      </c>
      <c r="AO10" s="10">
        <v>1042.3469380327697</v>
      </c>
      <c r="AP10" s="10">
        <v>999.95423439300635</v>
      </c>
      <c r="AQ10" s="10">
        <v>249.93795686222938</v>
      </c>
      <c r="AR10" s="10">
        <v>167.23644084180168</v>
      </c>
      <c r="AS10" s="10">
        <v>213.05229141683495</v>
      </c>
      <c r="AT10" s="10">
        <v>198.97329481418251</v>
      </c>
    </row>
    <row r="11" spans="1:46">
      <c r="B11" s="36" t="s">
        <v>58</v>
      </c>
      <c r="C11" s="36" t="s">
        <v>59</v>
      </c>
      <c r="D11" s="36" t="s">
        <v>60</v>
      </c>
      <c r="E11" s="37" t="s">
        <v>61</v>
      </c>
      <c r="F11" s="37" t="s">
        <v>62</v>
      </c>
      <c r="G11" s="37" t="s">
        <v>63</v>
      </c>
      <c r="H11" s="37" t="s">
        <v>64</v>
      </c>
      <c r="I11" s="37" t="s">
        <v>65</v>
      </c>
      <c r="K11" s="23">
        <v>100</v>
      </c>
      <c r="L11" s="23">
        <f t="dataTable" ref="L11:L71" dt2D="0" dtr="0" r1="D8" ca="1"/>
        <v>12246.567164179105</v>
      </c>
      <c r="P11" s="10">
        <v>50</v>
      </c>
      <c r="Q11" s="23">
        <f t="dataTable" ref="Q11:AC69" dt2D="1" dtr="1" r1="B4" r2="D8" ca="1"/>
        <v>3201.9253731343283</v>
      </c>
      <c r="R11" s="23">
        <v>3262.9104477611941</v>
      </c>
      <c r="S11" s="23">
        <v>3475.1492537313434</v>
      </c>
      <c r="T11" s="23">
        <v>3178.1492537313434</v>
      </c>
      <c r="U11" s="23">
        <v>3360.2985074626868</v>
      </c>
      <c r="V11" s="23">
        <v>3100.6417910447763</v>
      </c>
      <c r="W11" s="23">
        <v>3500</v>
      </c>
      <c r="X11" s="23">
        <v>3500</v>
      </c>
      <c r="Y11" s="23">
        <v>3500</v>
      </c>
      <c r="Z11" s="23">
        <v>3360.5671641791046</v>
      </c>
      <c r="AA11" s="23">
        <v>2571.5223880597014</v>
      </c>
      <c r="AB11" s="23">
        <v>3182.9850746268658</v>
      </c>
      <c r="AC11" s="23">
        <v>3043.686567164179</v>
      </c>
      <c r="AG11" s="10">
        <v>50</v>
      </c>
      <c r="AH11" s="23">
        <f t="dataTable" ref="AH11:AT69" dt2D="1" dtr="1" r1="B4" r2="D8" ca="1"/>
        <v>8271.0398009950241</v>
      </c>
      <c r="AI11" s="23">
        <v>8801.686567164179</v>
      </c>
      <c r="AJ11" s="23">
        <v>9842.3283582089553</v>
      </c>
      <c r="AK11" s="23">
        <v>8643.7810945273632</v>
      </c>
      <c r="AL11" s="23">
        <v>9134.4975124378107</v>
      </c>
      <c r="AM11" s="23">
        <v>8349.0099502487556</v>
      </c>
      <c r="AN11" s="23">
        <v>10220</v>
      </c>
      <c r="AO11" s="23">
        <v>10220</v>
      </c>
      <c r="AP11" s="23">
        <v>10220</v>
      </c>
      <c r="AQ11" s="23">
        <v>9015.0646766169157</v>
      </c>
      <c r="AR11" s="23">
        <v>6545.7711442786067</v>
      </c>
      <c r="AS11" s="23">
        <v>8326.7363184079604</v>
      </c>
      <c r="AT11" s="23">
        <v>7548.9701492537315</v>
      </c>
    </row>
    <row r="12" spans="1:46">
      <c r="B12" s="23">
        <f ca="1">_xlfn.FLOOR.MATH(_xlfn.NORM.INV(RAND(),$B$4,$B$5))</f>
        <v>200</v>
      </c>
      <c r="C12" s="23">
        <f ca="1">MIN(B12,$D$8)</f>
        <v>200</v>
      </c>
      <c r="D12" s="23">
        <f t="shared" ref="D12:D75" ca="1" si="4">C12*$B$3-$D$8*$B$2</f>
        <v>7500</v>
      </c>
      <c r="E12" s="23">
        <f t="shared" ref="E12:E75" ca="1" si="5">MAX(0, B12-$D$8)</f>
        <v>0</v>
      </c>
      <c r="F12" s="23">
        <f>12*(21-7)</f>
        <v>168</v>
      </c>
      <c r="G12" s="23">
        <f ca="1">MIN(E12,F12)</f>
        <v>0</v>
      </c>
      <c r="H12" s="23">
        <f t="shared" ref="H12:H75" ca="1" si="6">MIN(B12, $D$8+G12)</f>
        <v>200</v>
      </c>
      <c r="I12" s="23">
        <f t="shared" ref="I12:I75" ca="1" si="7">H12*$B$3-$D$8*$B$2-$B$1*G12</f>
        <v>7500</v>
      </c>
      <c r="K12" s="23">
        <v>110</v>
      </c>
      <c r="L12" s="23">
        <v>12661.208955223881</v>
      </c>
      <c r="P12" s="10">
        <v>75</v>
      </c>
      <c r="Q12" s="23">
        <v>4805.5074626865671</v>
      </c>
      <c r="R12" s="23">
        <v>4856.8208955223881</v>
      </c>
      <c r="S12" s="23">
        <v>5221.7910447761196</v>
      </c>
      <c r="T12" s="23">
        <v>4782.4029850746265</v>
      </c>
      <c r="U12" s="23">
        <v>4889.4626865671644</v>
      </c>
      <c r="V12" s="23">
        <v>4622.9552238805973</v>
      </c>
      <c r="W12" s="23">
        <v>5250</v>
      </c>
      <c r="X12" s="23">
        <v>5250</v>
      </c>
      <c r="Y12" s="23">
        <v>5250</v>
      </c>
      <c r="Z12" s="23">
        <v>4997.5970149253735</v>
      </c>
      <c r="AA12" s="23">
        <v>3696.8955223880598</v>
      </c>
      <c r="AB12" s="23">
        <v>4482.5820895522384</v>
      </c>
      <c r="AC12" s="23">
        <v>4395.8059701492539</v>
      </c>
      <c r="AG12" s="10">
        <v>75</v>
      </c>
      <c r="AH12" s="23">
        <v>9160.7213930348262</v>
      </c>
      <c r="AI12" s="23">
        <v>9987.9502487562186</v>
      </c>
      <c r="AJ12" s="23">
        <v>11466.532338308458</v>
      </c>
      <c r="AK12" s="23">
        <v>9844.6965174129346</v>
      </c>
      <c r="AL12" s="23">
        <v>10571.164179104477</v>
      </c>
      <c r="AM12" s="23">
        <v>8969.8855721393029</v>
      </c>
      <c r="AN12" s="23">
        <v>11970</v>
      </c>
      <c r="AO12" s="23">
        <v>11970</v>
      </c>
      <c r="AP12" s="23">
        <v>11970</v>
      </c>
      <c r="AQ12" s="23">
        <v>10264.497512437811</v>
      </c>
      <c r="AR12" s="23">
        <v>7669.253731343284</v>
      </c>
      <c r="AS12" s="23">
        <v>9281.1442786069656</v>
      </c>
      <c r="AT12" s="23">
        <v>8633.4825870646764</v>
      </c>
    </row>
    <row r="13" spans="1:46">
      <c r="B13" s="23">
        <f t="shared" ref="B13:B76" ca="1" si="8">_xlfn.FLOOR.MATH(_xlfn.NORM.INV(RAND(),$B$4,$B$5))</f>
        <v>291</v>
      </c>
      <c r="C13" s="23">
        <f t="shared" ref="C13:C76" ca="1" si="9">MIN(B13,$D$8)</f>
        <v>291</v>
      </c>
      <c r="D13" s="23">
        <f t="shared" ca="1" si="4"/>
        <v>19785</v>
      </c>
      <c r="E13" s="23">
        <f t="shared" ca="1" si="5"/>
        <v>0</v>
      </c>
      <c r="F13" s="23">
        <f t="shared" ref="F13:F76" si="10">12*(21-7)</f>
        <v>168</v>
      </c>
      <c r="G13" s="23">
        <f ca="1">MIN(E13,F13)</f>
        <v>0</v>
      </c>
      <c r="H13" s="23">
        <f t="shared" ca="1" si="6"/>
        <v>291</v>
      </c>
      <c r="I13" s="23">
        <f t="shared" ca="1" si="7"/>
        <v>19785</v>
      </c>
      <c r="K13" s="23">
        <v>120</v>
      </c>
      <c r="L13" s="23">
        <v>13088.477611940298</v>
      </c>
      <c r="P13" s="10">
        <v>100</v>
      </c>
      <c r="Q13" s="23">
        <v>5782.0447761194027</v>
      </c>
      <c r="R13" s="23">
        <v>6438.6417910447763</v>
      </c>
      <c r="S13" s="23">
        <v>6934.5820895522384</v>
      </c>
      <c r="T13" s="23">
        <v>6383.5671641791041</v>
      </c>
      <c r="U13" s="23">
        <v>6538.313432835821</v>
      </c>
      <c r="V13" s="23">
        <v>5756.1194029850749</v>
      </c>
      <c r="W13" s="23">
        <v>7000</v>
      </c>
      <c r="X13" s="23">
        <v>7000</v>
      </c>
      <c r="Y13" s="23">
        <v>7000</v>
      </c>
      <c r="Z13" s="23">
        <v>6338.9701492537315</v>
      </c>
      <c r="AA13" s="23">
        <v>4660.4029850746265</v>
      </c>
      <c r="AB13" s="23">
        <v>6037.940298507463</v>
      </c>
      <c r="AC13" s="23">
        <v>5488</v>
      </c>
      <c r="AG13" s="10">
        <v>100</v>
      </c>
      <c r="AH13" s="23">
        <v>9908.1990049751239</v>
      </c>
      <c r="AI13" s="23">
        <v>10697.502487562189</v>
      </c>
      <c r="AJ13" s="23">
        <v>12901.651741293532</v>
      </c>
      <c r="AK13" s="23">
        <v>10697.432835820895</v>
      </c>
      <c r="AL13" s="23">
        <v>11671.447761194029</v>
      </c>
      <c r="AM13" s="23">
        <v>10190.860696517413</v>
      </c>
      <c r="AN13" s="23">
        <v>13720</v>
      </c>
      <c r="AO13" s="23">
        <v>13720</v>
      </c>
      <c r="AP13" s="23">
        <v>13720</v>
      </c>
      <c r="AQ13" s="23">
        <v>11473.980099502487</v>
      </c>
      <c r="AR13" s="23">
        <v>7309.4726368159209</v>
      </c>
      <c r="AS13" s="23">
        <v>10113.900497512437</v>
      </c>
      <c r="AT13" s="23">
        <v>9193.8358208955233</v>
      </c>
    </row>
    <row r="14" spans="1:46">
      <c r="B14" s="23">
        <f t="shared" ca="1" si="8"/>
        <v>489</v>
      </c>
      <c r="C14" s="23">
        <f t="shared" ca="1" si="9"/>
        <v>300</v>
      </c>
      <c r="D14" s="23">
        <f t="shared" ca="1" si="4"/>
        <v>21000</v>
      </c>
      <c r="E14" s="23">
        <f t="shared" ca="1" si="5"/>
        <v>189</v>
      </c>
      <c r="F14" s="23">
        <f t="shared" si="10"/>
        <v>168</v>
      </c>
      <c r="G14" s="23">
        <f ca="1">MIN(E14,F14)</f>
        <v>168</v>
      </c>
      <c r="H14" s="23">
        <f t="shared" ca="1" si="6"/>
        <v>468</v>
      </c>
      <c r="I14" s="23">
        <f t="shared" ca="1" si="7"/>
        <v>27720</v>
      </c>
      <c r="K14" s="23">
        <v>130</v>
      </c>
      <c r="L14" s="23">
        <v>13766.412935323384</v>
      </c>
      <c r="P14" s="10">
        <v>125</v>
      </c>
      <c r="Q14" s="23">
        <v>7227.1194029850749</v>
      </c>
      <c r="R14" s="23">
        <v>7622.7164179104475</v>
      </c>
      <c r="S14" s="23">
        <v>8558.313432835821</v>
      </c>
      <c r="T14" s="23">
        <v>7673.0895522388064</v>
      </c>
      <c r="U14" s="23">
        <v>7859.1343283582091</v>
      </c>
      <c r="V14" s="23">
        <v>7199.9850746268658</v>
      </c>
      <c r="W14" s="23">
        <v>8750</v>
      </c>
      <c r="X14" s="23">
        <v>8750</v>
      </c>
      <c r="Y14" s="23">
        <v>8750</v>
      </c>
      <c r="Z14" s="23">
        <v>7710.0298507462685</v>
      </c>
      <c r="AA14" s="23">
        <v>5006.5373134328356</v>
      </c>
      <c r="AB14" s="23">
        <v>6835.686567164179</v>
      </c>
      <c r="AC14" s="23">
        <v>6672.746268656716</v>
      </c>
      <c r="AG14" s="10">
        <v>125</v>
      </c>
      <c r="AH14" s="23">
        <v>10650.487562189055</v>
      </c>
      <c r="AI14" s="23">
        <v>11762.870646766169</v>
      </c>
      <c r="AJ14" s="23">
        <v>14193.442786069652</v>
      </c>
      <c r="AK14" s="23">
        <v>11660.577114427861</v>
      </c>
      <c r="AL14" s="23">
        <v>12582.273631840795</v>
      </c>
      <c r="AM14" s="23">
        <v>10530.288557213931</v>
      </c>
      <c r="AN14" s="23">
        <v>15470</v>
      </c>
      <c r="AO14" s="23">
        <v>15470</v>
      </c>
      <c r="AP14" s="23">
        <v>15470</v>
      </c>
      <c r="AQ14" s="23">
        <v>11880.343283582089</v>
      </c>
      <c r="AR14" s="23">
        <v>8244.1243781094527</v>
      </c>
      <c r="AS14" s="23">
        <v>10422.646766169155</v>
      </c>
      <c r="AT14" s="23">
        <v>9730.6567164179105</v>
      </c>
    </row>
    <row r="15" spans="1:46">
      <c r="B15" s="23">
        <f t="shared" ca="1" si="8"/>
        <v>124</v>
      </c>
      <c r="C15" s="23">
        <f t="shared" ca="1" si="9"/>
        <v>124</v>
      </c>
      <c r="D15" s="23">
        <f t="shared" ca="1" si="4"/>
        <v>-2760</v>
      </c>
      <c r="E15" s="23">
        <f t="shared" ca="1" si="5"/>
        <v>0</v>
      </c>
      <c r="F15" s="23">
        <f t="shared" si="10"/>
        <v>168</v>
      </c>
      <c r="G15" s="23">
        <f ca="1">MIN(E15,F15)</f>
        <v>0</v>
      </c>
      <c r="H15" s="23">
        <f t="shared" ca="1" si="6"/>
        <v>124</v>
      </c>
      <c r="I15" s="23">
        <f t="shared" ca="1" si="7"/>
        <v>-2760</v>
      </c>
      <c r="K15" s="23">
        <v>140</v>
      </c>
      <c r="L15" s="23">
        <v>13871.955223880597</v>
      </c>
      <c r="P15" s="10">
        <v>150</v>
      </c>
      <c r="Q15" s="23">
        <v>7868.373134328358</v>
      </c>
      <c r="R15" s="23">
        <v>8926.0746268656712</v>
      </c>
      <c r="S15" s="23">
        <v>10279.567164179105</v>
      </c>
      <c r="T15" s="23">
        <v>8773.746268656716</v>
      </c>
      <c r="U15" s="23">
        <v>9351.492537313432</v>
      </c>
      <c r="V15" s="23">
        <v>8099.9552238805973</v>
      </c>
      <c r="W15" s="23">
        <v>10500</v>
      </c>
      <c r="X15" s="23">
        <v>10500</v>
      </c>
      <c r="Y15" s="23">
        <v>10500</v>
      </c>
      <c r="Z15" s="23">
        <v>9191.507462686568</v>
      </c>
      <c r="AA15" s="23">
        <v>5789.1044776119406</v>
      </c>
      <c r="AB15" s="23">
        <v>8393.5970149253735</v>
      </c>
      <c r="AC15" s="23">
        <v>7801.0746268656712</v>
      </c>
      <c r="AG15" s="10">
        <v>150</v>
      </c>
      <c r="AH15" s="23">
        <v>10902.900497512437</v>
      </c>
      <c r="AI15" s="23">
        <v>12463.89552238806</v>
      </c>
      <c r="AJ15" s="23">
        <v>15612.169154228855</v>
      </c>
      <c r="AK15" s="23">
        <v>12332.661691542289</v>
      </c>
      <c r="AL15" s="23">
        <v>13819.492537313432</v>
      </c>
      <c r="AM15" s="23">
        <v>11264.368159203979</v>
      </c>
      <c r="AN15" s="23">
        <v>17220</v>
      </c>
      <c r="AO15" s="23">
        <v>17220</v>
      </c>
      <c r="AP15" s="23">
        <v>17220</v>
      </c>
      <c r="AQ15" s="23">
        <v>13253.960199004976</v>
      </c>
      <c r="AR15" s="23">
        <v>7441.8457711442788</v>
      </c>
      <c r="AS15" s="23">
        <v>10897.223880597016</v>
      </c>
      <c r="AT15" s="23">
        <v>9930.7014925373132</v>
      </c>
    </row>
    <row r="16" spans="1:46">
      <c r="B16" s="23">
        <f t="shared" ca="1" si="8"/>
        <v>295</v>
      </c>
      <c r="C16" s="23">
        <f t="shared" ca="1" si="9"/>
        <v>295</v>
      </c>
      <c r="D16" s="23">
        <f t="shared" ca="1" si="4"/>
        <v>20325</v>
      </c>
      <c r="E16" s="23">
        <f t="shared" ca="1" si="5"/>
        <v>0</v>
      </c>
      <c r="F16" s="23">
        <f t="shared" si="10"/>
        <v>168</v>
      </c>
      <c r="G16" s="23">
        <f t="shared" ref="G16:G79" ca="1" si="11">MIN(E16,F16)</f>
        <v>0</v>
      </c>
      <c r="H16" s="23">
        <f t="shared" ca="1" si="6"/>
        <v>295</v>
      </c>
      <c r="I16" s="23">
        <f t="shared" ca="1" si="7"/>
        <v>20325</v>
      </c>
      <c r="K16" s="23">
        <v>150</v>
      </c>
      <c r="L16" s="23">
        <v>14560.10447761194</v>
      </c>
      <c r="P16" s="10">
        <v>175</v>
      </c>
      <c r="Q16" s="23">
        <v>8744.567164179105</v>
      </c>
      <c r="R16" s="23">
        <v>9623.2089552238813</v>
      </c>
      <c r="S16" s="23">
        <v>11883.686567164179</v>
      </c>
      <c r="T16" s="23">
        <v>10003.223880597016</v>
      </c>
      <c r="U16" s="23">
        <v>10596.552238805971</v>
      </c>
      <c r="V16" s="23">
        <v>8678.746268656716</v>
      </c>
      <c r="W16" s="23">
        <v>12250</v>
      </c>
      <c r="X16" s="23">
        <v>12250</v>
      </c>
      <c r="Y16" s="23">
        <v>12250</v>
      </c>
      <c r="Z16" s="23">
        <v>10504.268656716418</v>
      </c>
      <c r="AA16" s="23">
        <v>6403.8955223880594</v>
      </c>
      <c r="AB16" s="23">
        <v>8572.8955223880603</v>
      </c>
      <c r="AC16" s="23">
        <v>8148.686567164179</v>
      </c>
      <c r="AG16" s="10">
        <v>175</v>
      </c>
      <c r="AH16" s="23">
        <v>10994.542288557213</v>
      </c>
      <c r="AI16" s="23">
        <v>12757.915422885571</v>
      </c>
      <c r="AJ16" s="23">
        <v>16684.104477611942</v>
      </c>
      <c r="AK16" s="23">
        <v>12783.094527363184</v>
      </c>
      <c r="AL16" s="23">
        <v>14169.039800995024</v>
      </c>
      <c r="AM16" s="23">
        <v>10952.835820895523</v>
      </c>
      <c r="AN16" s="23">
        <v>18970</v>
      </c>
      <c r="AO16" s="23">
        <v>18970</v>
      </c>
      <c r="AP16" s="23">
        <v>18970</v>
      </c>
      <c r="AQ16" s="23">
        <v>13495.452736318408</v>
      </c>
      <c r="AR16" s="23">
        <v>8038.5422885572143</v>
      </c>
      <c r="AS16" s="23">
        <v>11321.034825870647</v>
      </c>
      <c r="AT16" s="23">
        <v>10280.716417910447</v>
      </c>
    </row>
    <row r="17" spans="2:46">
      <c r="B17" s="23">
        <f t="shared" ca="1" si="8"/>
        <v>414</v>
      </c>
      <c r="C17" s="23">
        <f t="shared" ca="1" si="9"/>
        <v>300</v>
      </c>
      <c r="D17" s="23">
        <f t="shared" ca="1" si="4"/>
        <v>21000</v>
      </c>
      <c r="E17" s="23">
        <f t="shared" ca="1" si="5"/>
        <v>114</v>
      </c>
      <c r="F17" s="23">
        <f t="shared" si="10"/>
        <v>168</v>
      </c>
      <c r="G17" s="23">
        <f t="shared" ca="1" si="11"/>
        <v>114</v>
      </c>
      <c r="H17" s="23">
        <f t="shared" ca="1" si="6"/>
        <v>414</v>
      </c>
      <c r="I17" s="23">
        <f t="shared" ca="1" si="7"/>
        <v>25560</v>
      </c>
      <c r="K17" s="23">
        <v>160</v>
      </c>
      <c r="L17" s="23">
        <v>14849.462686567163</v>
      </c>
      <c r="P17" s="10">
        <v>200</v>
      </c>
      <c r="Q17" s="23">
        <v>9129.6567164179105</v>
      </c>
      <c r="R17" s="23">
        <v>10523.447761194029</v>
      </c>
      <c r="S17" s="23">
        <v>13245.880597014926</v>
      </c>
      <c r="T17" s="23">
        <v>10259.223880597016</v>
      </c>
      <c r="U17" s="23">
        <v>11564.89552238806</v>
      </c>
      <c r="V17" s="23">
        <v>9202.5970149253735</v>
      </c>
      <c r="W17" s="23">
        <v>14000</v>
      </c>
      <c r="X17" s="23">
        <v>14000</v>
      </c>
      <c r="Y17" s="23">
        <v>14000</v>
      </c>
      <c r="Z17" s="23">
        <v>11033.76119402985</v>
      </c>
      <c r="AA17" s="23">
        <v>6292.5074626865671</v>
      </c>
      <c r="AB17" s="23">
        <v>9126.432835820895</v>
      </c>
      <c r="AC17" s="23">
        <v>7896.5223880597014</v>
      </c>
      <c r="AG17" s="10">
        <v>200</v>
      </c>
      <c r="AH17" s="23">
        <v>10628.587064676616</v>
      </c>
      <c r="AI17" s="23">
        <v>12543.134328358208</v>
      </c>
      <c r="AJ17" s="23">
        <v>17800.223880597016</v>
      </c>
      <c r="AK17" s="23">
        <v>13165.208955223881</v>
      </c>
      <c r="AL17" s="23">
        <v>14090.567164179105</v>
      </c>
      <c r="AM17" s="23">
        <v>10930.890547263682</v>
      </c>
      <c r="AN17" s="23">
        <v>20720</v>
      </c>
      <c r="AO17" s="23">
        <v>20720</v>
      </c>
      <c r="AP17" s="23">
        <v>20720</v>
      </c>
      <c r="AQ17" s="23">
        <v>13397.23880597015</v>
      </c>
      <c r="AR17" s="23">
        <v>6846.2786069651738</v>
      </c>
      <c r="AS17" s="23">
        <v>10810.228855721392</v>
      </c>
      <c r="AT17" s="23">
        <v>9947.6815920398003</v>
      </c>
    </row>
    <row r="18" spans="2:46">
      <c r="B18" s="23">
        <f t="shared" ca="1" si="8"/>
        <v>354</v>
      </c>
      <c r="C18" s="23">
        <f ca="1">MIN(B18,$D$8)</f>
        <v>300</v>
      </c>
      <c r="D18" s="23">
        <f t="shared" ca="1" si="4"/>
        <v>21000</v>
      </c>
      <c r="E18" s="23">
        <f t="shared" ca="1" si="5"/>
        <v>54</v>
      </c>
      <c r="F18" s="23">
        <f t="shared" si="10"/>
        <v>168</v>
      </c>
      <c r="G18" s="23">
        <f t="shared" ca="1" si="11"/>
        <v>54</v>
      </c>
      <c r="H18" s="23">
        <f t="shared" ca="1" si="6"/>
        <v>354</v>
      </c>
      <c r="I18" s="23">
        <f t="shared" ca="1" si="7"/>
        <v>23160</v>
      </c>
      <c r="K18" s="23">
        <v>170</v>
      </c>
      <c r="L18" s="23">
        <v>14967.034825870647</v>
      </c>
      <c r="P18" s="10">
        <v>225</v>
      </c>
      <c r="Q18" s="23">
        <v>9364.8358208955233</v>
      </c>
      <c r="R18" s="23">
        <v>10880.865671641792</v>
      </c>
      <c r="S18" s="23">
        <v>14448.358208955224</v>
      </c>
      <c r="T18" s="23">
        <v>11234.014925373134</v>
      </c>
      <c r="U18" s="23">
        <v>12137.10447761194</v>
      </c>
      <c r="V18" s="23">
        <v>9183.2238805970155</v>
      </c>
      <c r="W18" s="23">
        <v>15750</v>
      </c>
      <c r="X18" s="23">
        <v>15750</v>
      </c>
      <c r="Y18" s="23">
        <v>15750</v>
      </c>
      <c r="Z18" s="23">
        <v>11578.701492537313</v>
      </c>
      <c r="AA18" s="23">
        <v>5049.8059701492539</v>
      </c>
      <c r="AB18" s="23">
        <v>9460.6119402985078</v>
      </c>
      <c r="AC18" s="23">
        <v>7850.2835820895525</v>
      </c>
      <c r="AG18" s="10">
        <v>225</v>
      </c>
      <c r="AH18" s="23">
        <v>10455.298507462687</v>
      </c>
      <c r="AI18" s="23">
        <v>12878.97512437811</v>
      </c>
      <c r="AJ18" s="23">
        <v>18170.930348258706</v>
      </c>
      <c r="AK18" s="23">
        <v>12567.661691542289</v>
      </c>
      <c r="AL18" s="23">
        <v>14290.124378109453</v>
      </c>
      <c r="AM18" s="23">
        <v>10879.925373134329</v>
      </c>
      <c r="AN18" s="23">
        <v>22470</v>
      </c>
      <c r="AO18" s="23">
        <v>22470</v>
      </c>
      <c r="AP18" s="23">
        <v>22470</v>
      </c>
      <c r="AQ18" s="23">
        <v>13591.308457711442</v>
      </c>
      <c r="AR18" s="23">
        <v>6305.3233830845775</v>
      </c>
      <c r="AS18" s="23">
        <v>10576.487562189055</v>
      </c>
      <c r="AT18" s="23">
        <v>9285.1592039800998</v>
      </c>
    </row>
    <row r="19" spans="2:46">
      <c r="B19" s="23">
        <f t="shared" ca="1" si="8"/>
        <v>273</v>
      </c>
      <c r="C19" s="23">
        <f t="shared" ca="1" si="9"/>
        <v>273</v>
      </c>
      <c r="D19" s="23">
        <f t="shared" ca="1" si="4"/>
        <v>17355</v>
      </c>
      <c r="E19" s="23">
        <f t="shared" ca="1" si="5"/>
        <v>0</v>
      </c>
      <c r="F19" s="23">
        <f t="shared" si="10"/>
        <v>168</v>
      </c>
      <c r="G19" s="23">
        <f t="shared" ca="1" si="11"/>
        <v>0</v>
      </c>
      <c r="H19" s="23">
        <f t="shared" ca="1" si="6"/>
        <v>273</v>
      </c>
      <c r="I19" s="23">
        <f t="shared" ca="1" si="7"/>
        <v>17355</v>
      </c>
      <c r="K19" s="23">
        <v>180</v>
      </c>
      <c r="L19" s="23">
        <v>15547.532338308458</v>
      </c>
      <c r="P19" s="10">
        <v>250</v>
      </c>
      <c r="Q19" s="23">
        <v>8790.686567164179</v>
      </c>
      <c r="R19" s="23">
        <v>10837.313432835821</v>
      </c>
      <c r="S19" s="23">
        <v>15545.791044776119</v>
      </c>
      <c r="T19" s="23">
        <v>10777.537313432837</v>
      </c>
      <c r="U19" s="23">
        <v>12586.805970149253</v>
      </c>
      <c r="V19" s="23">
        <v>8389.5820895522393</v>
      </c>
      <c r="W19" s="23">
        <v>17500</v>
      </c>
      <c r="X19" s="23">
        <v>17500</v>
      </c>
      <c r="Y19" s="23">
        <v>17500</v>
      </c>
      <c r="Z19" s="23">
        <v>11562.552238805971</v>
      </c>
      <c r="AA19" s="23">
        <v>4274.7014925373132</v>
      </c>
      <c r="AB19" s="23">
        <v>8846.8358208955233</v>
      </c>
      <c r="AC19" s="23">
        <v>7773.0149253731342</v>
      </c>
      <c r="AG19" s="10">
        <v>250</v>
      </c>
      <c r="AH19" s="23">
        <v>10430.8407960199</v>
      </c>
      <c r="AI19" s="23">
        <v>12273.940298507463</v>
      </c>
      <c r="AJ19" s="23">
        <v>18916.288557213931</v>
      </c>
      <c r="AK19" s="23">
        <v>12008.786069651742</v>
      </c>
      <c r="AL19" s="23">
        <v>14088.07960199005</v>
      </c>
      <c r="AM19" s="23">
        <v>10186.213930348258</v>
      </c>
      <c r="AN19" s="23">
        <v>24220</v>
      </c>
      <c r="AO19" s="23">
        <v>24220</v>
      </c>
      <c r="AP19" s="23">
        <v>24220</v>
      </c>
      <c r="AQ19" s="23">
        <v>13609.567164179105</v>
      </c>
      <c r="AR19" s="23">
        <v>5415.4179104477616</v>
      </c>
      <c r="AS19" s="23">
        <v>10183.76119402985</v>
      </c>
      <c r="AT19" s="23">
        <v>8524.2089552238813</v>
      </c>
    </row>
    <row r="20" spans="2:46">
      <c r="B20" s="23">
        <f t="shared" ca="1" si="8"/>
        <v>27</v>
      </c>
      <c r="C20" s="23">
        <f t="shared" ca="1" si="9"/>
        <v>27</v>
      </c>
      <c r="D20" s="23">
        <f t="shared" ca="1" si="4"/>
        <v>-15855</v>
      </c>
      <c r="E20" s="23">
        <f t="shared" ca="1" si="5"/>
        <v>0</v>
      </c>
      <c r="F20" s="23">
        <f t="shared" si="10"/>
        <v>168</v>
      </c>
      <c r="G20" s="23">
        <f t="shared" ca="1" si="11"/>
        <v>0</v>
      </c>
      <c r="H20" s="23">
        <f t="shared" ca="1" si="6"/>
        <v>27</v>
      </c>
      <c r="I20" s="23">
        <f t="shared" ca="1" si="7"/>
        <v>-15855</v>
      </c>
      <c r="K20" s="23">
        <v>190</v>
      </c>
      <c r="L20" s="23">
        <v>15878.139303482587</v>
      </c>
      <c r="P20" s="10">
        <v>275</v>
      </c>
      <c r="Q20" s="23">
        <v>7805.4925373134329</v>
      </c>
      <c r="R20" s="23">
        <v>10713.567164179105</v>
      </c>
      <c r="S20" s="23">
        <v>16646.044776119405</v>
      </c>
      <c r="T20" s="23">
        <v>10275.522388059702</v>
      </c>
      <c r="U20" s="23">
        <v>12950.268656716418</v>
      </c>
      <c r="V20" s="23">
        <v>8420.1791044776128</v>
      </c>
      <c r="W20" s="23">
        <v>19250</v>
      </c>
      <c r="X20" s="23">
        <v>19250</v>
      </c>
      <c r="Y20" s="23">
        <v>19250</v>
      </c>
      <c r="Z20" s="23">
        <v>11395.552238805971</v>
      </c>
      <c r="AA20" s="23">
        <v>3223.0149253731342</v>
      </c>
      <c r="AB20" s="23">
        <v>8636.9850746268658</v>
      </c>
      <c r="AC20" s="23">
        <v>7238.3582089552237</v>
      </c>
      <c r="AG20" s="10">
        <v>275</v>
      </c>
      <c r="AH20" s="23">
        <v>8893.4577114427866</v>
      </c>
      <c r="AI20" s="23">
        <v>11990.139303482587</v>
      </c>
      <c r="AJ20" s="23">
        <v>18735.089552238805</v>
      </c>
      <c r="AK20" s="23">
        <v>12162.049751243781</v>
      </c>
      <c r="AL20" s="23">
        <v>13837.029850746268</v>
      </c>
      <c r="AM20" s="23">
        <v>9135.8308457711446</v>
      </c>
      <c r="AN20" s="23">
        <v>25970</v>
      </c>
      <c r="AO20" s="23">
        <v>25970</v>
      </c>
      <c r="AP20" s="23">
        <v>25970</v>
      </c>
      <c r="AQ20" s="23">
        <v>12949.447761194029</v>
      </c>
      <c r="AR20" s="23">
        <v>4674.2039800995026</v>
      </c>
      <c r="AS20" s="23">
        <v>9265.5422885572134</v>
      </c>
      <c r="AT20" s="23">
        <v>7457.9104477611936</v>
      </c>
    </row>
    <row r="21" spans="2:46">
      <c r="B21" s="23">
        <f t="shared" ca="1" si="8"/>
        <v>392</v>
      </c>
      <c r="C21" s="23">
        <f t="shared" ca="1" si="9"/>
        <v>300</v>
      </c>
      <c r="D21" s="23">
        <f t="shared" ca="1" si="4"/>
        <v>21000</v>
      </c>
      <c r="E21" s="23">
        <f t="shared" ca="1" si="5"/>
        <v>92</v>
      </c>
      <c r="F21" s="23">
        <f t="shared" si="10"/>
        <v>168</v>
      </c>
      <c r="G21" s="23">
        <f t="shared" ca="1" si="11"/>
        <v>92</v>
      </c>
      <c r="H21" s="23">
        <f t="shared" ca="1" si="6"/>
        <v>392</v>
      </c>
      <c r="I21" s="23">
        <f t="shared" ca="1" si="7"/>
        <v>24680</v>
      </c>
      <c r="K21" s="23">
        <v>200</v>
      </c>
      <c r="L21" s="23">
        <v>15915.76119402985</v>
      </c>
      <c r="P21" s="10">
        <v>300</v>
      </c>
      <c r="Q21" s="23">
        <v>7747.1641791044776</v>
      </c>
      <c r="R21" s="23">
        <v>10110.134328358208</v>
      </c>
      <c r="S21" s="23">
        <v>17389.5223880597</v>
      </c>
      <c r="T21" s="23">
        <v>9860.9552238805973</v>
      </c>
      <c r="U21" s="23">
        <v>11649.402985074626</v>
      </c>
      <c r="V21" s="23">
        <v>7788.6716417910447</v>
      </c>
      <c r="W21" s="23">
        <v>21000</v>
      </c>
      <c r="X21" s="23">
        <v>21000</v>
      </c>
      <c r="Y21" s="23">
        <v>21000</v>
      </c>
      <c r="Z21" s="23">
        <v>10885.343283582089</v>
      </c>
      <c r="AA21" s="23">
        <v>1941.6268656716418</v>
      </c>
      <c r="AB21" s="23">
        <v>7527.8059701492539</v>
      </c>
      <c r="AC21" s="23">
        <v>5528.1940298507461</v>
      </c>
      <c r="AG21" s="10">
        <v>300</v>
      </c>
      <c r="AH21" s="23">
        <v>7862.2388059701489</v>
      </c>
      <c r="AI21" s="23">
        <v>11643.885572139303</v>
      </c>
      <c r="AJ21" s="23">
        <v>19469.631840796021</v>
      </c>
      <c r="AK21" s="23">
        <v>11491.97512437811</v>
      </c>
      <c r="AL21" s="23">
        <v>13324.089552238805</v>
      </c>
      <c r="AM21" s="23">
        <v>7914.0447761194027</v>
      </c>
      <c r="AN21" s="23">
        <v>27720</v>
      </c>
      <c r="AO21" s="23">
        <v>27720</v>
      </c>
      <c r="AP21" s="23">
        <v>27720</v>
      </c>
      <c r="AQ21" s="23">
        <v>11499.870646766169</v>
      </c>
      <c r="AR21" s="23">
        <v>2290.2686567164178</v>
      </c>
      <c r="AS21" s="23">
        <v>8073.2139303482591</v>
      </c>
      <c r="AT21" s="23">
        <v>7123.5920398009948</v>
      </c>
    </row>
    <row r="22" spans="2:46">
      <c r="B22" s="23">
        <f t="shared" ca="1" si="8"/>
        <v>251</v>
      </c>
      <c r="C22" s="23">
        <f t="shared" ca="1" si="9"/>
        <v>251</v>
      </c>
      <c r="D22" s="23">
        <f t="shared" ca="1" si="4"/>
        <v>14385</v>
      </c>
      <c r="E22" s="23">
        <f t="shared" ca="1" si="5"/>
        <v>0</v>
      </c>
      <c r="F22" s="23">
        <f t="shared" si="10"/>
        <v>168</v>
      </c>
      <c r="G22" s="23">
        <f t="shared" ca="1" si="11"/>
        <v>0</v>
      </c>
      <c r="H22" s="23">
        <f t="shared" ca="1" si="6"/>
        <v>251</v>
      </c>
      <c r="I22" s="23">
        <f t="shared" ca="1" si="7"/>
        <v>14385</v>
      </c>
      <c r="K22" s="23">
        <v>210</v>
      </c>
      <c r="L22" s="23">
        <v>16332.338308457711</v>
      </c>
      <c r="P22" s="10">
        <v>325</v>
      </c>
      <c r="Q22" s="23">
        <v>6613.5373134328356</v>
      </c>
      <c r="R22" s="23">
        <v>8736.7313432835817</v>
      </c>
      <c r="S22" s="23">
        <v>17554.447761194031</v>
      </c>
      <c r="T22" s="23">
        <v>9649.0895522388055</v>
      </c>
      <c r="U22" s="23">
        <v>11856.23880597015</v>
      </c>
      <c r="V22" s="23">
        <v>6277.5820895522384</v>
      </c>
      <c r="W22" s="23">
        <v>22750</v>
      </c>
      <c r="X22" s="23">
        <v>22750</v>
      </c>
      <c r="Y22" s="23">
        <v>22750</v>
      </c>
      <c r="Z22" s="23">
        <v>10135.089552238805</v>
      </c>
      <c r="AA22" s="23">
        <v>1328.9253731343283</v>
      </c>
      <c r="AB22" s="23">
        <v>7224.4626865671644</v>
      </c>
      <c r="AC22" s="23">
        <v>4728.1044776119406</v>
      </c>
      <c r="AG22" s="10">
        <v>325</v>
      </c>
      <c r="AH22" s="23">
        <v>7017.0497512437814</v>
      </c>
      <c r="AI22" s="23">
        <v>10172.248756218905</v>
      </c>
      <c r="AJ22" s="23">
        <v>18878.29353233831</v>
      </c>
      <c r="AK22" s="23">
        <v>9415.432835820895</v>
      </c>
      <c r="AL22" s="23">
        <v>12825.60199004975</v>
      </c>
      <c r="AM22" s="23">
        <v>6389.1990049751248</v>
      </c>
      <c r="AN22" s="23">
        <v>29470</v>
      </c>
      <c r="AO22" s="23">
        <v>29470</v>
      </c>
      <c r="AP22" s="23">
        <v>29470</v>
      </c>
      <c r="AQ22" s="23">
        <v>11710.825870646766</v>
      </c>
      <c r="AR22" s="23">
        <v>1031.278606965174</v>
      </c>
      <c r="AS22" s="23">
        <v>6745.4825870646764</v>
      </c>
      <c r="AT22" s="23">
        <v>5683.6815920398012</v>
      </c>
    </row>
    <row r="23" spans="2:46">
      <c r="B23" s="23">
        <f t="shared" ca="1" si="8"/>
        <v>127</v>
      </c>
      <c r="C23" s="23">
        <f t="shared" ca="1" si="9"/>
        <v>127</v>
      </c>
      <c r="D23" s="23">
        <f t="shared" ca="1" si="4"/>
        <v>-2355</v>
      </c>
      <c r="E23" s="23">
        <f t="shared" ca="1" si="5"/>
        <v>0</v>
      </c>
      <c r="F23" s="23">
        <f t="shared" si="10"/>
        <v>168</v>
      </c>
      <c r="G23" s="23">
        <f t="shared" ca="1" si="11"/>
        <v>0</v>
      </c>
      <c r="H23" s="23">
        <f t="shared" ca="1" si="6"/>
        <v>127</v>
      </c>
      <c r="I23" s="23">
        <f t="shared" ca="1" si="7"/>
        <v>-2355</v>
      </c>
      <c r="K23" s="23">
        <v>220</v>
      </c>
      <c r="L23" s="23">
        <v>16242.76119402985</v>
      </c>
      <c r="P23" s="10">
        <v>350</v>
      </c>
      <c r="Q23" s="23">
        <v>6386.7611940298511</v>
      </c>
      <c r="R23" s="23">
        <v>8637.432835820895</v>
      </c>
      <c r="S23" s="23">
        <v>17172.119402985074</v>
      </c>
      <c r="T23" s="23">
        <v>7841.8059701492539</v>
      </c>
      <c r="U23" s="23">
        <v>10912.014925373134</v>
      </c>
      <c r="V23" s="23">
        <v>5612.0895522388064</v>
      </c>
      <c r="W23" s="23">
        <v>24500</v>
      </c>
      <c r="X23" s="23">
        <v>24500</v>
      </c>
      <c r="Y23" s="23">
        <v>24500</v>
      </c>
      <c r="Z23" s="23">
        <v>10086.701492537313</v>
      </c>
      <c r="AA23" s="23">
        <v>-795.2388059701492</v>
      </c>
      <c r="AB23" s="23">
        <v>5390.9850746268658</v>
      </c>
      <c r="AC23" s="23">
        <v>3867.7014925373132</v>
      </c>
      <c r="AG23" s="10">
        <v>350</v>
      </c>
      <c r="AH23" s="23">
        <v>5635.4477611940301</v>
      </c>
      <c r="AI23" s="23">
        <v>8728.2338308457711</v>
      </c>
      <c r="AJ23" s="23">
        <v>18456.139303482589</v>
      </c>
      <c r="AK23" s="23">
        <v>9083.5621890547263</v>
      </c>
      <c r="AL23" s="23">
        <v>10885.577114427861</v>
      </c>
      <c r="AM23" s="23">
        <v>5700.8159203980103</v>
      </c>
      <c r="AN23" s="23">
        <v>31220</v>
      </c>
      <c r="AO23" s="23">
        <v>31220</v>
      </c>
      <c r="AP23" s="23">
        <v>31220</v>
      </c>
      <c r="AQ23" s="23">
        <v>9672.2835820895525</v>
      </c>
      <c r="AR23" s="23">
        <v>-1140.5771144278608</v>
      </c>
      <c r="AS23" s="23">
        <v>5510.3880597014922</v>
      </c>
      <c r="AT23" s="23">
        <v>3149.8009950248756</v>
      </c>
    </row>
    <row r="24" spans="2:46">
      <c r="B24" s="23">
        <f t="shared" ca="1" si="8"/>
        <v>486</v>
      </c>
      <c r="C24" s="23">
        <f t="shared" ca="1" si="9"/>
        <v>300</v>
      </c>
      <c r="D24" s="23">
        <f t="shared" ca="1" si="4"/>
        <v>21000</v>
      </c>
      <c r="E24" s="23">
        <f t="shared" ca="1" si="5"/>
        <v>186</v>
      </c>
      <c r="F24" s="23">
        <f t="shared" si="10"/>
        <v>168</v>
      </c>
      <c r="G24" s="23">
        <f t="shared" ca="1" si="11"/>
        <v>168</v>
      </c>
      <c r="H24" s="23">
        <f t="shared" ca="1" si="6"/>
        <v>468</v>
      </c>
      <c r="I24" s="23">
        <f t="shared" ca="1" si="7"/>
        <v>27720</v>
      </c>
      <c r="K24" s="23">
        <v>230</v>
      </c>
      <c r="L24" s="23">
        <v>16638.691542288558</v>
      </c>
      <c r="P24" s="10">
        <v>375</v>
      </c>
      <c r="Q24" s="23">
        <v>3869.1492537313434</v>
      </c>
      <c r="R24" s="23">
        <v>7387.4776119402986</v>
      </c>
      <c r="S24" s="23">
        <v>16695.089552238805</v>
      </c>
      <c r="T24" s="23">
        <v>6481.7014925373132</v>
      </c>
      <c r="U24" s="23">
        <v>10192.253731343284</v>
      </c>
      <c r="V24" s="23">
        <v>4020.6716417910447</v>
      </c>
      <c r="W24" s="23">
        <v>26250</v>
      </c>
      <c r="X24" s="23">
        <v>26250</v>
      </c>
      <c r="Y24" s="23">
        <v>26250</v>
      </c>
      <c r="Z24" s="23">
        <v>8348.059701492537</v>
      </c>
      <c r="AA24" s="23">
        <v>-1984.2089552238806</v>
      </c>
      <c r="AB24" s="23">
        <v>3832.4776119402986</v>
      </c>
      <c r="AC24" s="23">
        <v>2476.9701492537315</v>
      </c>
      <c r="AG24" s="10">
        <v>375</v>
      </c>
      <c r="AH24" s="23">
        <v>4914.686567164179</v>
      </c>
      <c r="AI24" s="23">
        <v>7563.2388059701489</v>
      </c>
      <c r="AJ24" s="23">
        <v>18283.288557213931</v>
      </c>
      <c r="AK24" s="23">
        <v>7401.6318407960198</v>
      </c>
      <c r="AL24" s="23">
        <v>9943.3582089552237</v>
      </c>
      <c r="AM24" s="23">
        <v>3937.6517412935323</v>
      </c>
      <c r="AN24" s="23">
        <v>32970</v>
      </c>
      <c r="AO24" s="23">
        <v>32970</v>
      </c>
      <c r="AP24" s="23">
        <v>32970</v>
      </c>
      <c r="AQ24" s="23">
        <v>8246.8507462686575</v>
      </c>
      <c r="AR24" s="23">
        <v>-1671.8258706467661</v>
      </c>
      <c r="AS24" s="23">
        <v>4263.4029850746265</v>
      </c>
      <c r="AT24" s="23">
        <v>2190.7462686567164</v>
      </c>
    </row>
    <row r="25" spans="2:46">
      <c r="B25" s="23">
        <f t="shared" ca="1" si="8"/>
        <v>161</v>
      </c>
      <c r="C25" s="23">
        <f t="shared" ca="1" si="9"/>
        <v>161</v>
      </c>
      <c r="D25" s="23">
        <f t="shared" ca="1" si="4"/>
        <v>2235</v>
      </c>
      <c r="E25" s="23">
        <f t="shared" ca="1" si="5"/>
        <v>0</v>
      </c>
      <c r="F25" s="23">
        <f t="shared" si="10"/>
        <v>168</v>
      </c>
      <c r="G25" s="23">
        <f t="shared" ca="1" si="11"/>
        <v>0</v>
      </c>
      <c r="H25" s="23">
        <f t="shared" ca="1" si="6"/>
        <v>161</v>
      </c>
      <c r="I25" s="23">
        <f t="shared" ca="1" si="7"/>
        <v>2235</v>
      </c>
      <c r="K25" s="23">
        <v>240</v>
      </c>
      <c r="L25" s="23">
        <v>15825.059701492537</v>
      </c>
      <c r="P25" s="10">
        <v>400</v>
      </c>
      <c r="Q25" s="23">
        <v>2683.2686567164178</v>
      </c>
      <c r="R25" s="23">
        <v>5471.3880597014922</v>
      </c>
      <c r="S25" s="23">
        <v>16146.865671641792</v>
      </c>
      <c r="T25" s="23">
        <v>5390.5223880597014</v>
      </c>
      <c r="U25" s="23">
        <v>7843.4925373134329</v>
      </c>
      <c r="V25" s="23">
        <v>1972.8059701492537</v>
      </c>
      <c r="W25" s="23">
        <v>28000</v>
      </c>
      <c r="X25" s="23">
        <v>28000</v>
      </c>
      <c r="Y25" s="23">
        <v>28000</v>
      </c>
      <c r="Z25" s="23">
        <v>7045.7164179104475</v>
      </c>
      <c r="AA25" s="23">
        <v>-3790.8208955223881</v>
      </c>
      <c r="AB25" s="23">
        <v>3012.5074626865671</v>
      </c>
      <c r="AC25" s="23">
        <v>1186.1791044776119</v>
      </c>
      <c r="AG25" s="10">
        <v>400</v>
      </c>
      <c r="AH25" s="23">
        <v>2917.0845771144277</v>
      </c>
      <c r="AI25" s="23">
        <v>6038.5422885572143</v>
      </c>
      <c r="AJ25" s="23">
        <v>16940.004975124379</v>
      </c>
      <c r="AK25" s="23">
        <v>5562.7960199004974</v>
      </c>
      <c r="AL25" s="23">
        <v>8822</v>
      </c>
      <c r="AM25" s="23">
        <v>2190.0696517412935</v>
      </c>
      <c r="AN25" s="23">
        <v>34720</v>
      </c>
      <c r="AO25" s="23">
        <v>34720</v>
      </c>
      <c r="AP25" s="23">
        <v>34720</v>
      </c>
      <c r="AQ25" s="23">
        <v>7279.4726368159209</v>
      </c>
      <c r="AR25" s="23">
        <v>-3587.8855721393033</v>
      </c>
      <c r="AS25" s="23">
        <v>2158.9850746268658</v>
      </c>
      <c r="AT25" s="23">
        <v>784.02985074626861</v>
      </c>
    </row>
    <row r="26" spans="2:46">
      <c r="B26" s="23">
        <f t="shared" ca="1" si="8"/>
        <v>51</v>
      </c>
      <c r="C26" s="23">
        <f t="shared" ca="1" si="9"/>
        <v>51</v>
      </c>
      <c r="D26" s="23">
        <f t="shared" ca="1" si="4"/>
        <v>-12615</v>
      </c>
      <c r="E26" s="23">
        <f t="shared" ca="1" si="5"/>
        <v>0</v>
      </c>
      <c r="F26" s="23">
        <f t="shared" si="10"/>
        <v>168</v>
      </c>
      <c r="G26" s="23">
        <f t="shared" ca="1" si="11"/>
        <v>0</v>
      </c>
      <c r="H26" s="23">
        <f t="shared" ca="1" si="6"/>
        <v>51</v>
      </c>
      <c r="I26" s="23">
        <f t="shared" ca="1" si="7"/>
        <v>-12615</v>
      </c>
      <c r="K26" s="23">
        <v>250</v>
      </c>
      <c r="L26" s="23">
        <v>16036.199004975124</v>
      </c>
      <c r="P26" s="10">
        <v>425</v>
      </c>
      <c r="Q26" s="23">
        <v>6.4776119402985071</v>
      </c>
      <c r="R26" s="23">
        <v>5154.0746268656712</v>
      </c>
      <c r="S26" s="23">
        <v>15864.746268656716</v>
      </c>
      <c r="T26" s="23">
        <v>3867.8805970149256</v>
      </c>
      <c r="U26" s="23">
        <v>8324.626865671642</v>
      </c>
      <c r="V26" s="23">
        <v>758.04477611940297</v>
      </c>
      <c r="W26" s="23">
        <v>29750</v>
      </c>
      <c r="X26" s="23">
        <v>29750</v>
      </c>
      <c r="Y26" s="23">
        <v>29750</v>
      </c>
      <c r="Z26" s="23">
        <v>5543.8955223880594</v>
      </c>
      <c r="AA26" s="23">
        <v>-5301.6417910447763</v>
      </c>
      <c r="AB26" s="23">
        <v>1136.313432835821</v>
      </c>
      <c r="AC26" s="23">
        <v>-99.776119402985074</v>
      </c>
      <c r="AG26" s="10">
        <v>425</v>
      </c>
      <c r="AH26" s="23">
        <v>695.80099502487565</v>
      </c>
      <c r="AI26" s="23">
        <v>4488.4577114427857</v>
      </c>
      <c r="AJ26" s="23">
        <v>15646.835820895523</v>
      </c>
      <c r="AK26" s="23">
        <v>4721.2388059701489</v>
      </c>
      <c r="AL26" s="23">
        <v>7550.587064676617</v>
      </c>
      <c r="AM26" s="23">
        <v>840.37810945273634</v>
      </c>
      <c r="AN26" s="23">
        <v>36470</v>
      </c>
      <c r="AO26" s="23">
        <v>36470</v>
      </c>
      <c r="AP26" s="23">
        <v>36470</v>
      </c>
      <c r="AQ26" s="23">
        <v>6118.960199004975</v>
      </c>
      <c r="AR26" s="23">
        <v>-5476.9950248756222</v>
      </c>
      <c r="AS26" s="23">
        <v>34.626865671641788</v>
      </c>
      <c r="AT26" s="23">
        <v>-981.27860696517416</v>
      </c>
    </row>
    <row r="27" spans="2:46">
      <c r="B27" s="23">
        <f t="shared" ca="1" si="8"/>
        <v>260</v>
      </c>
      <c r="C27" s="23">
        <f t="shared" ca="1" si="9"/>
        <v>260</v>
      </c>
      <c r="D27" s="23">
        <f t="shared" ca="1" si="4"/>
        <v>15600</v>
      </c>
      <c r="E27" s="23">
        <f t="shared" ca="1" si="5"/>
        <v>0</v>
      </c>
      <c r="F27" s="23">
        <f t="shared" si="10"/>
        <v>168</v>
      </c>
      <c r="G27" s="23">
        <f t="shared" ca="1" si="11"/>
        <v>0</v>
      </c>
      <c r="H27" s="23">
        <f t="shared" ca="1" si="6"/>
        <v>260</v>
      </c>
      <c r="I27" s="23">
        <f t="shared" ca="1" si="7"/>
        <v>15600</v>
      </c>
      <c r="K27" s="23">
        <v>260</v>
      </c>
      <c r="L27" s="23">
        <v>16840.786069651742</v>
      </c>
      <c r="P27" s="10">
        <v>450</v>
      </c>
      <c r="Q27" s="23">
        <v>-639.94029850746267</v>
      </c>
      <c r="R27" s="23">
        <v>2330.5970149253731</v>
      </c>
      <c r="S27" s="23">
        <v>14088.89552238806</v>
      </c>
      <c r="T27" s="23">
        <v>2539.7462686567164</v>
      </c>
      <c r="U27" s="23">
        <v>5097.0895522388064</v>
      </c>
      <c r="V27" s="23">
        <v>-1102.4328358208954</v>
      </c>
      <c r="W27" s="23">
        <v>31500</v>
      </c>
      <c r="X27" s="23">
        <v>31500</v>
      </c>
      <c r="Y27" s="23">
        <v>31500</v>
      </c>
      <c r="Z27" s="23">
        <v>4969.4776119402986</v>
      </c>
      <c r="AA27" s="23">
        <v>-6128.8656716417909</v>
      </c>
      <c r="AB27" s="23">
        <v>603.40298507462683</v>
      </c>
      <c r="AC27" s="23">
        <v>-3066.9850746268658</v>
      </c>
      <c r="AG27" s="10">
        <v>450</v>
      </c>
      <c r="AH27" s="23">
        <v>-626.78109452736317</v>
      </c>
      <c r="AI27" s="23">
        <v>3403.8407960199006</v>
      </c>
      <c r="AJ27" s="23">
        <v>14306.228855721392</v>
      </c>
      <c r="AK27" s="23">
        <v>2497.5422885572139</v>
      </c>
      <c r="AL27" s="23">
        <v>5602.9154228855723</v>
      </c>
      <c r="AM27" s="23">
        <v>-890.36318407960198</v>
      </c>
      <c r="AN27" s="23">
        <v>38220</v>
      </c>
      <c r="AO27" s="23">
        <v>38220</v>
      </c>
      <c r="AP27" s="23">
        <v>38220</v>
      </c>
      <c r="AQ27" s="23">
        <v>4188.726368159204</v>
      </c>
      <c r="AR27" s="23">
        <v>-6489.6616915422883</v>
      </c>
      <c r="AS27" s="23">
        <v>-16.144278606965173</v>
      </c>
      <c r="AT27" s="23">
        <v>-1918.9452736318408</v>
      </c>
    </row>
    <row r="28" spans="2:46">
      <c r="B28" s="23">
        <f t="shared" ca="1" si="8"/>
        <v>270</v>
      </c>
      <c r="C28" s="23">
        <f t="shared" ca="1" si="9"/>
        <v>270</v>
      </c>
      <c r="D28" s="23">
        <f t="shared" ca="1" si="4"/>
        <v>16950</v>
      </c>
      <c r="E28" s="23">
        <f t="shared" ca="1" si="5"/>
        <v>0</v>
      </c>
      <c r="F28" s="23">
        <f t="shared" si="10"/>
        <v>168</v>
      </c>
      <c r="G28" s="23">
        <f t="shared" ca="1" si="11"/>
        <v>0</v>
      </c>
      <c r="H28" s="23">
        <f t="shared" ca="1" si="6"/>
        <v>270</v>
      </c>
      <c r="I28" s="23">
        <f t="shared" ca="1" si="7"/>
        <v>16950</v>
      </c>
      <c r="K28" s="23">
        <v>270</v>
      </c>
      <c r="L28" s="23">
        <v>16164.034825870647</v>
      </c>
      <c r="P28" s="10">
        <v>475</v>
      </c>
      <c r="Q28" s="23">
        <v>-2583.9701492537315</v>
      </c>
      <c r="R28" s="23">
        <v>919.04477611940297</v>
      </c>
      <c r="S28" s="23">
        <v>12871.044776119403</v>
      </c>
      <c r="T28" s="23">
        <v>2101</v>
      </c>
      <c r="U28" s="23">
        <v>4136.6119402985078</v>
      </c>
      <c r="V28" s="23">
        <v>-2729.1791044776119</v>
      </c>
      <c r="W28" s="23">
        <v>33250</v>
      </c>
      <c r="X28" s="23">
        <v>33250</v>
      </c>
      <c r="Y28" s="23">
        <v>33250</v>
      </c>
      <c r="Z28" s="23">
        <v>2922.5522388059703</v>
      </c>
      <c r="AA28" s="23">
        <v>-9284.5373134328365</v>
      </c>
      <c r="AB28" s="23">
        <v>-1913.9402985074628</v>
      </c>
      <c r="AC28" s="23">
        <v>-4678.0149253731342</v>
      </c>
      <c r="AG28" s="10">
        <v>475</v>
      </c>
      <c r="AH28" s="23">
        <v>-2534.950248756219</v>
      </c>
      <c r="AI28" s="23">
        <v>1825.7611940298507</v>
      </c>
      <c r="AJ28" s="23">
        <v>13111.900497512437</v>
      </c>
      <c r="AK28" s="23">
        <v>1577.044776119403</v>
      </c>
      <c r="AL28" s="23">
        <v>4466.626865671642</v>
      </c>
      <c r="AM28" s="23">
        <v>-2511.2686567164178</v>
      </c>
      <c r="AN28" s="23">
        <v>39970</v>
      </c>
      <c r="AO28" s="23">
        <v>39970</v>
      </c>
      <c r="AP28" s="23">
        <v>39966.258706467663</v>
      </c>
      <c r="AQ28" s="23">
        <v>3265.6915422885572</v>
      </c>
      <c r="AR28" s="23">
        <v>-8680.9452736318417</v>
      </c>
      <c r="AS28" s="23">
        <v>-2213.4975124378111</v>
      </c>
      <c r="AT28" s="23">
        <v>-4271.646766169154</v>
      </c>
    </row>
    <row r="29" spans="2:46">
      <c r="B29" s="23">
        <f t="shared" ca="1" si="8"/>
        <v>361</v>
      </c>
      <c r="C29" s="23">
        <f t="shared" ca="1" si="9"/>
        <v>300</v>
      </c>
      <c r="D29" s="23">
        <f t="shared" ca="1" si="4"/>
        <v>21000</v>
      </c>
      <c r="E29" s="23">
        <f t="shared" ca="1" si="5"/>
        <v>61</v>
      </c>
      <c r="F29" s="23">
        <f t="shared" si="10"/>
        <v>168</v>
      </c>
      <c r="G29" s="23">
        <f t="shared" ca="1" si="11"/>
        <v>61</v>
      </c>
      <c r="H29" s="23">
        <f t="shared" ca="1" si="6"/>
        <v>361</v>
      </c>
      <c r="I29" s="23">
        <f t="shared" ca="1" si="7"/>
        <v>23440</v>
      </c>
      <c r="K29" s="23">
        <v>280</v>
      </c>
      <c r="L29" s="23">
        <v>16219.228855721392</v>
      </c>
      <c r="P29" s="10">
        <v>500</v>
      </c>
      <c r="Q29" s="23">
        <v>-3948.1044776119402</v>
      </c>
      <c r="R29" s="23">
        <v>-79.044776119402982</v>
      </c>
      <c r="S29" s="23">
        <v>12422.492537313432</v>
      </c>
      <c r="T29" s="23">
        <v>-620.25373134328356</v>
      </c>
      <c r="U29" s="23">
        <v>2586.2985074626868</v>
      </c>
      <c r="V29" s="23">
        <v>-3405.1492537313434</v>
      </c>
      <c r="W29" s="23">
        <v>35000</v>
      </c>
      <c r="X29" s="23">
        <v>35000</v>
      </c>
      <c r="Y29" s="23">
        <v>35000</v>
      </c>
      <c r="Z29" s="23">
        <v>1924.7313432835822</v>
      </c>
      <c r="AA29" s="23">
        <v>-8964.7313432835817</v>
      </c>
      <c r="AB29" s="23">
        <v>-4635.1940298507461</v>
      </c>
      <c r="AC29" s="23">
        <v>-5680.5373134328356</v>
      </c>
      <c r="AG29" s="10">
        <v>500</v>
      </c>
      <c r="AH29" s="23">
        <v>-4097.5721393034828</v>
      </c>
      <c r="AI29" s="23">
        <v>-458.03482587064678</v>
      </c>
      <c r="AJ29" s="23">
        <v>12477.626865671642</v>
      </c>
      <c r="AK29" s="23">
        <v>-487.01990049751242</v>
      </c>
      <c r="AL29" s="23">
        <v>2905.1840796019901</v>
      </c>
      <c r="AM29" s="23">
        <v>-3868.2636815920396</v>
      </c>
      <c r="AN29" s="23">
        <v>41720</v>
      </c>
      <c r="AO29" s="23">
        <v>41720</v>
      </c>
      <c r="AP29" s="23">
        <v>41720</v>
      </c>
      <c r="AQ29" s="23">
        <v>1081.4029850746269</v>
      </c>
      <c r="AR29" s="23">
        <v>-9924.373134328358</v>
      </c>
      <c r="AS29" s="23">
        <v>-3231.0995024875624</v>
      </c>
      <c r="AT29" s="23">
        <v>-6111.5472636815921</v>
      </c>
    </row>
    <row r="30" spans="2:46">
      <c r="B30" s="23">
        <f t="shared" ca="1" si="8"/>
        <v>417</v>
      </c>
      <c r="C30" s="23">
        <f t="shared" ca="1" si="9"/>
        <v>300</v>
      </c>
      <c r="D30" s="23">
        <f t="shared" ca="1" si="4"/>
        <v>21000</v>
      </c>
      <c r="E30" s="23">
        <f t="shared" ca="1" si="5"/>
        <v>117</v>
      </c>
      <c r="F30" s="23">
        <f t="shared" si="10"/>
        <v>168</v>
      </c>
      <c r="G30" s="23">
        <f t="shared" ca="1" si="11"/>
        <v>117</v>
      </c>
      <c r="H30" s="23">
        <f t="shared" ca="1" si="6"/>
        <v>417</v>
      </c>
      <c r="I30" s="23">
        <f t="shared" ca="1" si="7"/>
        <v>25680</v>
      </c>
      <c r="K30" s="23">
        <v>290</v>
      </c>
      <c r="L30" s="23">
        <v>16094.109452736318</v>
      </c>
      <c r="P30" s="10">
        <v>525</v>
      </c>
      <c r="Q30" s="23">
        <v>-4713.1343283582091</v>
      </c>
      <c r="R30" s="23">
        <v>-2684.9104477611941</v>
      </c>
      <c r="S30" s="23">
        <v>10963.388059701492</v>
      </c>
      <c r="T30" s="23">
        <v>-1622.5074626865671</v>
      </c>
      <c r="U30" s="23">
        <v>2013.4925373134329</v>
      </c>
      <c r="V30" s="23">
        <v>-4919.3283582089553</v>
      </c>
      <c r="W30" s="23">
        <v>36750</v>
      </c>
      <c r="X30" s="23">
        <v>36750</v>
      </c>
      <c r="Y30" s="23">
        <v>36750</v>
      </c>
      <c r="Z30" s="23">
        <v>-212.19402985074626</v>
      </c>
      <c r="AA30" s="23">
        <v>-11274.805970149253</v>
      </c>
      <c r="AB30" s="23">
        <v>-5151.0447761194027</v>
      </c>
      <c r="AC30" s="23">
        <v>-7080.5373134328356</v>
      </c>
      <c r="AG30" s="10">
        <v>525</v>
      </c>
      <c r="AH30" s="23">
        <v>-5352.940298507463</v>
      </c>
      <c r="AI30" s="23">
        <v>-1836.0895522388059</v>
      </c>
      <c r="AJ30" s="23">
        <v>10063.900497512437</v>
      </c>
      <c r="AK30" s="23">
        <v>-2522.2388059701493</v>
      </c>
      <c r="AL30" s="23">
        <v>1442.273631840796</v>
      </c>
      <c r="AM30" s="23">
        <v>-5593.3980099502487</v>
      </c>
      <c r="AN30" s="23">
        <v>43470</v>
      </c>
      <c r="AO30" s="23">
        <v>43470</v>
      </c>
      <c r="AP30" s="23">
        <v>43469.800995024874</v>
      </c>
      <c r="AQ30" s="23">
        <v>-102.48756218905473</v>
      </c>
      <c r="AR30" s="23">
        <v>-11487.582089552239</v>
      </c>
      <c r="AS30" s="23">
        <v>-5659.1492537313434</v>
      </c>
      <c r="AT30" s="23">
        <v>-7650.1592039800998</v>
      </c>
    </row>
    <row r="31" spans="2:46">
      <c r="B31" s="23">
        <f t="shared" ca="1" si="8"/>
        <v>101</v>
      </c>
      <c r="C31" s="23">
        <f t="shared" ca="1" si="9"/>
        <v>101</v>
      </c>
      <c r="D31" s="23">
        <f t="shared" ca="1" si="4"/>
        <v>-5865</v>
      </c>
      <c r="E31" s="23">
        <f t="shared" ca="1" si="5"/>
        <v>0</v>
      </c>
      <c r="F31" s="23">
        <f t="shared" si="10"/>
        <v>168</v>
      </c>
      <c r="G31" s="23">
        <f t="shared" ca="1" si="11"/>
        <v>0</v>
      </c>
      <c r="H31" s="23">
        <f t="shared" ca="1" si="6"/>
        <v>101</v>
      </c>
      <c r="I31" s="23">
        <f t="shared" ca="1" si="7"/>
        <v>-5865</v>
      </c>
      <c r="K31" s="23">
        <v>300</v>
      </c>
      <c r="L31" s="23">
        <v>15595.258706467661</v>
      </c>
      <c r="P31" s="10">
        <v>550</v>
      </c>
      <c r="Q31" s="23">
        <v>-6143.0895522388064</v>
      </c>
      <c r="R31" s="23">
        <v>-3458.9402985074626</v>
      </c>
      <c r="S31" s="23">
        <v>9188.4776119402977</v>
      </c>
      <c r="T31" s="23">
        <v>-3974.7611940298507</v>
      </c>
      <c r="U31" s="23">
        <v>-522.6567164179105</v>
      </c>
      <c r="V31" s="23">
        <v>-7430.7611940298511</v>
      </c>
      <c r="W31" s="23">
        <v>38500</v>
      </c>
      <c r="X31" s="23">
        <v>38500</v>
      </c>
      <c r="Y31" s="23">
        <v>38500</v>
      </c>
      <c r="Z31" s="23">
        <v>-2701.7313432835822</v>
      </c>
      <c r="AA31" s="23">
        <v>-13294.328358208955</v>
      </c>
      <c r="AB31" s="23">
        <v>-6940.059701492537</v>
      </c>
      <c r="AC31" s="23">
        <v>-8930</v>
      </c>
      <c r="AG31" s="10">
        <v>550</v>
      </c>
      <c r="AH31" s="23">
        <v>-7251.4328358208959</v>
      </c>
      <c r="AI31" s="23">
        <v>-3099.1990049751244</v>
      </c>
      <c r="AJ31" s="23">
        <v>8268.3034825870654</v>
      </c>
      <c r="AK31" s="23">
        <v>-3563.3184079601988</v>
      </c>
      <c r="AL31" s="23">
        <v>-269.7512437810945</v>
      </c>
      <c r="AM31" s="23">
        <v>-6541.5074626865671</v>
      </c>
      <c r="AN31" s="23">
        <v>45216.616915422885</v>
      </c>
      <c r="AO31" s="23">
        <v>45216.975124378107</v>
      </c>
      <c r="AP31" s="23">
        <v>45216.378109452737</v>
      </c>
      <c r="AQ31" s="23">
        <v>-2279.9701492537315</v>
      </c>
      <c r="AR31" s="23">
        <v>-12903.298507462687</v>
      </c>
      <c r="AS31" s="23">
        <v>-6688.5174129353236</v>
      </c>
      <c r="AT31" s="23">
        <v>-8679.880597014926</v>
      </c>
    </row>
    <row r="32" spans="2:46">
      <c r="B32" s="23">
        <f t="shared" ca="1" si="8"/>
        <v>416</v>
      </c>
      <c r="C32" s="23">
        <f t="shared" ca="1" si="9"/>
        <v>300</v>
      </c>
      <c r="D32" s="23">
        <f t="shared" ca="1" si="4"/>
        <v>21000</v>
      </c>
      <c r="E32" s="23">
        <f t="shared" ca="1" si="5"/>
        <v>116</v>
      </c>
      <c r="F32" s="23">
        <f t="shared" si="10"/>
        <v>168</v>
      </c>
      <c r="G32" s="23">
        <f t="shared" ca="1" si="11"/>
        <v>116</v>
      </c>
      <c r="H32" s="23">
        <f t="shared" ca="1" si="6"/>
        <v>416</v>
      </c>
      <c r="I32" s="23">
        <f t="shared" ca="1" si="7"/>
        <v>25640</v>
      </c>
      <c r="K32" s="23">
        <v>310</v>
      </c>
      <c r="L32" s="23">
        <v>15774.73631840796</v>
      </c>
      <c r="P32" s="10">
        <v>575</v>
      </c>
      <c r="Q32" s="23">
        <v>-8639.746268656716</v>
      </c>
      <c r="R32" s="23">
        <v>-5209.2686567164183</v>
      </c>
      <c r="S32" s="23">
        <v>7345.8656716417909</v>
      </c>
      <c r="T32" s="23">
        <v>-5485.8507462686566</v>
      </c>
      <c r="U32" s="23">
        <v>-2024.2089552238806</v>
      </c>
      <c r="V32" s="23">
        <v>-8921.9701492537315</v>
      </c>
      <c r="W32" s="23">
        <v>40250</v>
      </c>
      <c r="X32" s="23">
        <v>40250</v>
      </c>
      <c r="Y32" s="23">
        <v>40250</v>
      </c>
      <c r="Z32" s="23">
        <v>-3908.4328358208954</v>
      </c>
      <c r="AA32" s="23">
        <v>-14737.985074626866</v>
      </c>
      <c r="AB32" s="23">
        <v>-9074.567164179105</v>
      </c>
      <c r="AC32" s="23">
        <v>-10046.701492537313</v>
      </c>
      <c r="AG32" s="10">
        <v>575</v>
      </c>
      <c r="AH32" s="23">
        <v>-8766.2835820895525</v>
      </c>
      <c r="AI32" s="23">
        <v>-5501.3482587064673</v>
      </c>
      <c r="AJ32" s="23">
        <v>7729.6716417910447</v>
      </c>
      <c r="AK32" s="23">
        <v>-5794.940298507463</v>
      </c>
      <c r="AL32" s="23">
        <v>-2613.5124378109454</v>
      </c>
      <c r="AM32" s="23">
        <v>-8691.7313432835817</v>
      </c>
      <c r="AN32" s="23">
        <v>46968.368159203979</v>
      </c>
      <c r="AO32" s="23">
        <v>46965.343283582093</v>
      </c>
      <c r="AP32" s="23">
        <v>46962</v>
      </c>
      <c r="AQ32" s="23">
        <v>-4241.0895522388064</v>
      </c>
      <c r="AR32" s="23">
        <v>-15437.970149253732</v>
      </c>
      <c r="AS32" s="23">
        <v>-9156.507462686568</v>
      </c>
      <c r="AT32" s="23">
        <v>-10980.686567164179</v>
      </c>
    </row>
    <row r="33" spans="2:46">
      <c r="B33" s="23">
        <f t="shared" ca="1" si="8"/>
        <v>107</v>
      </c>
      <c r="C33" s="23">
        <f t="shared" ca="1" si="9"/>
        <v>107</v>
      </c>
      <c r="D33" s="23">
        <f t="shared" ca="1" si="4"/>
        <v>-5055</v>
      </c>
      <c r="E33" s="23">
        <f t="shared" ca="1" si="5"/>
        <v>0</v>
      </c>
      <c r="F33" s="23">
        <f t="shared" si="10"/>
        <v>168</v>
      </c>
      <c r="G33" s="23">
        <f t="shared" ca="1" si="11"/>
        <v>0</v>
      </c>
      <c r="H33" s="23">
        <f t="shared" ca="1" si="6"/>
        <v>107</v>
      </c>
      <c r="I33" s="23">
        <f t="shared" ca="1" si="7"/>
        <v>-5055</v>
      </c>
      <c r="K33" s="23">
        <v>320</v>
      </c>
      <c r="L33" s="23">
        <v>15512.02487562189</v>
      </c>
      <c r="P33" s="10">
        <v>600</v>
      </c>
      <c r="Q33" s="23">
        <v>-10593.179104477613</v>
      </c>
      <c r="R33" s="23">
        <v>-6223.746268656716</v>
      </c>
      <c r="S33" s="23">
        <v>5706.8955223880594</v>
      </c>
      <c r="T33" s="23">
        <v>-7106.5522388059699</v>
      </c>
      <c r="U33" s="23">
        <v>-4394.3283582089553</v>
      </c>
      <c r="V33" s="23">
        <v>-10207.522388059702</v>
      </c>
      <c r="W33" s="23">
        <v>42000</v>
      </c>
      <c r="X33" s="23">
        <v>42000</v>
      </c>
      <c r="Y33" s="23">
        <v>42000</v>
      </c>
      <c r="Z33" s="23">
        <v>-5531.686567164179</v>
      </c>
      <c r="AA33" s="23">
        <v>-17024.417910447763</v>
      </c>
      <c r="AB33" s="23">
        <v>-9043.432835820895</v>
      </c>
      <c r="AC33" s="23">
        <v>-11784.402985074626</v>
      </c>
      <c r="AG33" s="10">
        <v>600</v>
      </c>
      <c r="AH33" s="23">
        <v>-10693.656716417911</v>
      </c>
      <c r="AI33" s="23">
        <v>-6889.8805970149251</v>
      </c>
      <c r="AJ33" s="23">
        <v>6378.6915422885568</v>
      </c>
      <c r="AK33" s="23">
        <v>-6845.1492537313434</v>
      </c>
      <c r="AL33" s="23">
        <v>-4165.4726368159209</v>
      </c>
      <c r="AM33" s="23">
        <v>-9384.3582089552237</v>
      </c>
      <c r="AN33" s="23">
        <v>48714.149253731346</v>
      </c>
      <c r="AO33" s="23">
        <v>48713.751243781095</v>
      </c>
      <c r="AP33" s="23">
        <v>48686.174129353232</v>
      </c>
      <c r="AQ33" s="23">
        <v>-6222.2686567164183</v>
      </c>
      <c r="AR33" s="23">
        <v>-17004.402985074626</v>
      </c>
      <c r="AS33" s="23">
        <v>-10608.492537313432</v>
      </c>
      <c r="AT33" s="23">
        <v>-11943.044776119403</v>
      </c>
    </row>
    <row r="34" spans="2:46">
      <c r="B34" s="23">
        <f t="shared" ca="1" si="8"/>
        <v>432</v>
      </c>
      <c r="C34" s="23">
        <f t="shared" ca="1" si="9"/>
        <v>300</v>
      </c>
      <c r="D34" s="23">
        <f t="shared" ca="1" si="4"/>
        <v>21000</v>
      </c>
      <c r="E34" s="23">
        <f t="shared" ca="1" si="5"/>
        <v>132</v>
      </c>
      <c r="F34" s="23">
        <f t="shared" si="10"/>
        <v>168</v>
      </c>
      <c r="G34" s="23">
        <f t="shared" ca="1" si="11"/>
        <v>132</v>
      </c>
      <c r="H34" s="23">
        <f t="shared" ca="1" si="6"/>
        <v>432</v>
      </c>
      <c r="I34" s="23">
        <f t="shared" ca="1" si="7"/>
        <v>26280</v>
      </c>
      <c r="K34" s="23">
        <v>330</v>
      </c>
      <c r="L34" s="23">
        <v>14335.965174129353</v>
      </c>
      <c r="P34" s="10">
        <v>625</v>
      </c>
      <c r="Q34" s="23">
        <v>-12097.417910447761</v>
      </c>
      <c r="R34" s="23">
        <v>-8438.5820895522393</v>
      </c>
      <c r="S34" s="23">
        <v>4549.4925373134329</v>
      </c>
      <c r="T34" s="23">
        <v>-8185.7761194029854</v>
      </c>
      <c r="U34" s="23">
        <v>-5950.5522388059699</v>
      </c>
      <c r="V34" s="23">
        <v>-11865.970149253732</v>
      </c>
      <c r="W34" s="23">
        <v>43750</v>
      </c>
      <c r="X34" s="23">
        <v>43750</v>
      </c>
      <c r="Y34" s="23">
        <v>43750</v>
      </c>
      <c r="Z34" s="23">
        <v>-6902.2686567164183</v>
      </c>
      <c r="AA34" s="23">
        <v>-18530</v>
      </c>
      <c r="AB34" s="23">
        <v>-11832.522388059702</v>
      </c>
      <c r="AC34" s="23">
        <v>-13969.820895522387</v>
      </c>
      <c r="AG34" s="10">
        <v>625</v>
      </c>
      <c r="AH34" s="23">
        <v>-12037.10447761194</v>
      </c>
      <c r="AI34" s="23">
        <v>-8854.059701492537</v>
      </c>
      <c r="AJ34" s="23">
        <v>4195.2089552238804</v>
      </c>
      <c r="AK34" s="23">
        <v>-7610.4477611940301</v>
      </c>
      <c r="AL34" s="23">
        <v>-5233.8656716417909</v>
      </c>
      <c r="AM34" s="23">
        <v>-12160.149253731342</v>
      </c>
      <c r="AN34" s="23">
        <v>50464.626865671642</v>
      </c>
      <c r="AO34" s="23">
        <v>50465.860696517411</v>
      </c>
      <c r="AP34" s="23">
        <v>50442.855721393033</v>
      </c>
      <c r="AQ34" s="23">
        <v>-6865.3283582089553</v>
      </c>
      <c r="AR34" s="23">
        <v>-18217.820895522389</v>
      </c>
      <c r="AS34" s="23">
        <v>-12311.134328358208</v>
      </c>
      <c r="AT34" s="23">
        <v>-13042.686567164179</v>
      </c>
    </row>
    <row r="35" spans="2:46">
      <c r="B35" s="23">
        <f t="shared" ca="1" si="8"/>
        <v>255</v>
      </c>
      <c r="C35" s="23">
        <f t="shared" ca="1" si="9"/>
        <v>255</v>
      </c>
      <c r="D35" s="23">
        <f t="shared" ca="1" si="4"/>
        <v>14925</v>
      </c>
      <c r="E35" s="23">
        <f t="shared" ca="1" si="5"/>
        <v>0</v>
      </c>
      <c r="F35" s="23">
        <f t="shared" si="10"/>
        <v>168</v>
      </c>
      <c r="G35" s="23">
        <f t="shared" ca="1" si="11"/>
        <v>0</v>
      </c>
      <c r="H35" s="23">
        <f t="shared" ca="1" si="6"/>
        <v>255</v>
      </c>
      <c r="I35" s="23">
        <f t="shared" ca="1" si="7"/>
        <v>14925</v>
      </c>
      <c r="K35" s="23">
        <v>340</v>
      </c>
      <c r="L35" s="23">
        <v>15390.442786069652</v>
      </c>
      <c r="P35" s="10">
        <v>650</v>
      </c>
      <c r="Q35" s="23">
        <v>-13621.671641791045</v>
      </c>
      <c r="R35" s="23">
        <v>-10728.776119402984</v>
      </c>
      <c r="S35" s="23">
        <v>2806.2835820895521</v>
      </c>
      <c r="T35" s="23">
        <v>-10110.597014925374</v>
      </c>
      <c r="U35" s="23">
        <v>-6888.4626865671644</v>
      </c>
      <c r="V35" s="23">
        <v>-13033.044776119403</v>
      </c>
      <c r="W35" s="23">
        <v>45500</v>
      </c>
      <c r="X35" s="23">
        <v>45491.805970149253</v>
      </c>
      <c r="Y35" s="23">
        <v>45500</v>
      </c>
      <c r="Z35" s="23">
        <v>-8896.4029850746265</v>
      </c>
      <c r="AA35" s="23">
        <v>-19264</v>
      </c>
      <c r="AB35" s="23">
        <v>-12772.044776119403</v>
      </c>
      <c r="AC35" s="23">
        <v>-14998.402985074626</v>
      </c>
      <c r="AG35" s="10">
        <v>650</v>
      </c>
      <c r="AH35" s="23">
        <v>-12898.716417910447</v>
      </c>
      <c r="AI35" s="23">
        <v>-9935.0298507462685</v>
      </c>
      <c r="AJ35" s="23">
        <v>2980.1044776119402</v>
      </c>
      <c r="AK35" s="23">
        <v>-10404.02487562189</v>
      </c>
      <c r="AL35" s="23">
        <v>-7056.1044776119406</v>
      </c>
      <c r="AM35" s="23">
        <v>-13494.194029850747</v>
      </c>
      <c r="AN35" s="23">
        <v>52190.86567164179</v>
      </c>
      <c r="AO35" s="23">
        <v>52188.59701492537</v>
      </c>
      <c r="AP35" s="23">
        <v>52119.124378109453</v>
      </c>
      <c r="AQ35" s="23">
        <v>-8811.507462686568</v>
      </c>
      <c r="AR35" s="23">
        <v>-19081.850746268658</v>
      </c>
      <c r="AS35" s="23">
        <v>-13787.298507462687</v>
      </c>
      <c r="AT35" s="23">
        <v>-14425.358208955224</v>
      </c>
    </row>
    <row r="36" spans="2:46">
      <c r="B36" s="23">
        <f t="shared" ca="1" si="8"/>
        <v>103</v>
      </c>
      <c r="C36" s="23">
        <f t="shared" ca="1" si="9"/>
        <v>103</v>
      </c>
      <c r="D36" s="23">
        <f t="shared" ca="1" si="4"/>
        <v>-5595</v>
      </c>
      <c r="E36" s="23">
        <f t="shared" ca="1" si="5"/>
        <v>0</v>
      </c>
      <c r="F36" s="23">
        <f t="shared" si="10"/>
        <v>168</v>
      </c>
      <c r="G36" s="23">
        <f t="shared" ca="1" si="11"/>
        <v>0</v>
      </c>
      <c r="H36" s="23">
        <f t="shared" ca="1" si="6"/>
        <v>103</v>
      </c>
      <c r="I36" s="23">
        <f t="shared" ca="1" si="7"/>
        <v>-5595</v>
      </c>
      <c r="K36" s="23">
        <v>350</v>
      </c>
      <c r="L36" s="23">
        <v>14688.368159203979</v>
      </c>
      <c r="P36" s="10">
        <v>675</v>
      </c>
      <c r="Q36" s="23">
        <v>-14732.462686567163</v>
      </c>
      <c r="R36" s="23">
        <v>-11717.865671641792</v>
      </c>
      <c r="S36" s="23">
        <v>775.20895522388059</v>
      </c>
      <c r="T36" s="23">
        <v>-11715.044776119403</v>
      </c>
      <c r="U36" s="23">
        <v>-8730.2686567164183</v>
      </c>
      <c r="V36" s="23">
        <v>-15641.059701492537</v>
      </c>
      <c r="W36" s="23">
        <v>47248.925373134327</v>
      </c>
      <c r="X36" s="23">
        <v>47250</v>
      </c>
      <c r="Y36" s="23">
        <v>47250</v>
      </c>
      <c r="Z36" s="23">
        <v>-9529.119402985074</v>
      </c>
      <c r="AA36" s="23">
        <v>-21418.5223880597</v>
      </c>
      <c r="AB36" s="23">
        <v>-15380.597014925374</v>
      </c>
      <c r="AC36" s="23">
        <v>-16698.761194029852</v>
      </c>
      <c r="AG36" s="10">
        <v>675</v>
      </c>
      <c r="AH36" s="23">
        <v>-15293.820895522387</v>
      </c>
      <c r="AI36" s="23">
        <v>-12433.701492537313</v>
      </c>
      <c r="AJ36" s="23">
        <v>1153.7462686567164</v>
      </c>
      <c r="AK36" s="23">
        <v>-11454.850746268658</v>
      </c>
      <c r="AL36" s="23">
        <v>-8623.2089552238813</v>
      </c>
      <c r="AM36" s="23">
        <v>-15714.805970149253</v>
      </c>
      <c r="AN36" s="23">
        <v>53928.009950248757</v>
      </c>
      <c r="AO36" s="23">
        <v>53914.353233830843</v>
      </c>
      <c r="AP36" s="23">
        <v>53796.08457711443</v>
      </c>
      <c r="AQ36" s="23">
        <v>-10370.149253731342</v>
      </c>
      <c r="AR36" s="23">
        <v>-21835.074626865673</v>
      </c>
      <c r="AS36" s="23">
        <v>-14971.432835820895</v>
      </c>
      <c r="AT36" s="23">
        <v>-17258.373134328358</v>
      </c>
    </row>
    <row r="37" spans="2:46">
      <c r="B37" s="23">
        <f t="shared" ca="1" si="8"/>
        <v>389</v>
      </c>
      <c r="C37" s="23">
        <f t="shared" ca="1" si="9"/>
        <v>300</v>
      </c>
      <c r="D37" s="23">
        <f t="shared" ca="1" si="4"/>
        <v>21000</v>
      </c>
      <c r="E37" s="23">
        <f t="shared" ca="1" si="5"/>
        <v>89</v>
      </c>
      <c r="F37" s="23">
        <f t="shared" si="10"/>
        <v>168</v>
      </c>
      <c r="G37" s="23">
        <f t="shared" ca="1" si="11"/>
        <v>89</v>
      </c>
      <c r="H37" s="23">
        <f t="shared" ca="1" si="6"/>
        <v>389</v>
      </c>
      <c r="I37" s="23">
        <f t="shared" ca="1" si="7"/>
        <v>24560</v>
      </c>
      <c r="K37" s="23">
        <v>360</v>
      </c>
      <c r="L37" s="23">
        <v>15070.582089552239</v>
      </c>
      <c r="P37" s="10">
        <v>700</v>
      </c>
      <c r="Q37" s="23">
        <v>-16780.462686567163</v>
      </c>
      <c r="R37" s="23">
        <v>-13174.955223880597</v>
      </c>
      <c r="S37" s="23">
        <v>-1627.686567164179</v>
      </c>
      <c r="T37" s="23">
        <v>-13766.134328358208</v>
      </c>
      <c r="U37" s="23">
        <v>-10840.328358208955</v>
      </c>
      <c r="V37" s="23">
        <v>-17182.910447761195</v>
      </c>
      <c r="W37" s="23">
        <v>48999.462686567167</v>
      </c>
      <c r="X37" s="23">
        <v>49000</v>
      </c>
      <c r="Y37" s="23">
        <v>48988.850746268654</v>
      </c>
      <c r="Z37" s="23">
        <v>-11164.731343283582</v>
      </c>
      <c r="AA37" s="23">
        <v>-22428.970149253732</v>
      </c>
      <c r="AB37" s="23">
        <v>-17300.044776119405</v>
      </c>
      <c r="AC37" s="23">
        <v>-18502.283582089553</v>
      </c>
      <c r="AG37" s="10">
        <v>700</v>
      </c>
      <c r="AH37" s="23">
        <v>-16747.283582089553</v>
      </c>
      <c r="AI37" s="23">
        <v>-13522.059701492537</v>
      </c>
      <c r="AJ37" s="23">
        <v>-638.08955223880594</v>
      </c>
      <c r="AK37" s="23">
        <v>-13208.268656716418</v>
      </c>
      <c r="AL37" s="23">
        <v>-10040.268656716418</v>
      </c>
      <c r="AM37" s="23">
        <v>-17145.298507462685</v>
      </c>
      <c r="AN37" s="23">
        <v>55643.263681592041</v>
      </c>
      <c r="AO37" s="23">
        <v>55594.661691542286</v>
      </c>
      <c r="AP37" s="23">
        <v>55472.129353233831</v>
      </c>
      <c r="AQ37" s="23">
        <v>-11618.626865671642</v>
      </c>
      <c r="AR37" s="23">
        <v>-23538.253731343284</v>
      </c>
      <c r="AS37" s="23">
        <v>-16775.626865671642</v>
      </c>
      <c r="AT37" s="23">
        <v>-19013.940298507463</v>
      </c>
    </row>
    <row r="38" spans="2:46">
      <c r="B38" s="23">
        <f t="shared" ca="1" si="8"/>
        <v>322</v>
      </c>
      <c r="C38" s="23">
        <f t="shared" ca="1" si="9"/>
        <v>300</v>
      </c>
      <c r="D38" s="23">
        <f t="shared" ca="1" si="4"/>
        <v>21000</v>
      </c>
      <c r="E38" s="23">
        <f t="shared" ca="1" si="5"/>
        <v>22</v>
      </c>
      <c r="F38" s="23">
        <f t="shared" si="10"/>
        <v>168</v>
      </c>
      <c r="G38" s="23">
        <f t="shared" ca="1" si="11"/>
        <v>22</v>
      </c>
      <c r="H38" s="23">
        <f t="shared" ca="1" si="6"/>
        <v>322</v>
      </c>
      <c r="I38" s="23">
        <f t="shared" ca="1" si="7"/>
        <v>21880</v>
      </c>
      <c r="K38" s="23">
        <v>370</v>
      </c>
      <c r="L38" s="23">
        <v>14038.02487562189</v>
      </c>
      <c r="P38" s="10">
        <v>725</v>
      </c>
      <c r="Q38" s="23">
        <v>-18743.701492537315</v>
      </c>
      <c r="R38" s="23">
        <v>-15026.701492537313</v>
      </c>
      <c r="S38" s="23">
        <v>-3182.7014925373132</v>
      </c>
      <c r="T38" s="23">
        <v>-15444.731343283582</v>
      </c>
      <c r="U38" s="23">
        <v>-11993.567164179105</v>
      </c>
      <c r="V38" s="23">
        <v>-18413.925373134327</v>
      </c>
      <c r="W38" s="23">
        <v>50740.328358208957</v>
      </c>
      <c r="X38" s="23">
        <v>50742.074626865673</v>
      </c>
      <c r="Y38" s="23">
        <v>50698.686567164179</v>
      </c>
      <c r="Z38" s="23">
        <v>-13937.835820895523</v>
      </c>
      <c r="AA38" s="23">
        <v>-24350.164179104479</v>
      </c>
      <c r="AB38" s="23">
        <v>-18371.208955223879</v>
      </c>
      <c r="AC38" s="23">
        <v>-20615.164179104479</v>
      </c>
      <c r="AG38" s="10">
        <v>725</v>
      </c>
      <c r="AH38" s="23">
        <v>-18243.328358208953</v>
      </c>
      <c r="AI38" s="23">
        <v>-14404.358208955224</v>
      </c>
      <c r="AJ38" s="23">
        <v>-2501.1194029850744</v>
      </c>
      <c r="AK38" s="23">
        <v>-14554.134328358208</v>
      </c>
      <c r="AL38" s="23">
        <v>-11803.223880597016</v>
      </c>
      <c r="AM38" s="23">
        <v>-18848.4776119403</v>
      </c>
      <c r="AN38" s="23">
        <v>57351.577114427862</v>
      </c>
      <c r="AO38" s="23">
        <v>57272.830845771146</v>
      </c>
      <c r="AP38" s="23">
        <v>57107.721393034823</v>
      </c>
      <c r="AQ38" s="23">
        <v>-13566.014925373134</v>
      </c>
      <c r="AR38" s="23">
        <v>-23621.567164179105</v>
      </c>
      <c r="AS38" s="23">
        <v>-17406.597014925374</v>
      </c>
      <c r="AT38" s="23">
        <v>-20127.955223880595</v>
      </c>
    </row>
    <row r="39" spans="2:46">
      <c r="B39" s="23">
        <f t="shared" ca="1" si="8"/>
        <v>506</v>
      </c>
      <c r="C39" s="23">
        <f t="shared" ca="1" si="9"/>
        <v>300</v>
      </c>
      <c r="D39" s="23">
        <f t="shared" ca="1" si="4"/>
        <v>21000</v>
      </c>
      <c r="E39" s="23">
        <f t="shared" ca="1" si="5"/>
        <v>206</v>
      </c>
      <c r="F39" s="23">
        <f t="shared" si="10"/>
        <v>168</v>
      </c>
      <c r="G39" s="23">
        <f t="shared" ca="1" si="11"/>
        <v>168</v>
      </c>
      <c r="H39" s="23">
        <f t="shared" ca="1" si="6"/>
        <v>468</v>
      </c>
      <c r="I39" s="23">
        <f t="shared" ca="1" si="7"/>
        <v>27720</v>
      </c>
      <c r="K39" s="23">
        <v>380</v>
      </c>
      <c r="L39" s="23">
        <v>13364.60199004975</v>
      </c>
      <c r="P39" s="10">
        <v>750</v>
      </c>
      <c r="Q39" s="23">
        <v>-19149.537313432837</v>
      </c>
      <c r="R39" s="23">
        <v>-16703.552238805969</v>
      </c>
      <c r="S39" s="23">
        <v>-3962.5074626865671</v>
      </c>
      <c r="T39" s="23">
        <v>-17047.298507462685</v>
      </c>
      <c r="U39" s="23">
        <v>-13121.552238805971</v>
      </c>
      <c r="V39" s="23">
        <v>-20242.432835820895</v>
      </c>
      <c r="W39" s="23">
        <v>52492.074626865673</v>
      </c>
      <c r="X39" s="23">
        <v>52488.044776119401</v>
      </c>
      <c r="Y39" s="23">
        <v>52476.626865671642</v>
      </c>
      <c r="Z39" s="23">
        <v>-14843.10447761194</v>
      </c>
      <c r="AA39" s="23">
        <v>-25856.417910447763</v>
      </c>
      <c r="AB39" s="23">
        <v>-18995.462686567163</v>
      </c>
      <c r="AC39" s="23">
        <v>-22325.731343283584</v>
      </c>
      <c r="AG39" s="10">
        <v>750</v>
      </c>
      <c r="AH39" s="23">
        <v>-19703.507462686568</v>
      </c>
      <c r="AI39" s="23">
        <v>-16473.179104477611</v>
      </c>
      <c r="AJ39" s="23">
        <v>-4786.746268656716</v>
      </c>
      <c r="AK39" s="23">
        <v>-16004.910447761195</v>
      </c>
      <c r="AL39" s="23">
        <v>-13872.985074626866</v>
      </c>
      <c r="AM39" s="23">
        <v>-19682.014925373136</v>
      </c>
      <c r="AN39" s="23">
        <v>58976.45273631841</v>
      </c>
      <c r="AO39" s="23">
        <v>59015.985074626864</v>
      </c>
      <c r="AP39" s="23">
        <v>58577.194029850747</v>
      </c>
      <c r="AQ39" s="23">
        <v>-14965.746268656716</v>
      </c>
      <c r="AR39" s="23">
        <v>-26580.716417910447</v>
      </c>
      <c r="AS39" s="23">
        <v>-20224.970149253732</v>
      </c>
      <c r="AT39" s="23">
        <v>-22371.940298507463</v>
      </c>
    </row>
    <row r="40" spans="2:46">
      <c r="B40" s="23">
        <f t="shared" ca="1" si="8"/>
        <v>202</v>
      </c>
      <c r="C40" s="23">
        <f t="shared" ca="1" si="9"/>
        <v>202</v>
      </c>
      <c r="D40" s="23">
        <f t="shared" ca="1" si="4"/>
        <v>7770</v>
      </c>
      <c r="E40" s="23">
        <f t="shared" ca="1" si="5"/>
        <v>0</v>
      </c>
      <c r="F40" s="23">
        <f t="shared" si="10"/>
        <v>168</v>
      </c>
      <c r="G40" s="23">
        <f t="shared" ca="1" si="11"/>
        <v>0</v>
      </c>
      <c r="H40" s="23">
        <f t="shared" ca="1" si="6"/>
        <v>202</v>
      </c>
      <c r="I40" s="23">
        <f t="shared" ca="1" si="7"/>
        <v>7770</v>
      </c>
      <c r="K40" s="23">
        <v>390</v>
      </c>
      <c r="L40" s="23">
        <v>13299.577114427861</v>
      </c>
      <c r="P40" s="10">
        <v>775</v>
      </c>
      <c r="Q40" s="23">
        <v>-22167.253731343284</v>
      </c>
      <c r="R40" s="23">
        <v>-18705.746268656716</v>
      </c>
      <c r="S40" s="23">
        <v>-6153.1641791044776</v>
      </c>
      <c r="T40" s="23">
        <v>-18545.761194029852</v>
      </c>
      <c r="U40" s="23">
        <v>-15832.597014925374</v>
      </c>
      <c r="V40" s="23">
        <v>-21712.417910447763</v>
      </c>
      <c r="W40" s="23">
        <v>54216.283582089549</v>
      </c>
      <c r="X40" s="23">
        <v>54244.358208955222</v>
      </c>
      <c r="Y40" s="23">
        <v>54214.40298507463</v>
      </c>
      <c r="Z40" s="23">
        <v>-16869.074626865673</v>
      </c>
      <c r="AA40" s="23">
        <v>-28293.029850746268</v>
      </c>
      <c r="AB40" s="23">
        <v>-22022.313432835821</v>
      </c>
      <c r="AC40" s="23">
        <v>-23757.164179104479</v>
      </c>
      <c r="AG40" s="10">
        <v>775</v>
      </c>
      <c r="AH40" s="23">
        <v>-22074.835820895521</v>
      </c>
      <c r="AI40" s="23">
        <v>-18596.940298507463</v>
      </c>
      <c r="AJ40" s="23">
        <v>-5978.1343283582091</v>
      </c>
      <c r="AK40" s="23">
        <v>-18272</v>
      </c>
      <c r="AL40" s="23">
        <v>-14694.432835820895</v>
      </c>
      <c r="AM40" s="23">
        <v>-21507.970149253732</v>
      </c>
      <c r="AN40" s="23">
        <v>60592.676616915422</v>
      </c>
      <c r="AO40" s="23">
        <v>60591.557213930348</v>
      </c>
      <c r="AP40" s="23">
        <v>60170.527363184083</v>
      </c>
      <c r="AQ40" s="23">
        <v>-16568.716417910447</v>
      </c>
      <c r="AR40" s="23">
        <v>-27823.014925373136</v>
      </c>
      <c r="AS40" s="23">
        <v>-21663.791044776121</v>
      </c>
      <c r="AT40" s="23">
        <v>-23330.805970149253</v>
      </c>
    </row>
    <row r="41" spans="2:46">
      <c r="B41" s="23">
        <f t="shared" ca="1" si="8"/>
        <v>255</v>
      </c>
      <c r="C41" s="23">
        <f t="shared" ca="1" si="9"/>
        <v>255</v>
      </c>
      <c r="D41" s="23">
        <f t="shared" ca="1" si="4"/>
        <v>14925</v>
      </c>
      <c r="E41" s="23">
        <f t="shared" ca="1" si="5"/>
        <v>0</v>
      </c>
      <c r="F41" s="23">
        <f t="shared" si="10"/>
        <v>168</v>
      </c>
      <c r="G41" s="23">
        <f t="shared" ca="1" si="11"/>
        <v>0</v>
      </c>
      <c r="H41" s="23">
        <f t="shared" ca="1" si="6"/>
        <v>255</v>
      </c>
      <c r="I41" s="23">
        <f t="shared" ca="1" si="7"/>
        <v>14925</v>
      </c>
      <c r="K41" s="23">
        <v>400</v>
      </c>
      <c r="L41" s="23">
        <v>12682.497512437811</v>
      </c>
      <c r="P41" s="10">
        <v>800</v>
      </c>
      <c r="Q41" s="23">
        <v>-22981.716417910447</v>
      </c>
      <c r="R41" s="23">
        <v>-19845.283582089553</v>
      </c>
      <c r="S41" s="23">
        <v>-7289.2089552238804</v>
      </c>
      <c r="T41" s="23">
        <v>-19039.582089552237</v>
      </c>
      <c r="U41" s="23">
        <v>-17431.805970149253</v>
      </c>
      <c r="V41" s="23">
        <v>-23407.805970149253</v>
      </c>
      <c r="W41" s="23">
        <v>55986.298507462685</v>
      </c>
      <c r="X41" s="23">
        <v>55976.223880597012</v>
      </c>
      <c r="Y41" s="23">
        <v>55840.552238805969</v>
      </c>
      <c r="Z41" s="23">
        <v>-18114.731343283584</v>
      </c>
      <c r="AA41" s="23">
        <v>-29638.089552238805</v>
      </c>
      <c r="AB41" s="23">
        <v>-24016.044776119405</v>
      </c>
      <c r="AC41" s="23">
        <v>-25725.238805970148</v>
      </c>
      <c r="AG41" s="10">
        <v>800</v>
      </c>
      <c r="AH41" s="23">
        <v>-23433.328358208953</v>
      </c>
      <c r="AI41" s="23">
        <v>-19912.179104477611</v>
      </c>
      <c r="AJ41" s="23">
        <v>-7304.9253731343288</v>
      </c>
      <c r="AK41" s="23">
        <v>-20621.701492537315</v>
      </c>
      <c r="AL41" s="23">
        <v>-17326.626865671642</v>
      </c>
      <c r="AM41" s="23">
        <v>-22810.985074626864</v>
      </c>
      <c r="AN41" s="23">
        <v>62132.636815920399</v>
      </c>
      <c r="AO41" s="23">
        <v>62128.81592039801</v>
      </c>
      <c r="AP41" s="23">
        <v>61501.995024875621</v>
      </c>
      <c r="AQ41" s="23">
        <v>-18133.13432835821</v>
      </c>
      <c r="AR41" s="23">
        <v>-29288.835820895521</v>
      </c>
      <c r="AS41" s="23">
        <v>-23061.910447761195</v>
      </c>
      <c r="AT41" s="23">
        <v>-25271.208955223879</v>
      </c>
    </row>
    <row r="42" spans="2:46">
      <c r="B42" s="23">
        <f t="shared" ca="1" si="8"/>
        <v>319</v>
      </c>
      <c r="C42" s="23">
        <f t="shared" ca="1" si="9"/>
        <v>300</v>
      </c>
      <c r="D42" s="23">
        <f t="shared" ca="1" si="4"/>
        <v>21000</v>
      </c>
      <c r="E42" s="23">
        <f t="shared" ca="1" si="5"/>
        <v>19</v>
      </c>
      <c r="F42" s="23">
        <f t="shared" si="10"/>
        <v>168</v>
      </c>
      <c r="G42" s="23">
        <f t="shared" ca="1" si="11"/>
        <v>19</v>
      </c>
      <c r="H42" s="23">
        <f t="shared" ca="1" si="6"/>
        <v>319</v>
      </c>
      <c r="I42" s="23">
        <f t="shared" ca="1" si="7"/>
        <v>21760</v>
      </c>
      <c r="K42" s="23">
        <v>410</v>
      </c>
      <c r="L42" s="23">
        <v>10999.562189054726</v>
      </c>
      <c r="P42" s="10">
        <v>825</v>
      </c>
      <c r="Q42" s="23">
        <v>-25358.014925373136</v>
      </c>
      <c r="R42" s="23">
        <v>-21156.358208955226</v>
      </c>
      <c r="S42" s="23">
        <v>-9565.0298507462685</v>
      </c>
      <c r="T42" s="23">
        <v>-20942.104477611942</v>
      </c>
      <c r="U42" s="23">
        <v>-19701.179104477611</v>
      </c>
      <c r="V42" s="23">
        <v>-24356.328358208953</v>
      </c>
      <c r="W42" s="23">
        <v>57649.522388059704</v>
      </c>
      <c r="X42" s="23">
        <v>57619.970149253728</v>
      </c>
      <c r="Y42" s="23">
        <v>57351.582089552241</v>
      </c>
      <c r="Z42" s="23">
        <v>-20328.089552238805</v>
      </c>
      <c r="AA42" s="23">
        <v>-30446.910447761195</v>
      </c>
      <c r="AB42" s="23">
        <v>-24861.402985074626</v>
      </c>
      <c r="AC42" s="23">
        <v>-26929.253731343284</v>
      </c>
      <c r="AG42" s="10">
        <v>825</v>
      </c>
      <c r="AH42" s="23">
        <v>-24076.253731343284</v>
      </c>
      <c r="AI42" s="23">
        <v>-21434.686567164179</v>
      </c>
      <c r="AJ42" s="23">
        <v>-9016.432835820895</v>
      </c>
      <c r="AK42" s="23">
        <v>-21589.970149253732</v>
      </c>
      <c r="AL42" s="23">
        <v>-18554.417910447763</v>
      </c>
      <c r="AM42" s="23">
        <v>-24664.208955223879</v>
      </c>
      <c r="AN42" s="23">
        <v>63650.835820895525</v>
      </c>
      <c r="AO42" s="23">
        <v>63595.960199004978</v>
      </c>
      <c r="AP42" s="23">
        <v>62824.507462686568</v>
      </c>
      <c r="AQ42" s="23">
        <v>-19344.940298507463</v>
      </c>
      <c r="AR42" s="23">
        <v>-31366.791044776121</v>
      </c>
      <c r="AS42" s="23">
        <v>-24363.179104477611</v>
      </c>
      <c r="AT42" s="23">
        <v>-25947.179104477611</v>
      </c>
    </row>
    <row r="43" spans="2:46">
      <c r="B43" s="23">
        <f t="shared" ca="1" si="8"/>
        <v>359</v>
      </c>
      <c r="C43" s="23">
        <f t="shared" ca="1" si="9"/>
        <v>300</v>
      </c>
      <c r="D43" s="23">
        <f t="shared" ca="1" si="4"/>
        <v>21000</v>
      </c>
      <c r="E43" s="23">
        <f t="shared" ca="1" si="5"/>
        <v>59</v>
      </c>
      <c r="F43" s="23">
        <f t="shared" si="10"/>
        <v>168</v>
      </c>
      <c r="G43" s="23">
        <f t="shared" ca="1" si="11"/>
        <v>59</v>
      </c>
      <c r="H43" s="23">
        <f t="shared" ca="1" si="6"/>
        <v>359</v>
      </c>
      <c r="I43" s="23">
        <f t="shared" ca="1" si="7"/>
        <v>23360</v>
      </c>
      <c r="K43" s="23">
        <v>420</v>
      </c>
      <c r="L43" s="23">
        <v>11426.577114427861</v>
      </c>
      <c r="P43" s="10">
        <v>850</v>
      </c>
      <c r="Q43" s="23">
        <v>-26024.850746268658</v>
      </c>
      <c r="R43" s="23">
        <v>-21805.194029850747</v>
      </c>
      <c r="S43" s="23">
        <v>-10432.552238805971</v>
      </c>
      <c r="T43" s="23">
        <v>-22872.029850746268</v>
      </c>
      <c r="U43" s="23">
        <v>-20017.014925373136</v>
      </c>
      <c r="V43" s="23">
        <v>-25325.402985074626</v>
      </c>
      <c r="W43" s="23">
        <v>59371.313432835821</v>
      </c>
      <c r="X43" s="23">
        <v>59274.73134328358</v>
      </c>
      <c r="Y43" s="23">
        <v>58976.388059701494</v>
      </c>
      <c r="Z43" s="23">
        <v>-21343.507462686568</v>
      </c>
      <c r="AA43" s="23">
        <v>-32486.716417910447</v>
      </c>
      <c r="AB43" s="23">
        <v>-26772.388059701494</v>
      </c>
      <c r="AC43" s="23">
        <v>-28499.985074626864</v>
      </c>
      <c r="AG43" s="10">
        <v>850</v>
      </c>
      <c r="AH43" s="23">
        <v>-26226.343283582089</v>
      </c>
      <c r="AI43" s="23">
        <v>-23333.716417910447</v>
      </c>
      <c r="AJ43" s="23">
        <v>-12090.029850746268</v>
      </c>
      <c r="AK43" s="23">
        <v>-23104.149253731342</v>
      </c>
      <c r="AL43" s="23">
        <v>-19884.567164179105</v>
      </c>
      <c r="AM43" s="23">
        <v>-25866.880597014926</v>
      </c>
      <c r="AN43" s="23">
        <v>64904.373134328358</v>
      </c>
      <c r="AO43" s="23">
        <v>64788.830845771146</v>
      </c>
      <c r="AP43" s="23">
        <v>63778.965174129356</v>
      </c>
      <c r="AQ43" s="23">
        <v>-21778.328358208953</v>
      </c>
      <c r="AR43" s="23">
        <v>-32911.462686567167</v>
      </c>
      <c r="AS43" s="23">
        <v>-26028.343283582089</v>
      </c>
      <c r="AT43" s="23">
        <v>-29143.820895522389</v>
      </c>
    </row>
    <row r="44" spans="2:46">
      <c r="B44" s="23">
        <f t="shared" ca="1" si="8"/>
        <v>371</v>
      </c>
      <c r="C44" s="23">
        <f t="shared" ca="1" si="9"/>
        <v>300</v>
      </c>
      <c r="D44" s="23">
        <f t="shared" ca="1" si="4"/>
        <v>21000</v>
      </c>
      <c r="E44" s="23">
        <f t="shared" ca="1" si="5"/>
        <v>71</v>
      </c>
      <c r="F44" s="23">
        <f t="shared" si="10"/>
        <v>168</v>
      </c>
      <c r="G44" s="23">
        <f t="shared" ca="1" si="11"/>
        <v>71</v>
      </c>
      <c r="H44" s="23">
        <f t="shared" ca="1" si="6"/>
        <v>371</v>
      </c>
      <c r="I44" s="23">
        <f t="shared" ca="1" si="7"/>
        <v>23840</v>
      </c>
      <c r="K44" s="23">
        <v>430</v>
      </c>
      <c r="L44" s="23">
        <v>10376.228855721392</v>
      </c>
      <c r="P44" s="10">
        <v>875</v>
      </c>
      <c r="Q44" s="23">
        <v>-28206.910447761195</v>
      </c>
      <c r="R44" s="23">
        <v>-24536.5223880597</v>
      </c>
      <c r="S44" s="23">
        <v>-12069.373134328358</v>
      </c>
      <c r="T44" s="23">
        <v>-24546.731343283584</v>
      </c>
      <c r="U44" s="23">
        <v>-21866.343283582089</v>
      </c>
      <c r="V44" s="23">
        <v>-28093</v>
      </c>
      <c r="W44" s="23">
        <v>60884.492537313432</v>
      </c>
      <c r="X44" s="23">
        <v>60953.805970149253</v>
      </c>
      <c r="Y44" s="23">
        <v>60312.388059701494</v>
      </c>
      <c r="Z44" s="23">
        <v>-22612.402985074626</v>
      </c>
      <c r="AA44" s="23">
        <v>-34478.567164179105</v>
      </c>
      <c r="AB44" s="23">
        <v>-27764.835820895521</v>
      </c>
      <c r="AC44" s="23">
        <v>-29032.492537313432</v>
      </c>
      <c r="AG44" s="10">
        <v>875</v>
      </c>
      <c r="AH44" s="23">
        <v>-28107.238805970148</v>
      </c>
      <c r="AI44" s="23">
        <v>-24514.761194029852</v>
      </c>
      <c r="AJ44" s="23">
        <v>-12010.268656716418</v>
      </c>
      <c r="AK44" s="23">
        <v>-25106.880597014926</v>
      </c>
      <c r="AL44" s="23">
        <v>-22127.208955223879</v>
      </c>
      <c r="AM44" s="23">
        <v>-28862.970149253732</v>
      </c>
      <c r="AN44" s="23">
        <v>66248.656716417914</v>
      </c>
      <c r="AO44" s="23">
        <v>66063.288557213935</v>
      </c>
      <c r="AP44" s="23">
        <v>64597.696517412936</v>
      </c>
      <c r="AQ44" s="23">
        <v>-23251.268656716416</v>
      </c>
      <c r="AR44" s="23">
        <v>-33874.223880597012</v>
      </c>
      <c r="AS44" s="23">
        <v>-27997.492537313432</v>
      </c>
      <c r="AT44" s="23">
        <v>-29584.850746268658</v>
      </c>
    </row>
    <row r="45" spans="2:46">
      <c r="B45" s="23">
        <f t="shared" ca="1" si="8"/>
        <v>308</v>
      </c>
      <c r="C45" s="23">
        <f t="shared" ca="1" si="9"/>
        <v>300</v>
      </c>
      <c r="D45" s="23">
        <f t="shared" ca="1" si="4"/>
        <v>21000</v>
      </c>
      <c r="E45" s="23">
        <f t="shared" ca="1" si="5"/>
        <v>8</v>
      </c>
      <c r="F45" s="23">
        <f t="shared" si="10"/>
        <v>168</v>
      </c>
      <c r="G45" s="23">
        <f t="shared" ca="1" si="11"/>
        <v>8</v>
      </c>
      <c r="H45" s="23">
        <f t="shared" ca="1" si="6"/>
        <v>308</v>
      </c>
      <c r="I45" s="23">
        <f t="shared" ca="1" si="7"/>
        <v>21320</v>
      </c>
      <c r="K45" s="23">
        <v>440</v>
      </c>
      <c r="L45" s="23">
        <v>10288.721393034826</v>
      </c>
      <c r="P45" s="10">
        <v>900</v>
      </c>
      <c r="Q45" s="23">
        <v>-30353.104477611942</v>
      </c>
      <c r="R45" s="23">
        <v>-25417.611940298506</v>
      </c>
      <c r="S45" s="23">
        <v>-14658.044776119403</v>
      </c>
      <c r="T45" s="23">
        <v>-25919.328358208953</v>
      </c>
      <c r="U45" s="23">
        <v>-23234.641791044774</v>
      </c>
      <c r="V45" s="23">
        <v>-29463.850746268658</v>
      </c>
      <c r="W45" s="23">
        <v>62419.567164179105</v>
      </c>
      <c r="X45" s="23">
        <v>62435.149253731346</v>
      </c>
      <c r="Y45" s="23">
        <v>61582.432835820895</v>
      </c>
      <c r="Z45" s="23">
        <v>-25366.970149253732</v>
      </c>
      <c r="AA45" s="23">
        <v>-36430.253731343284</v>
      </c>
      <c r="AB45" s="23">
        <v>-29064.089552238805</v>
      </c>
      <c r="AC45" s="23">
        <v>-31006.4776119403</v>
      </c>
      <c r="AG45" s="10">
        <v>900</v>
      </c>
      <c r="AH45" s="23">
        <v>-30388.029850746268</v>
      </c>
      <c r="AI45" s="23">
        <v>-25926.716417910447</v>
      </c>
      <c r="AJ45" s="23">
        <v>-14547.76119402985</v>
      </c>
      <c r="AK45" s="23">
        <v>-26652.492537313432</v>
      </c>
      <c r="AL45" s="23">
        <v>-22846.029850746268</v>
      </c>
      <c r="AM45" s="23">
        <v>-29253.223880597016</v>
      </c>
      <c r="AN45" s="23">
        <v>67458.094527363181</v>
      </c>
      <c r="AO45" s="23">
        <v>66952.482587064675</v>
      </c>
      <c r="AP45" s="23">
        <v>65578.517412935325</v>
      </c>
      <c r="AQ45" s="23">
        <v>-23990.910447761195</v>
      </c>
      <c r="AR45" s="23">
        <v>-36532.611940298506</v>
      </c>
      <c r="AS45" s="23">
        <v>-29736.402985074626</v>
      </c>
      <c r="AT45" s="23">
        <v>-31895.059701492537</v>
      </c>
    </row>
    <row r="46" spans="2:46">
      <c r="B46" s="23">
        <f t="shared" ca="1" si="8"/>
        <v>261</v>
      </c>
      <c r="C46" s="23">
        <f t="shared" ca="1" si="9"/>
        <v>261</v>
      </c>
      <c r="D46" s="23">
        <f t="shared" ca="1" si="4"/>
        <v>15735</v>
      </c>
      <c r="E46" s="23">
        <f t="shared" ca="1" si="5"/>
        <v>0</v>
      </c>
      <c r="F46" s="23">
        <f t="shared" si="10"/>
        <v>168</v>
      </c>
      <c r="G46" s="23">
        <f t="shared" ca="1" si="11"/>
        <v>0</v>
      </c>
      <c r="H46" s="23">
        <f t="shared" ca="1" si="6"/>
        <v>261</v>
      </c>
      <c r="I46" s="23">
        <f t="shared" ca="1" si="7"/>
        <v>15735</v>
      </c>
      <c r="K46" s="23">
        <v>450</v>
      </c>
      <c r="L46" s="23">
        <v>9717.7761194029845</v>
      </c>
      <c r="P46" s="10">
        <v>925</v>
      </c>
      <c r="Q46" s="23">
        <v>-31828.194029850747</v>
      </c>
      <c r="R46" s="23">
        <v>-28245.791044776121</v>
      </c>
      <c r="S46" s="23">
        <v>-14880.791044776119</v>
      </c>
      <c r="T46" s="23">
        <v>-28107.164179104479</v>
      </c>
      <c r="U46" s="23">
        <v>-24758.761194029852</v>
      </c>
      <c r="V46" s="23">
        <v>-31554.298507462685</v>
      </c>
      <c r="W46" s="23">
        <v>63852.686567164179</v>
      </c>
      <c r="X46" s="23">
        <v>63729.910447761191</v>
      </c>
      <c r="Y46" s="23">
        <v>62648.701492537315</v>
      </c>
      <c r="Z46" s="23">
        <v>-26473.328358208953</v>
      </c>
      <c r="AA46" s="23">
        <v>-37589.537313432833</v>
      </c>
      <c r="AB46" s="23">
        <v>-31534.149253731342</v>
      </c>
      <c r="AC46" s="23">
        <v>-32500.641791044774</v>
      </c>
      <c r="AG46" s="10">
        <v>925</v>
      </c>
      <c r="AH46" s="23">
        <v>-31082.805970149253</v>
      </c>
      <c r="AI46" s="23">
        <v>-27071.089552238805</v>
      </c>
      <c r="AJ46" s="23">
        <v>-14652.164179104477</v>
      </c>
      <c r="AK46" s="23">
        <v>-27931.194029850747</v>
      </c>
      <c r="AL46" s="23">
        <v>-24562.104477611942</v>
      </c>
      <c r="AM46" s="23">
        <v>-31608.701492537315</v>
      </c>
      <c r="AN46" s="23">
        <v>67703.179104477618</v>
      </c>
      <c r="AO46" s="23">
        <v>67888.80597014926</v>
      </c>
      <c r="AP46" s="23">
        <v>65493.970149253728</v>
      </c>
      <c r="AQ46" s="23">
        <v>-27351.432835820895</v>
      </c>
      <c r="AR46" s="23">
        <v>-37063.104477611938</v>
      </c>
      <c r="AS46" s="23">
        <v>-31492.776119402984</v>
      </c>
      <c r="AT46" s="23">
        <v>-32977.238805970148</v>
      </c>
    </row>
    <row r="47" spans="2:46">
      <c r="B47" s="23">
        <f t="shared" ca="1" si="8"/>
        <v>173</v>
      </c>
      <c r="C47" s="23">
        <f t="shared" ca="1" si="9"/>
        <v>173</v>
      </c>
      <c r="D47" s="23">
        <f t="shared" ca="1" si="4"/>
        <v>3855</v>
      </c>
      <c r="E47" s="23">
        <f t="shared" ca="1" si="5"/>
        <v>0</v>
      </c>
      <c r="F47" s="23">
        <f t="shared" si="10"/>
        <v>168</v>
      </c>
      <c r="G47" s="23">
        <f t="shared" ca="1" si="11"/>
        <v>0</v>
      </c>
      <c r="H47" s="23">
        <f t="shared" ca="1" si="6"/>
        <v>173</v>
      </c>
      <c r="I47" s="23">
        <f t="shared" ca="1" si="7"/>
        <v>3855</v>
      </c>
      <c r="K47" s="23">
        <v>460</v>
      </c>
      <c r="L47" s="23">
        <v>8830.119402985074</v>
      </c>
      <c r="P47" s="10">
        <v>950</v>
      </c>
      <c r="Q47" s="23">
        <v>-34177.358208955222</v>
      </c>
      <c r="R47" s="23">
        <v>-30008.208955223879</v>
      </c>
      <c r="S47" s="23">
        <v>-17938.268656716416</v>
      </c>
      <c r="T47" s="23">
        <v>-29727.731343283584</v>
      </c>
      <c r="U47" s="23">
        <v>-26339.970149253732</v>
      </c>
      <c r="V47" s="23">
        <v>-33127.716417910451</v>
      </c>
      <c r="W47" s="23">
        <v>65244.164179104475</v>
      </c>
      <c r="X47" s="23">
        <v>65028.970149253728</v>
      </c>
      <c r="Y47" s="23">
        <v>63496.552238805969</v>
      </c>
      <c r="Z47" s="23">
        <v>-27804.820895522389</v>
      </c>
      <c r="AA47" s="23">
        <v>-39356.522388059704</v>
      </c>
      <c r="AB47" s="23">
        <v>-33104.074626865673</v>
      </c>
      <c r="AC47" s="23">
        <v>-35112.552238805969</v>
      </c>
      <c r="AG47" s="10">
        <v>950</v>
      </c>
      <c r="AH47" s="23">
        <v>-33131.074626865673</v>
      </c>
      <c r="AI47" s="23">
        <v>-29464.716417910447</v>
      </c>
      <c r="AJ47" s="23">
        <v>-16733.074626865673</v>
      </c>
      <c r="AK47" s="23">
        <v>-29221.985074626864</v>
      </c>
      <c r="AL47" s="23">
        <v>-27692.656716417911</v>
      </c>
      <c r="AM47" s="23">
        <v>-32126.298507462685</v>
      </c>
      <c r="AN47" s="23">
        <v>68960.845771144275</v>
      </c>
      <c r="AO47" s="23">
        <v>68522.213930348255</v>
      </c>
      <c r="AP47" s="23">
        <v>66196.358208955222</v>
      </c>
      <c r="AQ47" s="23">
        <v>-27079.716417910447</v>
      </c>
      <c r="AR47" s="23">
        <v>-39174.641791044778</v>
      </c>
      <c r="AS47" s="23">
        <v>-33237.462686567167</v>
      </c>
      <c r="AT47" s="23">
        <v>-34999.985074626864</v>
      </c>
    </row>
    <row r="48" spans="2:46">
      <c r="B48" s="23">
        <f t="shared" ca="1" si="8"/>
        <v>199</v>
      </c>
      <c r="C48" s="23">
        <f t="shared" ca="1" si="9"/>
        <v>199</v>
      </c>
      <c r="D48" s="23">
        <f t="shared" ca="1" si="4"/>
        <v>7365</v>
      </c>
      <c r="E48" s="23">
        <f t="shared" ca="1" si="5"/>
        <v>0</v>
      </c>
      <c r="F48" s="23">
        <f t="shared" si="10"/>
        <v>168</v>
      </c>
      <c r="G48" s="23">
        <f t="shared" ca="1" si="11"/>
        <v>0</v>
      </c>
      <c r="H48" s="23">
        <f t="shared" ca="1" si="6"/>
        <v>199</v>
      </c>
      <c r="I48" s="23">
        <f t="shared" ca="1" si="7"/>
        <v>7365</v>
      </c>
      <c r="K48" s="23">
        <v>470</v>
      </c>
      <c r="L48" s="23">
        <v>7520.313432835821</v>
      </c>
      <c r="P48" s="10">
        <v>975</v>
      </c>
      <c r="Q48" s="23">
        <v>-35079.671641791043</v>
      </c>
      <c r="R48" s="23">
        <v>-30626.955223880595</v>
      </c>
      <c r="S48" s="23">
        <v>-18103.119402985074</v>
      </c>
      <c r="T48" s="23">
        <v>-30795.268656716416</v>
      </c>
      <c r="U48" s="23">
        <v>-28224.895522388058</v>
      </c>
      <c r="V48" s="23">
        <v>-34588.432835820895</v>
      </c>
      <c r="W48" s="23">
        <v>65905.164179104482</v>
      </c>
      <c r="X48" s="23">
        <v>65963.59701492537</v>
      </c>
      <c r="Y48" s="23">
        <v>63996.626865671642</v>
      </c>
      <c r="Z48" s="23">
        <v>-29672.686567164179</v>
      </c>
      <c r="AA48" s="23">
        <v>-40874.194029850747</v>
      </c>
      <c r="AB48" s="23">
        <v>-33988.388059701494</v>
      </c>
      <c r="AC48" s="23">
        <v>-37053.089552238809</v>
      </c>
      <c r="AG48" s="10">
        <v>975</v>
      </c>
      <c r="AH48" s="23">
        <v>-34848.626865671642</v>
      </c>
      <c r="AI48" s="23">
        <v>-30752.149253731342</v>
      </c>
      <c r="AJ48" s="23">
        <v>-18435.179104477611</v>
      </c>
      <c r="AK48" s="23">
        <v>-31077.492537313432</v>
      </c>
      <c r="AL48" s="23">
        <v>-27901.164179104479</v>
      </c>
      <c r="AM48" s="23">
        <v>-34035.13432835821</v>
      </c>
      <c r="AN48" s="23">
        <v>69258.696517412929</v>
      </c>
      <c r="AO48" s="23">
        <v>68732.905472636819</v>
      </c>
      <c r="AP48" s="23">
        <v>66541.303482587071</v>
      </c>
      <c r="AQ48" s="23">
        <v>-29477.238805970148</v>
      </c>
      <c r="AR48" s="23">
        <v>-40927.119402985074</v>
      </c>
      <c r="AS48" s="23">
        <v>-34851.985074626864</v>
      </c>
      <c r="AT48" s="23">
        <v>-37083.582089552241</v>
      </c>
    </row>
    <row r="49" spans="2:46">
      <c r="B49" s="23">
        <f t="shared" ca="1" si="8"/>
        <v>447</v>
      </c>
      <c r="C49" s="23">
        <f t="shared" ca="1" si="9"/>
        <v>300</v>
      </c>
      <c r="D49" s="23">
        <f t="shared" ca="1" si="4"/>
        <v>21000</v>
      </c>
      <c r="E49" s="23">
        <f t="shared" ca="1" si="5"/>
        <v>147</v>
      </c>
      <c r="F49" s="23">
        <f t="shared" si="10"/>
        <v>168</v>
      </c>
      <c r="G49" s="23">
        <f t="shared" ca="1" si="11"/>
        <v>147</v>
      </c>
      <c r="H49" s="23">
        <f t="shared" ca="1" si="6"/>
        <v>447</v>
      </c>
      <c r="I49" s="23">
        <f t="shared" ca="1" si="7"/>
        <v>26880</v>
      </c>
      <c r="K49" s="23">
        <v>480</v>
      </c>
      <c r="L49" s="23">
        <v>7241.8308457711446</v>
      </c>
      <c r="P49" s="10">
        <v>1000</v>
      </c>
      <c r="Q49" s="23">
        <v>-35296.507462686568</v>
      </c>
      <c r="R49" s="23">
        <v>-33194.671641791043</v>
      </c>
      <c r="S49" s="23">
        <v>-20200.955223880595</v>
      </c>
      <c r="T49" s="23">
        <v>-33276.074626865673</v>
      </c>
      <c r="U49" s="23">
        <v>-30365.582089552237</v>
      </c>
      <c r="V49" s="23">
        <v>-36544.552238805969</v>
      </c>
      <c r="W49" s="23">
        <v>67122.955223880592</v>
      </c>
      <c r="X49" s="23">
        <v>66865.582089552234</v>
      </c>
      <c r="Y49" s="23">
        <v>64607.925373134327</v>
      </c>
      <c r="Z49" s="23">
        <v>-30993.029850746268</v>
      </c>
      <c r="AA49" s="23">
        <v>-41982.701492537315</v>
      </c>
      <c r="AB49" s="23">
        <v>-36013.686567164179</v>
      </c>
      <c r="AC49" s="23">
        <v>-38083.014925373136</v>
      </c>
      <c r="AG49" s="10">
        <v>1000</v>
      </c>
      <c r="AH49" s="23">
        <v>-36201.074626865673</v>
      </c>
      <c r="AI49" s="23">
        <v>-33919.373134328358</v>
      </c>
      <c r="AJ49" s="23">
        <v>-20438.716417910447</v>
      </c>
      <c r="AK49" s="23">
        <v>-32593.552238805969</v>
      </c>
      <c r="AL49" s="23">
        <v>-30427.776119402984</v>
      </c>
      <c r="AM49" s="23">
        <v>-36164.537313432833</v>
      </c>
      <c r="AN49" s="23">
        <v>69634.69154228855</v>
      </c>
      <c r="AO49" s="23">
        <v>68689.383084577115</v>
      </c>
      <c r="AP49" s="23">
        <v>65967.636815920399</v>
      </c>
      <c r="AQ49" s="23">
        <v>-31486.552238805969</v>
      </c>
      <c r="AR49" s="23">
        <v>-42422.358208955222</v>
      </c>
      <c r="AS49" s="23">
        <v>-35929.328358208957</v>
      </c>
      <c r="AT49" s="23">
        <v>-37759.149253731346</v>
      </c>
    </row>
    <row r="50" spans="2:46">
      <c r="B50" s="23">
        <f t="shared" ca="1" si="8"/>
        <v>238</v>
      </c>
      <c r="C50" s="23">
        <f t="shared" ca="1" si="9"/>
        <v>238</v>
      </c>
      <c r="D50" s="23">
        <f t="shared" ca="1" si="4"/>
        <v>12630</v>
      </c>
      <c r="E50" s="23">
        <f t="shared" ca="1" si="5"/>
        <v>0</v>
      </c>
      <c r="F50" s="23">
        <f t="shared" si="10"/>
        <v>168</v>
      </c>
      <c r="G50" s="23">
        <f t="shared" ca="1" si="11"/>
        <v>0</v>
      </c>
      <c r="H50" s="23">
        <f t="shared" ca="1" si="6"/>
        <v>238</v>
      </c>
      <c r="I50" s="23">
        <f t="shared" ca="1" si="7"/>
        <v>12630</v>
      </c>
      <c r="K50" s="23">
        <v>490</v>
      </c>
      <c r="L50" s="23">
        <v>7531.2238805970146</v>
      </c>
      <c r="P50" s="10">
        <v>1025</v>
      </c>
      <c r="Q50" s="23">
        <v>-37339</v>
      </c>
      <c r="R50" s="23">
        <v>-34287.59701492537</v>
      </c>
      <c r="S50" s="23">
        <v>-22296.104477611942</v>
      </c>
      <c r="T50" s="23">
        <v>-33976.761194029852</v>
      </c>
      <c r="U50" s="23">
        <v>-31912.940298507463</v>
      </c>
      <c r="V50" s="23">
        <v>-37430.074626865673</v>
      </c>
      <c r="W50" s="23">
        <v>67242.611940298506</v>
      </c>
      <c r="X50" s="23">
        <v>67079.53731343284</v>
      </c>
      <c r="Y50" s="23">
        <v>64633.014925373136</v>
      </c>
      <c r="Z50" s="23">
        <v>-33140.029850746272</v>
      </c>
      <c r="AA50" s="23">
        <v>-44662.044776119401</v>
      </c>
      <c r="AB50" s="23">
        <v>-38161.492537313432</v>
      </c>
      <c r="AC50" s="23">
        <v>-39480.194029850747</v>
      </c>
      <c r="AG50" s="10">
        <v>1025</v>
      </c>
      <c r="AH50" s="23">
        <v>-38828.432835820895</v>
      </c>
      <c r="AI50" s="23">
        <v>-34930.089552238809</v>
      </c>
      <c r="AJ50" s="23">
        <v>-21344.119402985074</v>
      </c>
      <c r="AK50" s="23">
        <v>-34811.208955223883</v>
      </c>
      <c r="AL50" s="23">
        <v>-31702.044776119405</v>
      </c>
      <c r="AM50" s="23">
        <v>-37630.626865671642</v>
      </c>
      <c r="AN50" s="23">
        <v>69454.636815920399</v>
      </c>
      <c r="AO50" s="23">
        <v>69129.562189054734</v>
      </c>
      <c r="AP50" s="23">
        <v>65318.029850746272</v>
      </c>
      <c r="AQ50" s="23">
        <v>-32941.223880597012</v>
      </c>
      <c r="AR50" s="23">
        <v>-43825.850746268654</v>
      </c>
      <c r="AS50" s="23">
        <v>-37856.029850746272</v>
      </c>
      <c r="AT50" s="23">
        <v>-39227.388059701494</v>
      </c>
    </row>
    <row r="51" spans="2:46">
      <c r="B51" s="23">
        <f t="shared" ca="1" si="8"/>
        <v>316</v>
      </c>
      <c r="C51" s="23">
        <f t="shared" ca="1" si="9"/>
        <v>300</v>
      </c>
      <c r="D51" s="23">
        <f t="shared" ca="1" si="4"/>
        <v>21000</v>
      </c>
      <c r="E51" s="23">
        <f t="shared" ca="1" si="5"/>
        <v>16</v>
      </c>
      <c r="F51" s="23">
        <f t="shared" si="10"/>
        <v>168</v>
      </c>
      <c r="G51" s="23">
        <f t="shared" ca="1" si="11"/>
        <v>16</v>
      </c>
      <c r="H51" s="23">
        <f t="shared" ca="1" si="6"/>
        <v>316</v>
      </c>
      <c r="I51" s="23">
        <f t="shared" ca="1" si="7"/>
        <v>21640</v>
      </c>
      <c r="K51" s="23">
        <v>500</v>
      </c>
      <c r="L51" s="23">
        <v>6699.1592039800998</v>
      </c>
      <c r="P51" s="10">
        <v>1050</v>
      </c>
      <c r="Q51" s="23">
        <v>-39737.73134328358</v>
      </c>
      <c r="R51" s="23">
        <v>-35916.492537313432</v>
      </c>
      <c r="S51" s="23">
        <v>-23729.955223880595</v>
      </c>
      <c r="T51" s="23">
        <v>-35366.686567164179</v>
      </c>
      <c r="U51" s="23">
        <v>-33083.507462686568</v>
      </c>
      <c r="V51" s="23">
        <v>-39498.626865671642</v>
      </c>
      <c r="W51" s="23">
        <v>67695.26865671642</v>
      </c>
      <c r="X51" s="23">
        <v>67420.298507462692</v>
      </c>
      <c r="Y51" s="23">
        <v>63844.611940298506</v>
      </c>
      <c r="Z51" s="23">
        <v>-34800.626865671642</v>
      </c>
      <c r="AA51" s="23">
        <v>-46483.835820895525</v>
      </c>
      <c r="AB51" s="23">
        <v>-38983.343283582093</v>
      </c>
      <c r="AC51" s="23">
        <v>-41470.298507462685</v>
      </c>
      <c r="AG51" s="10">
        <v>1050</v>
      </c>
      <c r="AH51" s="23">
        <v>-39705.761194029852</v>
      </c>
      <c r="AI51" s="23">
        <v>-36896.686567164179</v>
      </c>
      <c r="AJ51" s="23">
        <v>-23159.462686567163</v>
      </c>
      <c r="AK51" s="23">
        <v>-36562.880597014926</v>
      </c>
      <c r="AL51" s="23">
        <v>-33026.417910447759</v>
      </c>
      <c r="AM51" s="23">
        <v>-38582.776119402988</v>
      </c>
      <c r="AN51" s="23">
        <v>69519.079601990044</v>
      </c>
      <c r="AO51" s="23">
        <v>68559.492537313432</v>
      </c>
      <c r="AP51" s="23">
        <v>64864.86567164179</v>
      </c>
      <c r="AQ51" s="23">
        <v>-34710.492537313432</v>
      </c>
      <c r="AR51" s="23">
        <v>-45320.955223880599</v>
      </c>
      <c r="AS51" s="23">
        <v>-39402.716417910451</v>
      </c>
      <c r="AT51" s="23">
        <v>-40406.552238805969</v>
      </c>
    </row>
    <row r="52" spans="2:46">
      <c r="B52" s="23">
        <f t="shared" ca="1" si="8"/>
        <v>310</v>
      </c>
      <c r="C52" s="23">
        <f t="shared" ca="1" si="9"/>
        <v>300</v>
      </c>
      <c r="D52" s="23">
        <f t="shared" ca="1" si="4"/>
        <v>21000</v>
      </c>
      <c r="E52" s="23">
        <f t="shared" ca="1" si="5"/>
        <v>10</v>
      </c>
      <c r="F52" s="23">
        <f t="shared" si="10"/>
        <v>168</v>
      </c>
      <c r="G52" s="23">
        <f t="shared" ca="1" si="11"/>
        <v>10</v>
      </c>
      <c r="H52" s="23">
        <f t="shared" ca="1" si="6"/>
        <v>310</v>
      </c>
      <c r="I52" s="23">
        <f t="shared" ca="1" si="7"/>
        <v>21400</v>
      </c>
      <c r="K52" s="23">
        <v>510</v>
      </c>
      <c r="L52" s="23">
        <v>6431.4378109452737</v>
      </c>
      <c r="P52" s="10">
        <v>1075</v>
      </c>
      <c r="Q52" s="23">
        <v>-41815.149253731346</v>
      </c>
      <c r="R52" s="23">
        <v>-37919.626865671642</v>
      </c>
      <c r="S52" s="23">
        <v>-25369.059701492537</v>
      </c>
      <c r="T52" s="23">
        <v>-37660.910447761191</v>
      </c>
      <c r="U52" s="23">
        <v>-34373.895522388062</v>
      </c>
      <c r="V52" s="23">
        <v>-41782.776119402988</v>
      </c>
      <c r="W52" s="23">
        <v>67485.283582089556</v>
      </c>
      <c r="X52" s="23">
        <v>67129.582089552234</v>
      </c>
      <c r="Y52" s="23">
        <v>63244.13432835821</v>
      </c>
      <c r="Z52" s="23">
        <v>-36294.522388059704</v>
      </c>
      <c r="AA52" s="23">
        <v>-46260.880597014926</v>
      </c>
      <c r="AB52" s="23">
        <v>-40654.283582089549</v>
      </c>
      <c r="AC52" s="23">
        <v>-43199.26865671642</v>
      </c>
      <c r="AG52" s="10">
        <v>1075</v>
      </c>
      <c r="AH52" s="23">
        <v>-41504.044776119401</v>
      </c>
      <c r="AI52" s="23">
        <v>-37340.26865671642</v>
      </c>
      <c r="AJ52" s="23">
        <v>-24569.940298507463</v>
      </c>
      <c r="AK52" s="23">
        <v>-37991.358208955222</v>
      </c>
      <c r="AL52" s="23">
        <v>-34794.343283582093</v>
      </c>
      <c r="AM52" s="23">
        <v>-41258.089552238809</v>
      </c>
      <c r="AN52" s="23">
        <v>68501.880597014926</v>
      </c>
      <c r="AO52" s="23">
        <v>67953.970149253728</v>
      </c>
      <c r="AP52" s="23">
        <v>63707.711442786072</v>
      </c>
      <c r="AQ52" s="23">
        <v>-36437.985074626864</v>
      </c>
      <c r="AR52" s="23">
        <v>-47252.358208955222</v>
      </c>
      <c r="AS52" s="23">
        <v>-41321.492537313432</v>
      </c>
      <c r="AT52" s="23">
        <v>-43309.552238805969</v>
      </c>
    </row>
    <row r="53" spans="2:46">
      <c r="B53" s="23">
        <f t="shared" ca="1" si="8"/>
        <v>327</v>
      </c>
      <c r="C53" s="23">
        <f t="shared" ca="1" si="9"/>
        <v>300</v>
      </c>
      <c r="D53" s="23">
        <f t="shared" ca="1" si="4"/>
        <v>21000</v>
      </c>
      <c r="E53" s="23">
        <f t="shared" ca="1" si="5"/>
        <v>27</v>
      </c>
      <c r="F53" s="23">
        <f t="shared" si="10"/>
        <v>168</v>
      </c>
      <c r="G53" s="23">
        <f t="shared" ca="1" si="11"/>
        <v>27</v>
      </c>
      <c r="H53" s="23">
        <f t="shared" ca="1" si="6"/>
        <v>327</v>
      </c>
      <c r="I53" s="23">
        <f t="shared" ca="1" si="7"/>
        <v>22080</v>
      </c>
      <c r="K53" s="23">
        <v>520</v>
      </c>
      <c r="L53" s="23">
        <v>5605.746268656716</v>
      </c>
      <c r="P53" s="10">
        <v>1100</v>
      </c>
      <c r="Q53" s="23">
        <v>-43331.074626865673</v>
      </c>
      <c r="R53" s="23">
        <v>-39358.044776119401</v>
      </c>
      <c r="S53" s="23">
        <v>-27092.791044776121</v>
      </c>
      <c r="T53" s="23">
        <v>-39606.552238805969</v>
      </c>
      <c r="U53" s="23">
        <v>-36029.253731343284</v>
      </c>
      <c r="V53" s="23">
        <v>-42428.388059701494</v>
      </c>
      <c r="W53" s="23">
        <v>67053.388059701494</v>
      </c>
      <c r="X53" s="23">
        <v>65960.223880597012</v>
      </c>
      <c r="Y53" s="23">
        <v>62079.477611940296</v>
      </c>
      <c r="Z53" s="23">
        <v>-37684.179104477611</v>
      </c>
      <c r="AA53" s="23">
        <v>-49296.328358208957</v>
      </c>
      <c r="AB53" s="23">
        <v>-43381.985074626864</v>
      </c>
      <c r="AC53" s="23">
        <v>-44324.835820895525</v>
      </c>
      <c r="AG53" s="10">
        <v>1100</v>
      </c>
      <c r="AH53" s="23">
        <v>-43132.13432835821</v>
      </c>
      <c r="AI53" s="23">
        <v>-39715.089552238809</v>
      </c>
      <c r="AJ53" s="23">
        <v>-26763.552238805969</v>
      </c>
      <c r="AK53" s="23">
        <v>-38893.940298507463</v>
      </c>
      <c r="AL53" s="23">
        <v>-36289.447761194031</v>
      </c>
      <c r="AM53" s="23">
        <v>-42968.253731343284</v>
      </c>
      <c r="AN53" s="23">
        <v>67604.527363184083</v>
      </c>
      <c r="AO53" s="23">
        <v>67427.019900497515</v>
      </c>
      <c r="AP53" s="23">
        <v>62199.233830845769</v>
      </c>
      <c r="AQ53" s="23">
        <v>-37156.671641791043</v>
      </c>
      <c r="AR53" s="23">
        <v>-49059.507462686568</v>
      </c>
      <c r="AS53" s="23">
        <v>-43034.343283582093</v>
      </c>
      <c r="AT53" s="23">
        <v>-44644.40298507463</v>
      </c>
    </row>
    <row r="54" spans="2:46">
      <c r="B54" s="23">
        <f t="shared" ca="1" si="8"/>
        <v>356</v>
      </c>
      <c r="C54" s="23">
        <f t="shared" ca="1" si="9"/>
        <v>300</v>
      </c>
      <c r="D54" s="23">
        <f t="shared" ca="1" si="4"/>
        <v>21000</v>
      </c>
      <c r="E54" s="23">
        <f t="shared" ca="1" si="5"/>
        <v>56</v>
      </c>
      <c r="F54" s="23">
        <f t="shared" si="10"/>
        <v>168</v>
      </c>
      <c r="G54" s="23">
        <f t="shared" ca="1" si="11"/>
        <v>56</v>
      </c>
      <c r="H54" s="23">
        <f t="shared" ca="1" si="6"/>
        <v>356</v>
      </c>
      <c r="I54" s="23">
        <f t="shared" ca="1" si="7"/>
        <v>23240</v>
      </c>
      <c r="K54" s="23">
        <v>530</v>
      </c>
      <c r="L54" s="23">
        <v>4702.2089552238804</v>
      </c>
      <c r="P54" s="10">
        <v>1125</v>
      </c>
      <c r="Q54" s="23">
        <v>-45451.343283582093</v>
      </c>
      <c r="R54" s="23">
        <v>-41359.432835820895</v>
      </c>
      <c r="S54" s="23">
        <v>-29049.179104477611</v>
      </c>
      <c r="T54" s="23">
        <v>-41707.880597014926</v>
      </c>
      <c r="U54" s="23">
        <v>-37824.447761194031</v>
      </c>
      <c r="V54" s="23">
        <v>-44653.164179104475</v>
      </c>
      <c r="W54" s="23">
        <v>66298.432835820902</v>
      </c>
      <c r="X54" s="23">
        <v>65425.432835820895</v>
      </c>
      <c r="Y54" s="23">
        <v>60407.462686567167</v>
      </c>
      <c r="Z54" s="23">
        <v>-39584.552238805969</v>
      </c>
      <c r="AA54" s="23">
        <v>-49558.835820895525</v>
      </c>
      <c r="AB54" s="23">
        <v>-44871.313432835821</v>
      </c>
      <c r="AC54" s="23">
        <v>-46796.373134328358</v>
      </c>
      <c r="AG54" s="10">
        <v>1125</v>
      </c>
      <c r="AH54" s="23">
        <v>-44078.373134328358</v>
      </c>
      <c r="AI54" s="23">
        <v>-40860.671641791043</v>
      </c>
      <c r="AJ54" s="23">
        <v>-28949.104477611942</v>
      </c>
      <c r="AK54" s="23">
        <v>-41917.970149253728</v>
      </c>
      <c r="AL54" s="23">
        <v>-38857.701492537315</v>
      </c>
      <c r="AM54" s="23">
        <v>-43966.746268656716</v>
      </c>
      <c r="AN54" s="23">
        <v>67462.502487562189</v>
      </c>
      <c r="AO54" s="23">
        <v>66353.457711442781</v>
      </c>
      <c r="AP54" s="23">
        <v>61413.54726368159</v>
      </c>
      <c r="AQ54" s="23">
        <v>-39462.850746268654</v>
      </c>
      <c r="AR54" s="23">
        <v>-49913.59701492537</v>
      </c>
      <c r="AS54" s="23">
        <v>-44365.567164179105</v>
      </c>
      <c r="AT54" s="23">
        <v>-46754.194029850747</v>
      </c>
    </row>
    <row r="55" spans="2:46">
      <c r="B55" s="23">
        <f t="shared" ca="1" si="8"/>
        <v>324</v>
      </c>
      <c r="C55" s="23">
        <f t="shared" ca="1" si="9"/>
        <v>300</v>
      </c>
      <c r="D55" s="23">
        <f t="shared" ca="1" si="4"/>
        <v>21000</v>
      </c>
      <c r="E55" s="23">
        <f t="shared" ca="1" si="5"/>
        <v>24</v>
      </c>
      <c r="F55" s="23">
        <f t="shared" si="10"/>
        <v>168</v>
      </c>
      <c r="G55" s="23">
        <f t="shared" ca="1" si="11"/>
        <v>24</v>
      </c>
      <c r="H55" s="23">
        <f t="shared" ca="1" si="6"/>
        <v>324</v>
      </c>
      <c r="I55" s="23">
        <f t="shared" ca="1" si="7"/>
        <v>21960</v>
      </c>
      <c r="K55" s="23">
        <v>540</v>
      </c>
      <c r="L55" s="23">
        <v>4376.4975124378107</v>
      </c>
      <c r="P55" s="10">
        <v>1150</v>
      </c>
      <c r="Q55" s="23">
        <v>-46292.26865671642</v>
      </c>
      <c r="R55" s="23">
        <v>-42694.014925373136</v>
      </c>
      <c r="S55" s="23">
        <v>-30072.791044776121</v>
      </c>
      <c r="T55" s="23">
        <v>-42397.283582089549</v>
      </c>
      <c r="U55" s="23">
        <v>-39701.179104477611</v>
      </c>
      <c r="V55" s="23">
        <v>-46467.432835820895</v>
      </c>
      <c r="W55" s="23">
        <v>65250.104477611938</v>
      </c>
      <c r="X55" s="23">
        <v>65037.59701492537</v>
      </c>
      <c r="Y55" s="23">
        <v>59829.417910447759</v>
      </c>
      <c r="Z55" s="23">
        <v>-41437.507462686568</v>
      </c>
      <c r="AA55" s="23">
        <v>-52001.626865671642</v>
      </c>
      <c r="AB55" s="23">
        <v>-45965.044776119401</v>
      </c>
      <c r="AC55" s="23">
        <v>-48419.492537313432</v>
      </c>
      <c r="AG55" s="10">
        <v>1150</v>
      </c>
      <c r="AH55" s="23">
        <v>-45526.328358208957</v>
      </c>
      <c r="AI55" s="23">
        <v>-42522.074626865673</v>
      </c>
      <c r="AJ55" s="23">
        <v>-29692.641791044774</v>
      </c>
      <c r="AK55" s="23">
        <v>-41493.522388059704</v>
      </c>
      <c r="AL55" s="23">
        <v>-39767.537313432833</v>
      </c>
      <c r="AM55" s="23">
        <v>-46213.149253731346</v>
      </c>
      <c r="AN55" s="23">
        <v>65166.378109452737</v>
      </c>
      <c r="AO55" s="23">
        <v>64779.089552238809</v>
      </c>
      <c r="AP55" s="23">
        <v>59861.40298507463</v>
      </c>
      <c r="AQ55" s="23">
        <v>-40496.940298507463</v>
      </c>
      <c r="AR55" s="23">
        <v>-52244.895522388062</v>
      </c>
      <c r="AS55" s="23">
        <v>-46326.656716417907</v>
      </c>
      <c r="AT55" s="23">
        <v>-48049.552238805969</v>
      </c>
    </row>
    <row r="56" spans="2:46">
      <c r="B56" s="23">
        <f t="shared" ca="1" si="8"/>
        <v>336</v>
      </c>
      <c r="C56" s="23">
        <f t="shared" ca="1" si="9"/>
        <v>300</v>
      </c>
      <c r="D56" s="23">
        <f t="shared" ca="1" si="4"/>
        <v>21000</v>
      </c>
      <c r="E56" s="23">
        <f t="shared" ca="1" si="5"/>
        <v>36</v>
      </c>
      <c r="F56" s="23">
        <f t="shared" si="10"/>
        <v>168</v>
      </c>
      <c r="G56" s="23">
        <f t="shared" ca="1" si="11"/>
        <v>36</v>
      </c>
      <c r="H56" s="23">
        <f t="shared" ca="1" si="6"/>
        <v>336</v>
      </c>
      <c r="I56" s="23">
        <f t="shared" ca="1" si="7"/>
        <v>22440</v>
      </c>
      <c r="K56" s="23">
        <v>550</v>
      </c>
      <c r="L56" s="23">
        <v>2839.2388059701493</v>
      </c>
      <c r="P56" s="10">
        <v>1175</v>
      </c>
      <c r="Q56" s="23">
        <v>-47470.761194029852</v>
      </c>
      <c r="R56" s="23">
        <v>-44610.238805970148</v>
      </c>
      <c r="S56" s="23">
        <v>-31826.746268656716</v>
      </c>
      <c r="T56" s="23">
        <v>-44191.40298507463</v>
      </c>
      <c r="U56" s="23">
        <v>-40884.373134328358</v>
      </c>
      <c r="V56" s="23">
        <v>-47329.582089552241</v>
      </c>
      <c r="W56" s="23">
        <v>64053.880597014926</v>
      </c>
      <c r="X56" s="23">
        <v>63122.313432835821</v>
      </c>
      <c r="Y56" s="23">
        <v>58481</v>
      </c>
      <c r="Z56" s="23">
        <v>-42262.850746268654</v>
      </c>
      <c r="AA56" s="23">
        <v>-53761.492537313432</v>
      </c>
      <c r="AB56" s="23">
        <v>-47817.59701492537</v>
      </c>
      <c r="AC56" s="23">
        <v>-49188.283582089549</v>
      </c>
      <c r="AG56" s="10">
        <v>1175</v>
      </c>
      <c r="AH56" s="23">
        <v>-47572.179104477611</v>
      </c>
      <c r="AI56" s="23">
        <v>-44118.86567164179</v>
      </c>
      <c r="AJ56" s="23">
        <v>-31258.13432835821</v>
      </c>
      <c r="AK56" s="23">
        <v>-43901.119402985074</v>
      </c>
      <c r="AL56" s="23">
        <v>-40887.328358208957</v>
      </c>
      <c r="AM56" s="23">
        <v>-47648.880597014926</v>
      </c>
      <c r="AN56" s="23">
        <v>64011.701492537315</v>
      </c>
      <c r="AO56" s="23">
        <v>64058.54726368159</v>
      </c>
      <c r="AP56" s="23">
        <v>58162.582089552241</v>
      </c>
      <c r="AQ56" s="23">
        <v>-42370.850746268654</v>
      </c>
      <c r="AR56" s="23">
        <v>-53947.940298507463</v>
      </c>
      <c r="AS56" s="23">
        <v>-48151.940298507463</v>
      </c>
      <c r="AT56" s="23">
        <v>-49621.492537313432</v>
      </c>
    </row>
    <row r="57" spans="2:46">
      <c r="B57" s="23">
        <f t="shared" ca="1" si="8"/>
        <v>60</v>
      </c>
      <c r="C57" s="23">
        <f t="shared" ca="1" si="9"/>
        <v>60</v>
      </c>
      <c r="D57" s="23">
        <f t="shared" ca="1" si="4"/>
        <v>-11400</v>
      </c>
      <c r="E57" s="23">
        <f t="shared" ca="1" si="5"/>
        <v>0</v>
      </c>
      <c r="F57" s="23">
        <f t="shared" si="10"/>
        <v>168</v>
      </c>
      <c r="G57" s="23">
        <f t="shared" ca="1" si="11"/>
        <v>0</v>
      </c>
      <c r="H57" s="23">
        <f t="shared" ca="1" si="6"/>
        <v>60</v>
      </c>
      <c r="I57" s="23">
        <f t="shared" ca="1" si="7"/>
        <v>-11400</v>
      </c>
      <c r="K57" s="23">
        <v>560</v>
      </c>
      <c r="L57" s="23">
        <v>3053.6965174129355</v>
      </c>
      <c r="P57" s="10">
        <v>1200</v>
      </c>
      <c r="Q57" s="23">
        <v>-49526.955223880599</v>
      </c>
      <c r="R57" s="23">
        <v>-45859.522388059704</v>
      </c>
      <c r="S57" s="23">
        <v>-33485.86567164179</v>
      </c>
      <c r="T57" s="23">
        <v>-46379.507462686568</v>
      </c>
      <c r="U57" s="23">
        <v>-42802.880597014926</v>
      </c>
      <c r="V57" s="23">
        <v>-49599.358208955222</v>
      </c>
      <c r="W57" s="23">
        <v>62242.298507462685</v>
      </c>
      <c r="X57" s="23">
        <v>61791.223880597012</v>
      </c>
      <c r="Y57" s="23">
        <v>56793.537313432833</v>
      </c>
      <c r="Z57" s="23">
        <v>-44662.388059701494</v>
      </c>
      <c r="AA57" s="23">
        <v>-55967.73134328358</v>
      </c>
      <c r="AB57" s="23">
        <v>-49586.462686567167</v>
      </c>
      <c r="AC57" s="23">
        <v>-50883.940298507463</v>
      </c>
      <c r="AG57" s="10">
        <v>1200</v>
      </c>
      <c r="AH57" s="23">
        <v>-48882.582089552241</v>
      </c>
      <c r="AI57" s="23">
        <v>-46198.835820895525</v>
      </c>
      <c r="AJ57" s="23">
        <v>-32842.701492537315</v>
      </c>
      <c r="AK57" s="23">
        <v>-45611.149253731346</v>
      </c>
      <c r="AL57" s="23">
        <v>-42247.970149253728</v>
      </c>
      <c r="AM57" s="23">
        <v>-49333.253731343284</v>
      </c>
      <c r="AN57" s="23">
        <v>62171.004975124379</v>
      </c>
      <c r="AO57" s="23">
        <v>62587.910447761191</v>
      </c>
      <c r="AP57" s="23">
        <v>56969.114427860695</v>
      </c>
      <c r="AQ57" s="23">
        <v>-45231.40298507463</v>
      </c>
      <c r="AR57" s="23">
        <v>-55237.253731343284</v>
      </c>
      <c r="AS57" s="23">
        <v>-49958.686567164179</v>
      </c>
      <c r="AT57" s="23">
        <v>-51384.850746268654</v>
      </c>
    </row>
    <row r="58" spans="2:46">
      <c r="B58" s="23">
        <f t="shared" ca="1" si="8"/>
        <v>316</v>
      </c>
      <c r="C58" s="23">
        <f t="shared" ca="1" si="9"/>
        <v>300</v>
      </c>
      <c r="D58" s="23">
        <f t="shared" ca="1" si="4"/>
        <v>21000</v>
      </c>
      <c r="E58" s="23">
        <f t="shared" ca="1" si="5"/>
        <v>16</v>
      </c>
      <c r="F58" s="23">
        <f t="shared" si="10"/>
        <v>168</v>
      </c>
      <c r="G58" s="23">
        <f t="shared" ca="1" si="11"/>
        <v>16</v>
      </c>
      <c r="H58" s="23">
        <f t="shared" ca="1" si="6"/>
        <v>316</v>
      </c>
      <c r="I58" s="23">
        <f t="shared" ca="1" si="7"/>
        <v>21640</v>
      </c>
      <c r="K58" s="23">
        <v>570</v>
      </c>
      <c r="L58" s="23">
        <v>2121.9104477611941</v>
      </c>
      <c r="P58" s="10">
        <v>1225</v>
      </c>
      <c r="Q58" s="23">
        <v>-50698.73134328358</v>
      </c>
      <c r="R58" s="23">
        <v>-47851.238805970148</v>
      </c>
      <c r="S58" s="23">
        <v>-34647.701492537315</v>
      </c>
      <c r="T58" s="23">
        <v>-47631.477611940296</v>
      </c>
      <c r="U58" s="23">
        <v>-44074.194029850747</v>
      </c>
      <c r="V58" s="23">
        <v>-51326.447761194031</v>
      </c>
      <c r="W58" s="23">
        <v>61543.358208955222</v>
      </c>
      <c r="X58" s="23">
        <v>60439.044776119401</v>
      </c>
      <c r="Y58" s="23">
        <v>55460.029850746272</v>
      </c>
      <c r="Z58" s="23">
        <v>-45815.626865671642</v>
      </c>
      <c r="AA58" s="23">
        <v>-57728.537313432833</v>
      </c>
      <c r="AB58" s="23">
        <v>-51303.880597014926</v>
      </c>
      <c r="AC58" s="23">
        <v>-53570.940298507463</v>
      </c>
      <c r="AG58" s="10">
        <v>1225</v>
      </c>
      <c r="AH58" s="23">
        <v>-50228.582089552241</v>
      </c>
      <c r="AI58" s="23">
        <v>-48034.462686567167</v>
      </c>
      <c r="AJ58" s="23">
        <v>-35260.507462686568</v>
      </c>
      <c r="AK58" s="23">
        <v>-47997.791044776117</v>
      </c>
      <c r="AL58" s="23">
        <v>-43976.40298507463</v>
      </c>
      <c r="AM58" s="23">
        <v>-50529.208955223883</v>
      </c>
      <c r="AN58" s="23">
        <v>61397.935323383084</v>
      </c>
      <c r="AO58" s="23">
        <v>61024.870646766169</v>
      </c>
      <c r="AP58" s="23">
        <v>55481.169154228854</v>
      </c>
      <c r="AQ58" s="23">
        <v>-46009.73134328358</v>
      </c>
      <c r="AR58" s="23">
        <v>-57057.701492537315</v>
      </c>
      <c r="AS58" s="23">
        <v>-49946.492537313432</v>
      </c>
      <c r="AT58" s="23">
        <v>-52935.701492537315</v>
      </c>
    </row>
    <row r="59" spans="2:46">
      <c r="B59" s="23">
        <f t="shared" ca="1" si="8"/>
        <v>265</v>
      </c>
      <c r="C59" s="23">
        <f t="shared" ca="1" si="9"/>
        <v>265</v>
      </c>
      <c r="D59" s="23">
        <f t="shared" ca="1" si="4"/>
        <v>16275</v>
      </c>
      <c r="E59" s="23">
        <f t="shared" ca="1" si="5"/>
        <v>0</v>
      </c>
      <c r="F59" s="23">
        <f t="shared" si="10"/>
        <v>168</v>
      </c>
      <c r="G59" s="23">
        <f t="shared" ca="1" si="11"/>
        <v>0</v>
      </c>
      <c r="H59" s="23">
        <f t="shared" ca="1" si="6"/>
        <v>265</v>
      </c>
      <c r="I59" s="23">
        <f t="shared" ca="1" si="7"/>
        <v>16275</v>
      </c>
      <c r="K59" s="23">
        <v>580</v>
      </c>
      <c r="L59" s="23">
        <v>1866.5522388059701</v>
      </c>
      <c r="P59" s="10">
        <v>1250</v>
      </c>
      <c r="Q59" s="23">
        <v>-53087.925373134327</v>
      </c>
      <c r="R59" s="23">
        <v>-50185.761194029852</v>
      </c>
      <c r="S59" s="23">
        <v>-37140.73134328358</v>
      </c>
      <c r="T59" s="23">
        <v>-49218.86567164179</v>
      </c>
      <c r="U59" s="23">
        <v>-46307.701492537315</v>
      </c>
      <c r="V59" s="23">
        <v>-52411.313432835821</v>
      </c>
      <c r="W59" s="23">
        <v>60370.776119402988</v>
      </c>
      <c r="X59" s="23">
        <v>59264.447761194031</v>
      </c>
      <c r="Y59" s="23">
        <v>53984.940298507463</v>
      </c>
      <c r="Z59" s="23">
        <v>-47143.761194029852</v>
      </c>
      <c r="AA59" s="23">
        <v>-58902.86567164179</v>
      </c>
      <c r="AB59" s="23">
        <v>-52299.149253731346</v>
      </c>
      <c r="AC59" s="23">
        <v>-54317.029850746272</v>
      </c>
      <c r="AG59" s="10">
        <v>1250</v>
      </c>
      <c r="AH59" s="23">
        <v>-52931.029850746272</v>
      </c>
      <c r="AI59" s="23">
        <v>-50093.746268656716</v>
      </c>
      <c r="AJ59" s="23">
        <v>-36607.582089552241</v>
      </c>
      <c r="AK59" s="23">
        <v>-49203.149253731346</v>
      </c>
      <c r="AL59" s="23">
        <v>-45650.701492537315</v>
      </c>
      <c r="AM59" s="23">
        <v>-52376.253731343284</v>
      </c>
      <c r="AN59" s="23">
        <v>60277.472636815917</v>
      </c>
      <c r="AO59" s="23">
        <v>59329.014925373136</v>
      </c>
      <c r="AP59" s="23">
        <v>53969.422885572138</v>
      </c>
      <c r="AQ59" s="23">
        <v>-48205.492537313432</v>
      </c>
      <c r="AR59" s="23">
        <v>-58679.477611940296</v>
      </c>
      <c r="AS59" s="23">
        <v>-52633.358208955222</v>
      </c>
      <c r="AT59" s="23">
        <v>-54816.059701492537</v>
      </c>
    </row>
    <row r="60" spans="2:46">
      <c r="B60" s="23">
        <f t="shared" ca="1" si="8"/>
        <v>215</v>
      </c>
      <c r="C60" s="23">
        <f t="shared" ca="1" si="9"/>
        <v>215</v>
      </c>
      <c r="D60" s="23">
        <f t="shared" ca="1" si="4"/>
        <v>9525</v>
      </c>
      <c r="E60" s="23">
        <f t="shared" ca="1" si="5"/>
        <v>0</v>
      </c>
      <c r="F60" s="23">
        <f t="shared" si="10"/>
        <v>168</v>
      </c>
      <c r="G60" s="23">
        <f t="shared" ca="1" si="11"/>
        <v>0</v>
      </c>
      <c r="H60" s="23">
        <f t="shared" ca="1" si="6"/>
        <v>215</v>
      </c>
      <c r="I60" s="23">
        <f t="shared" ca="1" si="7"/>
        <v>9525</v>
      </c>
      <c r="K60" s="23">
        <v>590</v>
      </c>
      <c r="L60" s="23">
        <v>1178.7114427860697</v>
      </c>
      <c r="P60" s="10">
        <v>1275</v>
      </c>
      <c r="Q60" s="23">
        <v>-53428.880597014926</v>
      </c>
      <c r="R60" s="23">
        <v>-50549.820895522389</v>
      </c>
      <c r="S60" s="23">
        <v>-38459.59701492537</v>
      </c>
      <c r="T60" s="23">
        <v>-50808.13432835821</v>
      </c>
      <c r="U60" s="23">
        <v>-47053.656716417907</v>
      </c>
      <c r="V60" s="23">
        <v>-54556.701492537315</v>
      </c>
      <c r="W60" s="23">
        <v>58272.805970149253</v>
      </c>
      <c r="X60" s="23">
        <v>57585.985074626864</v>
      </c>
      <c r="Y60" s="23">
        <v>51401.910447761191</v>
      </c>
      <c r="Z60" s="23">
        <v>-48908.462686567167</v>
      </c>
      <c r="AA60" s="23">
        <v>-60274.522388059704</v>
      </c>
      <c r="AB60" s="23">
        <v>-54704.73134328358</v>
      </c>
      <c r="AC60" s="23">
        <v>-56169.044776119401</v>
      </c>
      <c r="AG60" s="10">
        <v>1275</v>
      </c>
      <c r="AH60" s="23">
        <v>-53905.074626865673</v>
      </c>
      <c r="AI60" s="23">
        <v>-50675.417910447759</v>
      </c>
      <c r="AJ60" s="23">
        <v>-38111.417910447759</v>
      </c>
      <c r="AK60" s="23">
        <v>-51142.880597014926</v>
      </c>
      <c r="AL60" s="23">
        <v>-48076.029850746272</v>
      </c>
      <c r="AM60" s="23">
        <v>-54268.970149253728</v>
      </c>
      <c r="AN60" s="23">
        <v>58437.099502487559</v>
      </c>
      <c r="AO60" s="23">
        <v>58431.517412935325</v>
      </c>
      <c r="AP60" s="23">
        <v>51979.13432835821</v>
      </c>
      <c r="AQ60" s="23">
        <v>-50058.985074626864</v>
      </c>
      <c r="AR60" s="23">
        <v>-60145.701492537315</v>
      </c>
      <c r="AS60" s="23">
        <v>-53110.656716417907</v>
      </c>
      <c r="AT60" s="23">
        <v>-56056.208955223883</v>
      </c>
    </row>
    <row r="61" spans="2:46">
      <c r="B61" s="23">
        <f t="shared" ca="1" si="8"/>
        <v>102</v>
      </c>
      <c r="C61" s="23">
        <f t="shared" ca="1" si="9"/>
        <v>102</v>
      </c>
      <c r="D61" s="23">
        <f t="shared" ca="1" si="4"/>
        <v>-5730</v>
      </c>
      <c r="E61" s="23">
        <f t="shared" ca="1" si="5"/>
        <v>0</v>
      </c>
      <c r="F61" s="23">
        <f t="shared" si="10"/>
        <v>168</v>
      </c>
      <c r="G61" s="23">
        <f t="shared" ca="1" si="11"/>
        <v>0</v>
      </c>
      <c r="H61" s="23">
        <f t="shared" ca="1" si="6"/>
        <v>102</v>
      </c>
      <c r="I61" s="23">
        <f t="shared" ca="1" si="7"/>
        <v>-5730</v>
      </c>
      <c r="K61" s="23">
        <v>600</v>
      </c>
      <c r="L61" s="23">
        <v>-657.92537313432831</v>
      </c>
      <c r="P61" s="10">
        <v>1300</v>
      </c>
      <c r="Q61" s="23">
        <v>-55994.716417910451</v>
      </c>
      <c r="R61" s="23">
        <v>-52591.641791044778</v>
      </c>
      <c r="S61" s="23">
        <v>-39985.194029850747</v>
      </c>
      <c r="T61" s="23">
        <v>-52758.880597014926</v>
      </c>
      <c r="U61" s="23">
        <v>-49982.447761194031</v>
      </c>
      <c r="V61" s="23">
        <v>-56818.820895522389</v>
      </c>
      <c r="W61" s="23">
        <v>57408.104477611938</v>
      </c>
      <c r="X61" s="23">
        <v>55966.223880597012</v>
      </c>
      <c r="Y61" s="23">
        <v>51039.462686567167</v>
      </c>
      <c r="Z61" s="23">
        <v>-51294.701492537315</v>
      </c>
      <c r="AA61" s="23">
        <v>-62082.343283582093</v>
      </c>
      <c r="AB61" s="23">
        <v>-55888.86567164179</v>
      </c>
      <c r="AC61" s="23">
        <v>-57606.119402985074</v>
      </c>
      <c r="AG61" s="10">
        <v>1300</v>
      </c>
      <c r="AH61" s="23">
        <v>-55766.492537313432</v>
      </c>
      <c r="AI61" s="23">
        <v>-51546.701492537315</v>
      </c>
      <c r="AJ61" s="23">
        <v>-39570.119402985074</v>
      </c>
      <c r="AK61" s="23">
        <v>-52860.567164179105</v>
      </c>
      <c r="AL61" s="23">
        <v>-48992.179104477611</v>
      </c>
      <c r="AM61" s="23">
        <v>-55517.179104477611</v>
      </c>
      <c r="AN61" s="23">
        <v>56055.58706467662</v>
      </c>
      <c r="AO61" s="23">
        <v>56044.064676616916</v>
      </c>
      <c r="AP61" s="23">
        <v>50158.293532338306</v>
      </c>
      <c r="AQ61" s="23">
        <v>-50830.328358208957</v>
      </c>
      <c r="AR61" s="23">
        <v>-61513.328358208957</v>
      </c>
      <c r="AS61" s="23">
        <v>-55987.328358208957</v>
      </c>
      <c r="AT61" s="23">
        <v>-57367.149253731346</v>
      </c>
    </row>
    <row r="62" spans="2:46">
      <c r="B62" s="23">
        <f t="shared" ca="1" si="8"/>
        <v>223</v>
      </c>
      <c r="C62" s="23">
        <f t="shared" ca="1" si="9"/>
        <v>223</v>
      </c>
      <c r="D62" s="23">
        <f t="shared" ca="1" si="4"/>
        <v>10605</v>
      </c>
      <c r="E62" s="23">
        <f t="shared" ca="1" si="5"/>
        <v>0</v>
      </c>
      <c r="F62" s="23">
        <f t="shared" si="10"/>
        <v>168</v>
      </c>
      <c r="G62" s="23">
        <f t="shared" ca="1" si="11"/>
        <v>0</v>
      </c>
      <c r="H62" s="23">
        <f t="shared" ca="1" si="6"/>
        <v>223</v>
      </c>
      <c r="I62" s="23">
        <f t="shared" ca="1" si="7"/>
        <v>10605</v>
      </c>
      <c r="K62" s="23">
        <v>610</v>
      </c>
      <c r="L62" s="23">
        <v>-522.60199004975129</v>
      </c>
      <c r="P62" s="10">
        <v>1325</v>
      </c>
      <c r="Q62" s="23">
        <v>-57019.671641791043</v>
      </c>
      <c r="R62" s="23">
        <v>-53384.074626865673</v>
      </c>
      <c r="S62" s="23">
        <v>-42065.970149253728</v>
      </c>
      <c r="T62" s="23">
        <v>-53874.776119402988</v>
      </c>
      <c r="U62" s="23">
        <v>-50809.40298507463</v>
      </c>
      <c r="V62" s="23">
        <v>-58025.119402985074</v>
      </c>
      <c r="W62" s="23">
        <v>54981.029850746272</v>
      </c>
      <c r="X62" s="23">
        <v>54573.208955223883</v>
      </c>
      <c r="Y62" s="23">
        <v>48840.880597014926</v>
      </c>
      <c r="Z62" s="23">
        <v>-52621.223880597012</v>
      </c>
      <c r="AA62" s="23">
        <v>-63211.13432835821</v>
      </c>
      <c r="AB62" s="23">
        <v>-57049.223880597012</v>
      </c>
      <c r="AC62" s="23">
        <v>-59667.552238805969</v>
      </c>
      <c r="AG62" s="10">
        <v>1325</v>
      </c>
      <c r="AH62" s="23">
        <v>-56778.552238805969</v>
      </c>
      <c r="AI62" s="23">
        <v>-54089.298507462685</v>
      </c>
      <c r="AJ62" s="23">
        <v>-41671.447761194031</v>
      </c>
      <c r="AK62" s="23">
        <v>-54206.029850746272</v>
      </c>
      <c r="AL62" s="23">
        <v>-51345.238805970148</v>
      </c>
      <c r="AM62" s="23">
        <v>-57050.701492537315</v>
      </c>
      <c r="AN62" s="23">
        <v>55315.407960199002</v>
      </c>
      <c r="AO62" s="23">
        <v>54551.358208955222</v>
      </c>
      <c r="AP62" s="23">
        <v>49174.009950248757</v>
      </c>
      <c r="AQ62" s="23">
        <v>-52126.089552238809</v>
      </c>
      <c r="AR62" s="23">
        <v>-63524.522388059704</v>
      </c>
      <c r="AS62" s="23">
        <v>-57548.791044776117</v>
      </c>
      <c r="AT62" s="23">
        <v>-59536.044776119401</v>
      </c>
    </row>
    <row r="63" spans="2:46">
      <c r="B63" s="23">
        <f t="shared" ca="1" si="8"/>
        <v>367</v>
      </c>
      <c r="C63" s="23">
        <f t="shared" ca="1" si="9"/>
        <v>300</v>
      </c>
      <c r="D63" s="23">
        <f t="shared" ca="1" si="4"/>
        <v>21000</v>
      </c>
      <c r="E63" s="23">
        <f t="shared" ca="1" si="5"/>
        <v>67</v>
      </c>
      <c r="F63" s="23">
        <f t="shared" si="10"/>
        <v>168</v>
      </c>
      <c r="G63" s="23">
        <f t="shared" ca="1" si="11"/>
        <v>67</v>
      </c>
      <c r="H63" s="23">
        <f t="shared" ca="1" si="6"/>
        <v>367</v>
      </c>
      <c r="I63" s="23">
        <f t="shared" ca="1" si="7"/>
        <v>23680</v>
      </c>
      <c r="K63" s="23">
        <v>620</v>
      </c>
      <c r="L63" s="23">
        <v>-1412.6119402985075</v>
      </c>
      <c r="P63" s="10">
        <v>1350</v>
      </c>
      <c r="Q63" s="23">
        <v>-58420.074626865673</v>
      </c>
      <c r="R63" s="23">
        <v>-55978.119402985074</v>
      </c>
      <c r="S63" s="23">
        <v>-43788.089552238809</v>
      </c>
      <c r="T63" s="23">
        <v>-56069.194029850747</v>
      </c>
      <c r="U63" s="23">
        <v>-53056.074626865673</v>
      </c>
      <c r="V63" s="23">
        <v>-59841</v>
      </c>
      <c r="W63" s="23">
        <v>53554.432835820895</v>
      </c>
      <c r="X63" s="23">
        <v>52991.194029850747</v>
      </c>
      <c r="Y63" s="23">
        <v>45812.283582089549</v>
      </c>
      <c r="Z63" s="23">
        <v>-53538.179104477611</v>
      </c>
      <c r="AA63" s="23">
        <v>-64759.164179104475</v>
      </c>
      <c r="AB63" s="23">
        <v>-59180.776119402988</v>
      </c>
      <c r="AC63" s="23">
        <v>-60797.417910447759</v>
      </c>
      <c r="AG63" s="10">
        <v>1350</v>
      </c>
      <c r="AH63" s="23">
        <v>-59080.298507462685</v>
      </c>
      <c r="AI63" s="23">
        <v>-55802.552238805969</v>
      </c>
      <c r="AJ63" s="23">
        <v>-42722.194029850747</v>
      </c>
      <c r="AK63" s="23">
        <v>-55571.104477611938</v>
      </c>
      <c r="AL63" s="23">
        <v>-52927.253731343284</v>
      </c>
      <c r="AM63" s="23">
        <v>-59051.955223880599</v>
      </c>
      <c r="AN63" s="23">
        <v>54363.985074626864</v>
      </c>
      <c r="AO63" s="23">
        <v>52490.378109452737</v>
      </c>
      <c r="AP63" s="23">
        <v>46819.343283582093</v>
      </c>
      <c r="AQ63" s="23">
        <v>-53995.298507462685</v>
      </c>
      <c r="AR63" s="23">
        <v>-65886.313432835814</v>
      </c>
      <c r="AS63" s="23">
        <v>-59022.671641791043</v>
      </c>
      <c r="AT63" s="23">
        <v>-60996.895522388062</v>
      </c>
    </row>
    <row r="64" spans="2:46">
      <c r="B64" s="23">
        <f t="shared" ca="1" si="8"/>
        <v>352</v>
      </c>
      <c r="C64" s="23">
        <f t="shared" ca="1" si="9"/>
        <v>300</v>
      </c>
      <c r="D64" s="23">
        <f t="shared" ca="1" si="4"/>
        <v>21000</v>
      </c>
      <c r="E64" s="23">
        <f t="shared" ca="1" si="5"/>
        <v>52</v>
      </c>
      <c r="F64" s="23">
        <f t="shared" si="10"/>
        <v>168</v>
      </c>
      <c r="G64" s="23">
        <f t="shared" ca="1" si="11"/>
        <v>52</v>
      </c>
      <c r="H64" s="23">
        <f t="shared" ca="1" si="6"/>
        <v>352</v>
      </c>
      <c r="I64" s="23">
        <f t="shared" ca="1" si="7"/>
        <v>23080</v>
      </c>
      <c r="K64" s="23">
        <v>630</v>
      </c>
      <c r="L64" s="23">
        <v>-1109.5522388059701</v>
      </c>
      <c r="P64" s="10">
        <v>1375</v>
      </c>
      <c r="Q64" s="23">
        <v>-61713.432835820895</v>
      </c>
      <c r="R64" s="23">
        <v>-56823.611940298506</v>
      </c>
      <c r="S64" s="23">
        <v>-44405.492537313432</v>
      </c>
      <c r="T64" s="23">
        <v>-56562.880597014926</v>
      </c>
      <c r="U64" s="23">
        <v>-53818.283582089549</v>
      </c>
      <c r="V64" s="23">
        <v>-60844.59701492537</v>
      </c>
      <c r="W64" s="23">
        <v>52491.59701492537</v>
      </c>
      <c r="X64" s="23">
        <v>51381.104477611938</v>
      </c>
      <c r="Y64" s="23">
        <v>45954.910447761191</v>
      </c>
      <c r="Z64" s="23">
        <v>-55885.86567164179</v>
      </c>
      <c r="AA64" s="23">
        <v>-67038.208955223876</v>
      </c>
      <c r="AB64" s="23">
        <v>-60782.26865671642</v>
      </c>
      <c r="AC64" s="23">
        <v>-62735.26865671642</v>
      </c>
      <c r="AG64" s="10">
        <v>1375</v>
      </c>
      <c r="AH64" s="23">
        <v>-61466.940298507463</v>
      </c>
      <c r="AI64" s="23">
        <v>-57677.537313432833</v>
      </c>
      <c r="AJ64" s="23">
        <v>-44894.716417910451</v>
      </c>
      <c r="AK64" s="23">
        <v>-57301.552238805969</v>
      </c>
      <c r="AL64" s="23">
        <v>-53798.13432835821</v>
      </c>
      <c r="AM64" s="23">
        <v>-60799.73134328358</v>
      </c>
      <c r="AN64" s="23">
        <v>51882.417910447759</v>
      </c>
      <c r="AO64" s="23">
        <v>50314</v>
      </c>
      <c r="AP64" s="23">
        <v>45694.582089552241</v>
      </c>
      <c r="AQ64" s="23">
        <v>-55822.194029850747</v>
      </c>
      <c r="AR64" s="23">
        <v>-67879.910447761198</v>
      </c>
      <c r="AS64" s="23">
        <v>-60814.104477611938</v>
      </c>
      <c r="AT64" s="23">
        <v>-61953.343283582093</v>
      </c>
    </row>
    <row r="65" spans="2:46">
      <c r="B65" s="23">
        <f t="shared" ca="1" si="8"/>
        <v>256</v>
      </c>
      <c r="C65" s="23">
        <f t="shared" ca="1" si="9"/>
        <v>256</v>
      </c>
      <c r="D65" s="23">
        <f t="shared" ca="1" si="4"/>
        <v>15060</v>
      </c>
      <c r="E65" s="23">
        <f t="shared" ca="1" si="5"/>
        <v>0</v>
      </c>
      <c r="F65" s="23">
        <f t="shared" si="10"/>
        <v>168</v>
      </c>
      <c r="G65" s="23">
        <f t="shared" ca="1" si="11"/>
        <v>0</v>
      </c>
      <c r="H65" s="23">
        <f t="shared" ca="1" si="6"/>
        <v>256</v>
      </c>
      <c r="I65" s="23">
        <f t="shared" ca="1" si="7"/>
        <v>15060</v>
      </c>
      <c r="K65" s="23">
        <v>640</v>
      </c>
      <c r="L65" s="23">
        <v>-2915.1890547263683</v>
      </c>
      <c r="P65" s="10">
        <v>1400</v>
      </c>
      <c r="Q65" s="23">
        <v>-62948.074626865673</v>
      </c>
      <c r="R65" s="23">
        <v>-58592.343283582093</v>
      </c>
      <c r="S65" s="23">
        <v>-46540</v>
      </c>
      <c r="T65" s="23">
        <v>-58390.313432835821</v>
      </c>
      <c r="U65" s="23">
        <v>-55080.73134328358</v>
      </c>
      <c r="V65" s="23">
        <v>-62618.835820895525</v>
      </c>
      <c r="W65" s="23">
        <v>50628.029850746272</v>
      </c>
      <c r="X65" s="23">
        <v>48893.447761194031</v>
      </c>
      <c r="Y65" s="23">
        <v>43704.343283582093</v>
      </c>
      <c r="Z65" s="23">
        <v>-56738.208955223883</v>
      </c>
      <c r="AA65" s="23">
        <v>-68205.686567164186</v>
      </c>
      <c r="AB65" s="23">
        <v>-62640.328358208957</v>
      </c>
      <c r="AC65" s="23">
        <v>-63747.328358208957</v>
      </c>
      <c r="AG65" s="10">
        <v>1400</v>
      </c>
      <c r="AH65" s="23">
        <v>-62754.776119402988</v>
      </c>
      <c r="AI65" s="23">
        <v>-58859.522388059704</v>
      </c>
      <c r="AJ65" s="23">
        <v>-45829.26865671642</v>
      </c>
      <c r="AK65" s="23">
        <v>-58615.044776119401</v>
      </c>
      <c r="AL65" s="23">
        <v>-55924.313432835821</v>
      </c>
      <c r="AM65" s="23">
        <v>-62243.388059701494</v>
      </c>
      <c r="AN65" s="23">
        <v>49599.611940298506</v>
      </c>
      <c r="AO65" s="23">
        <v>49832.044776119401</v>
      </c>
      <c r="AP65" s="23">
        <v>44340.119402985074</v>
      </c>
      <c r="AQ65" s="23">
        <v>-58070.746268656716</v>
      </c>
      <c r="AR65" s="23">
        <v>-68569.179104477618</v>
      </c>
      <c r="AS65" s="23">
        <v>-62158.089552238809</v>
      </c>
      <c r="AT65" s="23">
        <v>-64032.104477611938</v>
      </c>
    </row>
    <row r="66" spans="2:46">
      <c r="B66" s="23">
        <f t="shared" ca="1" si="8"/>
        <v>381</v>
      </c>
      <c r="C66" s="23">
        <f t="shared" ca="1" si="9"/>
        <v>300</v>
      </c>
      <c r="D66" s="23">
        <f t="shared" ca="1" si="4"/>
        <v>21000</v>
      </c>
      <c r="E66" s="23">
        <f t="shared" ca="1" si="5"/>
        <v>81</v>
      </c>
      <c r="F66" s="23">
        <f t="shared" si="10"/>
        <v>168</v>
      </c>
      <c r="G66" s="23">
        <f t="shared" ca="1" si="11"/>
        <v>81</v>
      </c>
      <c r="H66" s="23">
        <f t="shared" ca="1" si="6"/>
        <v>381</v>
      </c>
      <c r="I66" s="23">
        <f t="shared" ca="1" si="7"/>
        <v>24240</v>
      </c>
      <c r="K66" s="23">
        <v>650</v>
      </c>
      <c r="L66" s="23">
        <v>-2715.2835820895521</v>
      </c>
      <c r="P66" s="10">
        <v>1425</v>
      </c>
      <c r="Q66" s="23">
        <v>-64008.626865671642</v>
      </c>
      <c r="R66" s="23">
        <v>-60058.567164179105</v>
      </c>
      <c r="S66" s="23">
        <v>-48655.567164179105</v>
      </c>
      <c r="T66" s="23">
        <v>-60644.507462686568</v>
      </c>
      <c r="U66" s="23">
        <v>-58145.462686567167</v>
      </c>
      <c r="V66" s="23">
        <v>-63330.940298507463</v>
      </c>
      <c r="W66" s="23">
        <v>48551.820895522389</v>
      </c>
      <c r="X66" s="23">
        <v>47464.835820895525</v>
      </c>
      <c r="Y66" s="23">
        <v>42182.507462686568</v>
      </c>
      <c r="Z66" s="23">
        <v>-58824.895522388062</v>
      </c>
      <c r="AA66" s="23">
        <v>-69317.820895522382</v>
      </c>
      <c r="AB66" s="23">
        <v>-63624.716417910451</v>
      </c>
      <c r="AC66" s="23">
        <v>-64752.671641791043</v>
      </c>
      <c r="AG66" s="10">
        <v>1425</v>
      </c>
      <c r="AH66" s="23">
        <v>-63964.567164179105</v>
      </c>
      <c r="AI66" s="23">
        <v>-61620.805970149253</v>
      </c>
      <c r="AJ66" s="23">
        <v>-48521.641791044778</v>
      </c>
      <c r="AK66" s="23">
        <v>-59516.417910447759</v>
      </c>
      <c r="AL66" s="23">
        <v>-58296.716417910451</v>
      </c>
      <c r="AM66" s="23">
        <v>-63790.343283582093</v>
      </c>
      <c r="AN66" s="23">
        <v>48430.925373134327</v>
      </c>
      <c r="AO66" s="23">
        <v>48391.029850746272</v>
      </c>
      <c r="AP66" s="23">
        <v>42598.522388059704</v>
      </c>
      <c r="AQ66" s="23">
        <v>-58977.492537313432</v>
      </c>
      <c r="AR66" s="23">
        <v>-70699.119402985074</v>
      </c>
      <c r="AS66" s="23">
        <v>-63695.104477611938</v>
      </c>
      <c r="AT66" s="23">
        <v>-65976</v>
      </c>
    </row>
    <row r="67" spans="2:46">
      <c r="B67" s="23">
        <f t="shared" ca="1" si="8"/>
        <v>194</v>
      </c>
      <c r="C67" s="23">
        <f t="shared" ca="1" si="9"/>
        <v>194</v>
      </c>
      <c r="D67" s="23">
        <f t="shared" ca="1" si="4"/>
        <v>6690</v>
      </c>
      <c r="E67" s="23">
        <f t="shared" ca="1" si="5"/>
        <v>0</v>
      </c>
      <c r="F67" s="23">
        <f t="shared" si="10"/>
        <v>168</v>
      </c>
      <c r="G67" s="23">
        <f t="shared" ca="1" si="11"/>
        <v>0</v>
      </c>
      <c r="H67" s="23">
        <f t="shared" ca="1" si="6"/>
        <v>194</v>
      </c>
      <c r="I67" s="23">
        <f t="shared" ca="1" si="7"/>
        <v>6690</v>
      </c>
      <c r="K67" s="23">
        <v>660</v>
      </c>
      <c r="L67" s="23">
        <v>-3997.0298507462685</v>
      </c>
      <c r="P67" s="10">
        <v>1450</v>
      </c>
      <c r="Q67" s="23">
        <v>-65809.73134328358</v>
      </c>
      <c r="R67" s="23">
        <v>-62494.373134328358</v>
      </c>
      <c r="S67" s="23">
        <v>-50228.985074626864</v>
      </c>
      <c r="T67" s="23">
        <v>-62201.671641791043</v>
      </c>
      <c r="U67" s="23">
        <v>-59552.850746268654</v>
      </c>
      <c r="V67" s="23">
        <v>-66135.746268656716</v>
      </c>
      <c r="W67" s="23">
        <v>46491.73134328358</v>
      </c>
      <c r="X67" s="23">
        <v>46771.940298507463</v>
      </c>
      <c r="Y67" s="23">
        <v>41445.417910447759</v>
      </c>
      <c r="Z67" s="23">
        <v>-60863.626865671642</v>
      </c>
      <c r="AA67" s="23">
        <v>-71677.059701492544</v>
      </c>
      <c r="AB67" s="23">
        <v>-65720.26865671642</v>
      </c>
      <c r="AC67" s="23">
        <v>-67238.044776119408</v>
      </c>
      <c r="AG67" s="10">
        <v>1450</v>
      </c>
      <c r="AH67" s="23">
        <v>-65405.26865671642</v>
      </c>
      <c r="AI67" s="23">
        <v>-61778</v>
      </c>
      <c r="AJ67" s="23">
        <v>-49612.552238805969</v>
      </c>
      <c r="AK67" s="23">
        <v>-62186.223880597012</v>
      </c>
      <c r="AL67" s="23">
        <v>-59669.985074626864</v>
      </c>
      <c r="AM67" s="23">
        <v>-65931.164179104482</v>
      </c>
      <c r="AN67" s="23">
        <v>46852.805970149253</v>
      </c>
      <c r="AO67" s="23">
        <v>47461.447761194031</v>
      </c>
      <c r="AP67" s="23">
        <v>40220.611940298506</v>
      </c>
      <c r="AQ67" s="23">
        <v>-60804.253731343284</v>
      </c>
      <c r="AR67" s="23">
        <v>-71699.358208955222</v>
      </c>
      <c r="AS67" s="23">
        <v>-65407.820895522389</v>
      </c>
      <c r="AT67" s="23">
        <v>-67224.343283582086</v>
      </c>
    </row>
    <row r="68" spans="2:46">
      <c r="B68" s="23">
        <f t="shared" ca="1" si="8"/>
        <v>293</v>
      </c>
      <c r="C68" s="23">
        <f t="shared" ca="1" si="9"/>
        <v>293</v>
      </c>
      <c r="D68" s="23">
        <f t="shared" ca="1" si="4"/>
        <v>20055</v>
      </c>
      <c r="E68" s="23">
        <f t="shared" ca="1" si="5"/>
        <v>0</v>
      </c>
      <c r="F68" s="23">
        <f t="shared" si="10"/>
        <v>168</v>
      </c>
      <c r="G68" s="23">
        <f t="shared" ca="1" si="11"/>
        <v>0</v>
      </c>
      <c r="H68" s="23">
        <f t="shared" ca="1" si="6"/>
        <v>293</v>
      </c>
      <c r="I68" s="23">
        <f t="shared" ca="1" si="7"/>
        <v>20055</v>
      </c>
      <c r="K68" s="23">
        <v>670</v>
      </c>
      <c r="L68" s="23">
        <v>-3600.6666666666665</v>
      </c>
      <c r="P68" s="10">
        <v>1475</v>
      </c>
      <c r="Q68" s="23">
        <v>-67120.940298507456</v>
      </c>
      <c r="R68" s="23">
        <v>-63555.462686567167</v>
      </c>
      <c r="S68" s="23">
        <v>-51458.791044776117</v>
      </c>
      <c r="T68" s="23">
        <v>-64686.910447761191</v>
      </c>
      <c r="U68" s="23">
        <v>-60694.805970149253</v>
      </c>
      <c r="V68" s="23">
        <v>-66956.388059701494</v>
      </c>
      <c r="W68" s="23">
        <v>44707.552238805969</v>
      </c>
      <c r="X68" s="23">
        <v>45314.582089552241</v>
      </c>
      <c r="Y68" s="23">
        <v>38544.835820895525</v>
      </c>
      <c r="Z68" s="23">
        <v>-62402.656716417907</v>
      </c>
      <c r="AA68" s="23">
        <v>-73293.32835820895</v>
      </c>
      <c r="AB68" s="23">
        <v>-67475.567164179098</v>
      </c>
      <c r="AC68" s="23">
        <v>-68380.13432835821</v>
      </c>
      <c r="AG68" s="10">
        <v>1475</v>
      </c>
      <c r="AH68" s="23">
        <v>-68023.358208955222</v>
      </c>
      <c r="AI68" s="23">
        <v>-63551.835820895525</v>
      </c>
      <c r="AJ68" s="23">
        <v>-51093.552238805969</v>
      </c>
      <c r="AK68" s="23">
        <v>-63419.253731343284</v>
      </c>
      <c r="AL68" s="23">
        <v>-60587.477611940296</v>
      </c>
      <c r="AM68" s="23">
        <v>-67610.835820895518</v>
      </c>
      <c r="AN68" s="23">
        <v>46426.820895522389</v>
      </c>
      <c r="AO68" s="23">
        <v>44844.298507462685</v>
      </c>
      <c r="AP68" s="23">
        <v>38627.044776119401</v>
      </c>
      <c r="AQ68" s="23">
        <v>-62377.40298507463</v>
      </c>
      <c r="AR68" s="23">
        <v>-73899.417910447766</v>
      </c>
      <c r="AS68" s="23">
        <v>-67318.80597014926</v>
      </c>
      <c r="AT68" s="23">
        <v>-69164.611940298506</v>
      </c>
    </row>
    <row r="69" spans="2:46">
      <c r="B69" s="23">
        <f t="shared" ca="1" si="8"/>
        <v>316</v>
      </c>
      <c r="C69" s="23">
        <f t="shared" ca="1" si="9"/>
        <v>300</v>
      </c>
      <c r="D69" s="23">
        <f t="shared" ca="1" si="4"/>
        <v>21000</v>
      </c>
      <c r="E69" s="23">
        <f t="shared" ca="1" si="5"/>
        <v>16</v>
      </c>
      <c r="F69" s="23">
        <f t="shared" si="10"/>
        <v>168</v>
      </c>
      <c r="G69" s="23">
        <f t="shared" ca="1" si="11"/>
        <v>16</v>
      </c>
      <c r="H69" s="23">
        <f t="shared" ca="1" si="6"/>
        <v>316</v>
      </c>
      <c r="I69" s="23">
        <f t="shared" ca="1" si="7"/>
        <v>21640</v>
      </c>
      <c r="K69" s="23">
        <v>680</v>
      </c>
      <c r="L69" s="23">
        <v>-4887.059701492537</v>
      </c>
      <c r="P69" s="10">
        <v>1500</v>
      </c>
      <c r="Q69" s="23">
        <v>-68555.059701492544</v>
      </c>
      <c r="R69" s="23">
        <v>-65737.253731343284</v>
      </c>
      <c r="S69" s="23">
        <v>-53405.641791044778</v>
      </c>
      <c r="T69" s="23">
        <v>-64683.179104477611</v>
      </c>
      <c r="U69" s="23">
        <v>-62001.447761194031</v>
      </c>
      <c r="V69" s="23">
        <v>-68562.313432835814</v>
      </c>
      <c r="W69" s="23">
        <v>44184.985074626864</v>
      </c>
      <c r="X69" s="23">
        <v>42538.925373134327</v>
      </c>
      <c r="Y69" s="23">
        <v>37277.283582089549</v>
      </c>
      <c r="Z69" s="23">
        <v>-64621.388059701494</v>
      </c>
      <c r="AA69" s="23">
        <v>-74948.820895522382</v>
      </c>
      <c r="AB69" s="23">
        <v>-68614.567164179098</v>
      </c>
      <c r="AC69" s="23">
        <v>-70425.716417910444</v>
      </c>
      <c r="AG69" s="10">
        <v>1500</v>
      </c>
      <c r="AH69" s="23">
        <v>-68641.432835820902</v>
      </c>
      <c r="AI69" s="23">
        <v>-65606.820895522382</v>
      </c>
      <c r="AJ69" s="23">
        <v>-52841.86567164179</v>
      </c>
      <c r="AK69" s="23">
        <v>-65474.238805970148</v>
      </c>
      <c r="AL69" s="23">
        <v>-62266.477611940296</v>
      </c>
      <c r="AM69" s="23">
        <v>-68543.776119402988</v>
      </c>
      <c r="AN69" s="23">
        <v>43488.089552238809</v>
      </c>
      <c r="AO69" s="23">
        <v>43344.761194029852</v>
      </c>
      <c r="AP69" s="23">
        <v>38313.358208955222</v>
      </c>
      <c r="AQ69" s="23">
        <v>-64024.298507462685</v>
      </c>
      <c r="AR69" s="23">
        <v>-74894.014925373136</v>
      </c>
      <c r="AS69" s="23">
        <v>-69378.223880597012</v>
      </c>
      <c r="AT69" s="23">
        <v>-70930.253731343284</v>
      </c>
    </row>
    <row r="70" spans="2:46">
      <c r="B70" s="23">
        <f t="shared" ca="1" si="8"/>
        <v>144</v>
      </c>
      <c r="C70" s="23">
        <f t="shared" ca="1" si="9"/>
        <v>144</v>
      </c>
      <c r="D70" s="23">
        <f t="shared" ca="1" si="4"/>
        <v>-60</v>
      </c>
      <c r="E70" s="23">
        <f t="shared" ca="1" si="5"/>
        <v>0</v>
      </c>
      <c r="F70" s="23">
        <f t="shared" si="10"/>
        <v>168</v>
      </c>
      <c r="G70" s="23">
        <f t="shared" ca="1" si="11"/>
        <v>0</v>
      </c>
      <c r="H70" s="23">
        <f t="shared" ca="1" si="6"/>
        <v>144</v>
      </c>
      <c r="I70" s="23">
        <f t="shared" ca="1" si="7"/>
        <v>-60</v>
      </c>
      <c r="K70" s="23">
        <v>690</v>
      </c>
      <c r="L70" s="23">
        <v>-5811.626865671642</v>
      </c>
    </row>
    <row r="71" spans="2:46">
      <c r="B71" s="23">
        <f t="shared" ca="1" si="8"/>
        <v>116</v>
      </c>
      <c r="C71" s="23">
        <f t="shared" ca="1" si="9"/>
        <v>116</v>
      </c>
      <c r="D71" s="23">
        <f t="shared" ca="1" si="4"/>
        <v>-3840</v>
      </c>
      <c r="E71" s="23">
        <f t="shared" ca="1" si="5"/>
        <v>0</v>
      </c>
      <c r="F71" s="23">
        <f t="shared" si="10"/>
        <v>168</v>
      </c>
      <c r="G71" s="23">
        <f t="shared" ca="1" si="11"/>
        <v>0</v>
      </c>
      <c r="H71" s="23">
        <f t="shared" ca="1" si="6"/>
        <v>116</v>
      </c>
      <c r="I71" s="23">
        <f t="shared" ca="1" si="7"/>
        <v>-3840</v>
      </c>
      <c r="K71" s="23">
        <v>700</v>
      </c>
      <c r="L71" s="23">
        <v>-6213.1194029850749</v>
      </c>
    </row>
    <row r="72" spans="2:46">
      <c r="B72" s="23">
        <f t="shared" ca="1" si="8"/>
        <v>189</v>
      </c>
      <c r="C72" s="23">
        <f t="shared" ca="1" si="9"/>
        <v>189</v>
      </c>
      <c r="D72" s="23">
        <f t="shared" ca="1" si="4"/>
        <v>6015</v>
      </c>
      <c r="E72" s="23">
        <f t="shared" ca="1" si="5"/>
        <v>0</v>
      </c>
      <c r="F72" s="23">
        <f t="shared" si="10"/>
        <v>168</v>
      </c>
      <c r="G72" s="23">
        <f t="shared" ca="1" si="11"/>
        <v>0</v>
      </c>
      <c r="H72" s="23">
        <f t="shared" ca="1" si="6"/>
        <v>189</v>
      </c>
      <c r="I72" s="23">
        <f t="shared" ca="1" si="7"/>
        <v>6015</v>
      </c>
    </row>
    <row r="73" spans="2:46">
      <c r="B73" s="23">
        <f t="shared" ca="1" si="8"/>
        <v>215</v>
      </c>
      <c r="C73" s="23">
        <f t="shared" ca="1" si="9"/>
        <v>215</v>
      </c>
      <c r="D73" s="23">
        <f t="shared" ca="1" si="4"/>
        <v>9525</v>
      </c>
      <c r="E73" s="23">
        <f t="shared" ca="1" si="5"/>
        <v>0</v>
      </c>
      <c r="F73" s="23">
        <f t="shared" si="10"/>
        <v>168</v>
      </c>
      <c r="G73" s="23">
        <f t="shared" ca="1" si="11"/>
        <v>0</v>
      </c>
      <c r="H73" s="23">
        <f t="shared" ca="1" si="6"/>
        <v>215</v>
      </c>
      <c r="I73" s="23">
        <f t="shared" ca="1" si="7"/>
        <v>9525</v>
      </c>
    </row>
    <row r="74" spans="2:46">
      <c r="B74" s="23">
        <f t="shared" ca="1" si="8"/>
        <v>345</v>
      </c>
      <c r="C74" s="23">
        <f t="shared" ca="1" si="9"/>
        <v>300</v>
      </c>
      <c r="D74" s="23">
        <f t="shared" ca="1" si="4"/>
        <v>21000</v>
      </c>
      <c r="E74" s="23">
        <f t="shared" ca="1" si="5"/>
        <v>45</v>
      </c>
      <c r="F74" s="23">
        <f t="shared" si="10"/>
        <v>168</v>
      </c>
      <c r="G74" s="23">
        <f t="shared" ca="1" si="11"/>
        <v>45</v>
      </c>
      <c r="H74" s="23">
        <f t="shared" ca="1" si="6"/>
        <v>345</v>
      </c>
      <c r="I74" s="23">
        <f t="shared" ca="1" si="7"/>
        <v>22800</v>
      </c>
    </row>
    <row r="75" spans="2:46">
      <c r="B75" s="23">
        <f t="shared" ca="1" si="8"/>
        <v>188</v>
      </c>
      <c r="C75" s="23">
        <f t="shared" ca="1" si="9"/>
        <v>188</v>
      </c>
      <c r="D75" s="23">
        <f t="shared" ca="1" si="4"/>
        <v>5880</v>
      </c>
      <c r="E75" s="23">
        <f t="shared" ca="1" si="5"/>
        <v>0</v>
      </c>
      <c r="F75" s="23">
        <f t="shared" si="10"/>
        <v>168</v>
      </c>
      <c r="G75" s="23">
        <f t="shared" ca="1" si="11"/>
        <v>0</v>
      </c>
      <c r="H75" s="23">
        <f t="shared" ca="1" si="6"/>
        <v>188</v>
      </c>
      <c r="I75" s="23">
        <f t="shared" ca="1" si="7"/>
        <v>5880</v>
      </c>
    </row>
    <row r="76" spans="2:46">
      <c r="B76" s="23">
        <f t="shared" ca="1" si="8"/>
        <v>342</v>
      </c>
      <c r="C76" s="23">
        <f t="shared" ca="1" si="9"/>
        <v>300</v>
      </c>
      <c r="D76" s="23">
        <f t="shared" ref="D76:D139" ca="1" si="12">C76*$B$3-$D$8*$B$2</f>
        <v>21000</v>
      </c>
      <c r="E76" s="23">
        <f t="shared" ref="E76:E139" ca="1" si="13">MAX(0, B76-$D$8)</f>
        <v>42</v>
      </c>
      <c r="F76" s="23">
        <f t="shared" si="10"/>
        <v>168</v>
      </c>
      <c r="G76" s="23">
        <f t="shared" ca="1" si="11"/>
        <v>42</v>
      </c>
      <c r="H76" s="23">
        <f t="shared" ref="H76:H139" ca="1" si="14">MIN(B76, $D$8+G76)</f>
        <v>342</v>
      </c>
      <c r="I76" s="23">
        <f t="shared" ref="I76:I139" ca="1" si="15">H76*$B$3-$D$8*$B$2-$B$1*G76</f>
        <v>22680</v>
      </c>
    </row>
    <row r="77" spans="2:46">
      <c r="B77" s="23">
        <f t="shared" ref="B77:B140" ca="1" si="16">_xlfn.FLOOR.MATH(_xlfn.NORM.INV(RAND(),$B$4,$B$5))</f>
        <v>202</v>
      </c>
      <c r="C77" s="23">
        <f t="shared" ref="C77:C140" ca="1" si="17">MIN(B77,$D$8)</f>
        <v>202</v>
      </c>
      <c r="D77" s="23">
        <f t="shared" ca="1" si="12"/>
        <v>7770</v>
      </c>
      <c r="E77" s="23">
        <f t="shared" ca="1" si="13"/>
        <v>0</v>
      </c>
      <c r="F77" s="23">
        <f t="shared" ref="F77:F140" si="18">12*(21-7)</f>
        <v>168</v>
      </c>
      <c r="G77" s="23">
        <f t="shared" ca="1" si="11"/>
        <v>0</v>
      </c>
      <c r="H77" s="23">
        <f t="shared" ca="1" si="14"/>
        <v>202</v>
      </c>
      <c r="I77" s="23">
        <f t="shared" ca="1" si="15"/>
        <v>7770</v>
      </c>
    </row>
    <row r="78" spans="2:46">
      <c r="B78" s="23">
        <f t="shared" ca="1" si="16"/>
        <v>363</v>
      </c>
      <c r="C78" s="23">
        <f t="shared" ca="1" si="17"/>
        <v>300</v>
      </c>
      <c r="D78" s="23">
        <f t="shared" ca="1" si="12"/>
        <v>21000</v>
      </c>
      <c r="E78" s="23">
        <f t="shared" ca="1" si="13"/>
        <v>63</v>
      </c>
      <c r="F78" s="23">
        <f t="shared" si="18"/>
        <v>168</v>
      </c>
      <c r="G78" s="23">
        <f t="shared" ca="1" si="11"/>
        <v>63</v>
      </c>
      <c r="H78" s="23">
        <f t="shared" ca="1" si="14"/>
        <v>363</v>
      </c>
      <c r="I78" s="23">
        <f t="shared" ca="1" si="15"/>
        <v>23520</v>
      </c>
    </row>
    <row r="79" spans="2:46">
      <c r="B79" s="23">
        <f t="shared" ca="1" si="16"/>
        <v>210</v>
      </c>
      <c r="C79" s="23">
        <f t="shared" ca="1" si="17"/>
        <v>210</v>
      </c>
      <c r="D79" s="23">
        <f t="shared" ca="1" si="12"/>
        <v>8850</v>
      </c>
      <c r="E79" s="23">
        <f t="shared" ca="1" si="13"/>
        <v>0</v>
      </c>
      <c r="F79" s="23">
        <f t="shared" si="18"/>
        <v>168</v>
      </c>
      <c r="G79" s="23">
        <f t="shared" ca="1" si="11"/>
        <v>0</v>
      </c>
      <c r="H79" s="23">
        <f t="shared" ca="1" si="14"/>
        <v>210</v>
      </c>
      <c r="I79" s="23">
        <f t="shared" ca="1" si="15"/>
        <v>8850</v>
      </c>
    </row>
    <row r="80" spans="2:46">
      <c r="B80" s="23">
        <f t="shared" ca="1" si="16"/>
        <v>348</v>
      </c>
      <c r="C80" s="23">
        <f t="shared" ca="1" si="17"/>
        <v>300</v>
      </c>
      <c r="D80" s="23">
        <f t="shared" ca="1" si="12"/>
        <v>21000</v>
      </c>
      <c r="E80" s="23">
        <f t="shared" ca="1" si="13"/>
        <v>48</v>
      </c>
      <c r="F80" s="23">
        <f t="shared" si="18"/>
        <v>168</v>
      </c>
      <c r="G80" s="23">
        <f t="shared" ref="G80:G143" ca="1" si="19">MIN(E80,F80)</f>
        <v>48</v>
      </c>
      <c r="H80" s="23">
        <f t="shared" ca="1" si="14"/>
        <v>348</v>
      </c>
      <c r="I80" s="23">
        <f t="shared" ca="1" si="15"/>
        <v>22920</v>
      </c>
    </row>
    <row r="81" spans="2:9">
      <c r="B81" s="23">
        <f t="shared" ca="1" si="16"/>
        <v>195</v>
      </c>
      <c r="C81" s="23">
        <f t="shared" ca="1" si="17"/>
        <v>195</v>
      </c>
      <c r="D81" s="23">
        <f t="shared" ca="1" si="12"/>
        <v>6825</v>
      </c>
      <c r="E81" s="23">
        <f t="shared" ca="1" si="13"/>
        <v>0</v>
      </c>
      <c r="F81" s="23">
        <f t="shared" si="18"/>
        <v>168</v>
      </c>
      <c r="G81" s="23">
        <f t="shared" ca="1" si="19"/>
        <v>0</v>
      </c>
      <c r="H81" s="23">
        <f t="shared" ca="1" si="14"/>
        <v>195</v>
      </c>
      <c r="I81" s="23">
        <f t="shared" ca="1" si="15"/>
        <v>6825</v>
      </c>
    </row>
    <row r="82" spans="2:9">
      <c r="B82" s="23">
        <f t="shared" ca="1" si="16"/>
        <v>105</v>
      </c>
      <c r="C82" s="23">
        <f t="shared" ca="1" si="17"/>
        <v>105</v>
      </c>
      <c r="D82" s="23">
        <f t="shared" ca="1" si="12"/>
        <v>-5325</v>
      </c>
      <c r="E82" s="23">
        <f t="shared" ca="1" si="13"/>
        <v>0</v>
      </c>
      <c r="F82" s="23">
        <f t="shared" si="18"/>
        <v>168</v>
      </c>
      <c r="G82" s="23">
        <f t="shared" ca="1" si="19"/>
        <v>0</v>
      </c>
      <c r="H82" s="23">
        <f t="shared" ca="1" si="14"/>
        <v>105</v>
      </c>
      <c r="I82" s="23">
        <f t="shared" ca="1" si="15"/>
        <v>-5325</v>
      </c>
    </row>
    <row r="83" spans="2:9">
      <c r="B83" s="23">
        <f t="shared" ca="1" si="16"/>
        <v>369</v>
      </c>
      <c r="C83" s="23">
        <f t="shared" ca="1" si="17"/>
        <v>300</v>
      </c>
      <c r="D83" s="23">
        <f t="shared" ca="1" si="12"/>
        <v>21000</v>
      </c>
      <c r="E83" s="23">
        <f t="shared" ca="1" si="13"/>
        <v>69</v>
      </c>
      <c r="F83" s="23">
        <f t="shared" si="18"/>
        <v>168</v>
      </c>
      <c r="G83" s="23">
        <f t="shared" ca="1" si="19"/>
        <v>69</v>
      </c>
      <c r="H83" s="23">
        <f t="shared" ca="1" si="14"/>
        <v>369</v>
      </c>
      <c r="I83" s="23">
        <f t="shared" ca="1" si="15"/>
        <v>23760</v>
      </c>
    </row>
    <row r="84" spans="2:9">
      <c r="B84" s="23">
        <f t="shared" ca="1" si="16"/>
        <v>313</v>
      </c>
      <c r="C84" s="23">
        <f t="shared" ca="1" si="17"/>
        <v>300</v>
      </c>
      <c r="D84" s="23">
        <f t="shared" ca="1" si="12"/>
        <v>21000</v>
      </c>
      <c r="E84" s="23">
        <f t="shared" ca="1" si="13"/>
        <v>13</v>
      </c>
      <c r="F84" s="23">
        <f t="shared" si="18"/>
        <v>168</v>
      </c>
      <c r="G84" s="23">
        <f t="shared" ca="1" si="19"/>
        <v>13</v>
      </c>
      <c r="H84" s="23">
        <f t="shared" ca="1" si="14"/>
        <v>313</v>
      </c>
      <c r="I84" s="23">
        <f t="shared" ca="1" si="15"/>
        <v>21520</v>
      </c>
    </row>
    <row r="85" spans="2:9">
      <c r="B85" s="23">
        <f t="shared" ca="1" si="16"/>
        <v>278</v>
      </c>
      <c r="C85" s="23">
        <f t="shared" ca="1" si="17"/>
        <v>278</v>
      </c>
      <c r="D85" s="23">
        <f t="shared" ca="1" si="12"/>
        <v>18030</v>
      </c>
      <c r="E85" s="23">
        <f t="shared" ca="1" si="13"/>
        <v>0</v>
      </c>
      <c r="F85" s="23">
        <f t="shared" si="18"/>
        <v>168</v>
      </c>
      <c r="G85" s="23">
        <f t="shared" ca="1" si="19"/>
        <v>0</v>
      </c>
      <c r="H85" s="23">
        <f t="shared" ca="1" si="14"/>
        <v>278</v>
      </c>
      <c r="I85" s="23">
        <f t="shared" ca="1" si="15"/>
        <v>18030</v>
      </c>
    </row>
    <row r="86" spans="2:9">
      <c r="B86" s="23">
        <f t="shared" ca="1" si="16"/>
        <v>446</v>
      </c>
      <c r="C86" s="23">
        <f t="shared" ca="1" si="17"/>
        <v>300</v>
      </c>
      <c r="D86" s="23">
        <f t="shared" ca="1" si="12"/>
        <v>21000</v>
      </c>
      <c r="E86" s="23">
        <f t="shared" ca="1" si="13"/>
        <v>146</v>
      </c>
      <c r="F86" s="23">
        <f t="shared" si="18"/>
        <v>168</v>
      </c>
      <c r="G86" s="23">
        <f t="shared" ca="1" si="19"/>
        <v>146</v>
      </c>
      <c r="H86" s="23">
        <f t="shared" ca="1" si="14"/>
        <v>446</v>
      </c>
      <c r="I86" s="23">
        <f t="shared" ca="1" si="15"/>
        <v>26840</v>
      </c>
    </row>
    <row r="87" spans="2:9">
      <c r="B87" s="23">
        <f t="shared" ca="1" si="16"/>
        <v>423</v>
      </c>
      <c r="C87" s="23">
        <f t="shared" ca="1" si="17"/>
        <v>300</v>
      </c>
      <c r="D87" s="23">
        <f t="shared" ca="1" si="12"/>
        <v>21000</v>
      </c>
      <c r="E87" s="23">
        <f t="shared" ca="1" si="13"/>
        <v>123</v>
      </c>
      <c r="F87" s="23">
        <f t="shared" si="18"/>
        <v>168</v>
      </c>
      <c r="G87" s="23">
        <f t="shared" ca="1" si="19"/>
        <v>123</v>
      </c>
      <c r="H87" s="23">
        <f t="shared" ca="1" si="14"/>
        <v>423</v>
      </c>
      <c r="I87" s="23">
        <f t="shared" ca="1" si="15"/>
        <v>25920</v>
      </c>
    </row>
    <row r="88" spans="2:9">
      <c r="B88" s="23">
        <f t="shared" ca="1" si="16"/>
        <v>347</v>
      </c>
      <c r="C88" s="23">
        <f t="shared" ca="1" si="17"/>
        <v>300</v>
      </c>
      <c r="D88" s="23">
        <f t="shared" ca="1" si="12"/>
        <v>21000</v>
      </c>
      <c r="E88" s="23">
        <f t="shared" ca="1" si="13"/>
        <v>47</v>
      </c>
      <c r="F88" s="23">
        <f t="shared" si="18"/>
        <v>168</v>
      </c>
      <c r="G88" s="23">
        <f t="shared" ca="1" si="19"/>
        <v>47</v>
      </c>
      <c r="H88" s="23">
        <f t="shared" ca="1" si="14"/>
        <v>347</v>
      </c>
      <c r="I88" s="23">
        <f t="shared" ca="1" si="15"/>
        <v>22880</v>
      </c>
    </row>
    <row r="89" spans="2:9">
      <c r="B89" s="23">
        <f t="shared" ca="1" si="16"/>
        <v>93</v>
      </c>
      <c r="C89" s="23">
        <f t="shared" ca="1" si="17"/>
        <v>93</v>
      </c>
      <c r="D89" s="23">
        <f t="shared" ca="1" si="12"/>
        <v>-6945</v>
      </c>
      <c r="E89" s="23">
        <f t="shared" ca="1" si="13"/>
        <v>0</v>
      </c>
      <c r="F89" s="23">
        <f t="shared" si="18"/>
        <v>168</v>
      </c>
      <c r="G89" s="23">
        <f t="shared" ca="1" si="19"/>
        <v>0</v>
      </c>
      <c r="H89" s="23">
        <f t="shared" ca="1" si="14"/>
        <v>93</v>
      </c>
      <c r="I89" s="23">
        <f t="shared" ca="1" si="15"/>
        <v>-6945</v>
      </c>
    </row>
    <row r="90" spans="2:9">
      <c r="B90" s="23">
        <f t="shared" ca="1" si="16"/>
        <v>409</v>
      </c>
      <c r="C90" s="23">
        <f t="shared" ca="1" si="17"/>
        <v>300</v>
      </c>
      <c r="D90" s="23">
        <f t="shared" ca="1" si="12"/>
        <v>21000</v>
      </c>
      <c r="E90" s="23">
        <f t="shared" ca="1" si="13"/>
        <v>109</v>
      </c>
      <c r="F90" s="23">
        <f t="shared" si="18"/>
        <v>168</v>
      </c>
      <c r="G90" s="23">
        <f t="shared" ca="1" si="19"/>
        <v>109</v>
      </c>
      <c r="H90" s="23">
        <f t="shared" ca="1" si="14"/>
        <v>409</v>
      </c>
      <c r="I90" s="23">
        <f t="shared" ca="1" si="15"/>
        <v>25360</v>
      </c>
    </row>
    <row r="91" spans="2:9">
      <c r="B91" s="23">
        <f t="shared" ca="1" si="16"/>
        <v>413</v>
      </c>
      <c r="C91" s="23">
        <f t="shared" ca="1" si="17"/>
        <v>300</v>
      </c>
      <c r="D91" s="23">
        <f t="shared" ca="1" si="12"/>
        <v>21000</v>
      </c>
      <c r="E91" s="23">
        <f t="shared" ca="1" si="13"/>
        <v>113</v>
      </c>
      <c r="F91" s="23">
        <f t="shared" si="18"/>
        <v>168</v>
      </c>
      <c r="G91" s="23">
        <f t="shared" ca="1" si="19"/>
        <v>113</v>
      </c>
      <c r="H91" s="23">
        <f t="shared" ca="1" si="14"/>
        <v>413</v>
      </c>
      <c r="I91" s="23">
        <f t="shared" ca="1" si="15"/>
        <v>25520</v>
      </c>
    </row>
    <row r="92" spans="2:9">
      <c r="B92" s="23">
        <f t="shared" ca="1" si="16"/>
        <v>391</v>
      </c>
      <c r="C92" s="23">
        <f t="shared" ca="1" si="17"/>
        <v>300</v>
      </c>
      <c r="D92" s="23">
        <f t="shared" ca="1" si="12"/>
        <v>21000</v>
      </c>
      <c r="E92" s="23">
        <f t="shared" ca="1" si="13"/>
        <v>91</v>
      </c>
      <c r="F92" s="23">
        <f t="shared" si="18"/>
        <v>168</v>
      </c>
      <c r="G92" s="23">
        <f t="shared" ca="1" si="19"/>
        <v>91</v>
      </c>
      <c r="H92" s="23">
        <f t="shared" ca="1" si="14"/>
        <v>391</v>
      </c>
      <c r="I92" s="23">
        <f t="shared" ca="1" si="15"/>
        <v>24640</v>
      </c>
    </row>
    <row r="93" spans="2:9">
      <c r="B93" s="23">
        <f t="shared" ca="1" si="16"/>
        <v>311</v>
      </c>
      <c r="C93" s="23">
        <f t="shared" ca="1" si="17"/>
        <v>300</v>
      </c>
      <c r="D93" s="23">
        <f t="shared" ca="1" si="12"/>
        <v>21000</v>
      </c>
      <c r="E93" s="23">
        <f t="shared" ca="1" si="13"/>
        <v>11</v>
      </c>
      <c r="F93" s="23">
        <f t="shared" si="18"/>
        <v>168</v>
      </c>
      <c r="G93" s="23">
        <f t="shared" ca="1" si="19"/>
        <v>11</v>
      </c>
      <c r="H93" s="23">
        <f t="shared" ca="1" si="14"/>
        <v>311</v>
      </c>
      <c r="I93" s="23">
        <f t="shared" ca="1" si="15"/>
        <v>21440</v>
      </c>
    </row>
    <row r="94" spans="2:9">
      <c r="B94" s="23">
        <f t="shared" ca="1" si="16"/>
        <v>312</v>
      </c>
      <c r="C94" s="23">
        <f t="shared" ca="1" si="17"/>
        <v>300</v>
      </c>
      <c r="D94" s="23">
        <f t="shared" ca="1" si="12"/>
        <v>21000</v>
      </c>
      <c r="E94" s="23">
        <f t="shared" ca="1" si="13"/>
        <v>12</v>
      </c>
      <c r="F94" s="23">
        <f t="shared" si="18"/>
        <v>168</v>
      </c>
      <c r="G94" s="23">
        <f t="shared" ca="1" si="19"/>
        <v>12</v>
      </c>
      <c r="H94" s="23">
        <f t="shared" ca="1" si="14"/>
        <v>312</v>
      </c>
      <c r="I94" s="23">
        <f t="shared" ca="1" si="15"/>
        <v>21480</v>
      </c>
    </row>
    <row r="95" spans="2:9">
      <c r="B95" s="23">
        <f t="shared" ca="1" si="16"/>
        <v>415</v>
      </c>
      <c r="C95" s="23">
        <f t="shared" ca="1" si="17"/>
        <v>300</v>
      </c>
      <c r="D95" s="23">
        <f t="shared" ca="1" si="12"/>
        <v>21000</v>
      </c>
      <c r="E95" s="23">
        <f t="shared" ca="1" si="13"/>
        <v>115</v>
      </c>
      <c r="F95" s="23">
        <f t="shared" si="18"/>
        <v>168</v>
      </c>
      <c r="G95" s="23">
        <f t="shared" ca="1" si="19"/>
        <v>115</v>
      </c>
      <c r="H95" s="23">
        <f t="shared" ca="1" si="14"/>
        <v>415</v>
      </c>
      <c r="I95" s="23">
        <f t="shared" ca="1" si="15"/>
        <v>25600</v>
      </c>
    </row>
    <row r="96" spans="2:9">
      <c r="B96" s="23">
        <f t="shared" ca="1" si="16"/>
        <v>404</v>
      </c>
      <c r="C96" s="23">
        <f t="shared" ca="1" si="17"/>
        <v>300</v>
      </c>
      <c r="D96" s="23">
        <f t="shared" ca="1" si="12"/>
        <v>21000</v>
      </c>
      <c r="E96" s="23">
        <f t="shared" ca="1" si="13"/>
        <v>104</v>
      </c>
      <c r="F96" s="23">
        <f t="shared" si="18"/>
        <v>168</v>
      </c>
      <c r="G96" s="23">
        <f t="shared" ca="1" si="19"/>
        <v>104</v>
      </c>
      <c r="H96" s="23">
        <f t="shared" ca="1" si="14"/>
        <v>404</v>
      </c>
      <c r="I96" s="23">
        <f t="shared" ca="1" si="15"/>
        <v>25160</v>
      </c>
    </row>
    <row r="97" spans="2:9">
      <c r="B97" s="23">
        <f t="shared" ca="1" si="16"/>
        <v>-66</v>
      </c>
      <c r="C97" s="23">
        <f t="shared" ca="1" si="17"/>
        <v>-66</v>
      </c>
      <c r="D97" s="23">
        <f t="shared" ca="1" si="12"/>
        <v>-28410</v>
      </c>
      <c r="E97" s="23">
        <f t="shared" ca="1" si="13"/>
        <v>0</v>
      </c>
      <c r="F97" s="23">
        <f t="shared" si="18"/>
        <v>168</v>
      </c>
      <c r="G97" s="23">
        <f t="shared" ca="1" si="19"/>
        <v>0</v>
      </c>
      <c r="H97" s="23">
        <f t="shared" ca="1" si="14"/>
        <v>-66</v>
      </c>
      <c r="I97" s="23">
        <f t="shared" ca="1" si="15"/>
        <v>-28410</v>
      </c>
    </row>
    <row r="98" spans="2:9">
      <c r="B98" s="23">
        <f t="shared" ca="1" si="16"/>
        <v>255</v>
      </c>
      <c r="C98" s="23">
        <f t="shared" ca="1" si="17"/>
        <v>255</v>
      </c>
      <c r="D98" s="23">
        <f t="shared" ca="1" si="12"/>
        <v>14925</v>
      </c>
      <c r="E98" s="23">
        <f t="shared" ca="1" si="13"/>
        <v>0</v>
      </c>
      <c r="F98" s="23">
        <f t="shared" si="18"/>
        <v>168</v>
      </c>
      <c r="G98" s="23">
        <f t="shared" ca="1" si="19"/>
        <v>0</v>
      </c>
      <c r="H98" s="23">
        <f t="shared" ca="1" si="14"/>
        <v>255</v>
      </c>
      <c r="I98" s="23">
        <f t="shared" ca="1" si="15"/>
        <v>14925</v>
      </c>
    </row>
    <row r="99" spans="2:9">
      <c r="B99" s="23">
        <f t="shared" ca="1" si="16"/>
        <v>332</v>
      </c>
      <c r="C99" s="23">
        <f t="shared" ca="1" si="17"/>
        <v>300</v>
      </c>
      <c r="D99" s="23">
        <f t="shared" ca="1" si="12"/>
        <v>21000</v>
      </c>
      <c r="E99" s="23">
        <f t="shared" ca="1" si="13"/>
        <v>32</v>
      </c>
      <c r="F99" s="23">
        <f t="shared" si="18"/>
        <v>168</v>
      </c>
      <c r="G99" s="23">
        <f t="shared" ca="1" si="19"/>
        <v>32</v>
      </c>
      <c r="H99" s="23">
        <f t="shared" ca="1" si="14"/>
        <v>332</v>
      </c>
      <c r="I99" s="23">
        <f t="shared" ca="1" si="15"/>
        <v>22280</v>
      </c>
    </row>
    <row r="100" spans="2:9">
      <c r="B100" s="23">
        <f t="shared" ca="1" si="16"/>
        <v>230</v>
      </c>
      <c r="C100" s="23">
        <f t="shared" ca="1" si="17"/>
        <v>230</v>
      </c>
      <c r="D100" s="23">
        <f t="shared" ca="1" si="12"/>
        <v>11550</v>
      </c>
      <c r="E100" s="23">
        <f t="shared" ca="1" si="13"/>
        <v>0</v>
      </c>
      <c r="F100" s="23">
        <f t="shared" si="18"/>
        <v>168</v>
      </c>
      <c r="G100" s="23">
        <f t="shared" ca="1" si="19"/>
        <v>0</v>
      </c>
      <c r="H100" s="23">
        <f t="shared" ca="1" si="14"/>
        <v>230</v>
      </c>
      <c r="I100" s="23">
        <f t="shared" ca="1" si="15"/>
        <v>11550</v>
      </c>
    </row>
    <row r="101" spans="2:9">
      <c r="B101" s="23">
        <f t="shared" ca="1" si="16"/>
        <v>340</v>
      </c>
      <c r="C101" s="23">
        <f t="shared" ca="1" si="17"/>
        <v>300</v>
      </c>
      <c r="D101" s="23">
        <f t="shared" ca="1" si="12"/>
        <v>21000</v>
      </c>
      <c r="E101" s="23">
        <f t="shared" ca="1" si="13"/>
        <v>40</v>
      </c>
      <c r="F101" s="23">
        <f t="shared" si="18"/>
        <v>168</v>
      </c>
      <c r="G101" s="23">
        <f t="shared" ca="1" si="19"/>
        <v>40</v>
      </c>
      <c r="H101" s="23">
        <f t="shared" ca="1" si="14"/>
        <v>340</v>
      </c>
      <c r="I101" s="23">
        <f t="shared" ca="1" si="15"/>
        <v>22600</v>
      </c>
    </row>
    <row r="102" spans="2:9">
      <c r="B102" s="23">
        <f t="shared" ca="1" si="16"/>
        <v>296</v>
      </c>
      <c r="C102" s="23">
        <f t="shared" ca="1" si="17"/>
        <v>296</v>
      </c>
      <c r="D102" s="23">
        <f t="shared" ca="1" si="12"/>
        <v>20460</v>
      </c>
      <c r="E102" s="23">
        <f t="shared" ca="1" si="13"/>
        <v>0</v>
      </c>
      <c r="F102" s="23">
        <f t="shared" si="18"/>
        <v>168</v>
      </c>
      <c r="G102" s="23">
        <f t="shared" ca="1" si="19"/>
        <v>0</v>
      </c>
      <c r="H102" s="23">
        <f t="shared" ca="1" si="14"/>
        <v>296</v>
      </c>
      <c r="I102" s="23">
        <f t="shared" ca="1" si="15"/>
        <v>20460</v>
      </c>
    </row>
    <row r="103" spans="2:9">
      <c r="B103" s="23">
        <f t="shared" ca="1" si="16"/>
        <v>512</v>
      </c>
      <c r="C103" s="23">
        <f t="shared" ca="1" si="17"/>
        <v>300</v>
      </c>
      <c r="D103" s="23">
        <f t="shared" ca="1" si="12"/>
        <v>21000</v>
      </c>
      <c r="E103" s="23">
        <f t="shared" ca="1" si="13"/>
        <v>212</v>
      </c>
      <c r="F103" s="23">
        <f t="shared" si="18"/>
        <v>168</v>
      </c>
      <c r="G103" s="23">
        <f t="shared" ca="1" si="19"/>
        <v>168</v>
      </c>
      <c r="H103" s="23">
        <f t="shared" ca="1" si="14"/>
        <v>468</v>
      </c>
      <c r="I103" s="23">
        <f t="shared" ca="1" si="15"/>
        <v>27720</v>
      </c>
    </row>
    <row r="104" spans="2:9">
      <c r="B104" s="23">
        <f t="shared" ca="1" si="16"/>
        <v>311</v>
      </c>
      <c r="C104" s="23">
        <f t="shared" ca="1" si="17"/>
        <v>300</v>
      </c>
      <c r="D104" s="23">
        <f t="shared" ca="1" si="12"/>
        <v>21000</v>
      </c>
      <c r="E104" s="23">
        <f t="shared" ca="1" si="13"/>
        <v>11</v>
      </c>
      <c r="F104" s="23">
        <f t="shared" si="18"/>
        <v>168</v>
      </c>
      <c r="G104" s="23">
        <f t="shared" ca="1" si="19"/>
        <v>11</v>
      </c>
      <c r="H104" s="23">
        <f t="shared" ca="1" si="14"/>
        <v>311</v>
      </c>
      <c r="I104" s="23">
        <f t="shared" ca="1" si="15"/>
        <v>21440</v>
      </c>
    </row>
    <row r="105" spans="2:9">
      <c r="B105" s="23">
        <f t="shared" ca="1" si="16"/>
        <v>316</v>
      </c>
      <c r="C105" s="23">
        <f t="shared" ca="1" si="17"/>
        <v>300</v>
      </c>
      <c r="D105" s="23">
        <f t="shared" ca="1" si="12"/>
        <v>21000</v>
      </c>
      <c r="E105" s="23">
        <f t="shared" ca="1" si="13"/>
        <v>16</v>
      </c>
      <c r="F105" s="23">
        <f t="shared" si="18"/>
        <v>168</v>
      </c>
      <c r="G105" s="23">
        <f t="shared" ca="1" si="19"/>
        <v>16</v>
      </c>
      <c r="H105" s="23">
        <f t="shared" ca="1" si="14"/>
        <v>316</v>
      </c>
      <c r="I105" s="23">
        <f t="shared" ca="1" si="15"/>
        <v>21640</v>
      </c>
    </row>
    <row r="106" spans="2:9">
      <c r="B106" s="23">
        <f t="shared" ca="1" si="16"/>
        <v>212</v>
      </c>
      <c r="C106" s="23">
        <f t="shared" ca="1" si="17"/>
        <v>212</v>
      </c>
      <c r="D106" s="23">
        <f t="shared" ca="1" si="12"/>
        <v>9120</v>
      </c>
      <c r="E106" s="23">
        <f t="shared" ca="1" si="13"/>
        <v>0</v>
      </c>
      <c r="F106" s="23">
        <f t="shared" si="18"/>
        <v>168</v>
      </c>
      <c r="G106" s="23">
        <f t="shared" ca="1" si="19"/>
        <v>0</v>
      </c>
      <c r="H106" s="23">
        <f t="shared" ca="1" si="14"/>
        <v>212</v>
      </c>
      <c r="I106" s="23">
        <f t="shared" ca="1" si="15"/>
        <v>9120</v>
      </c>
    </row>
    <row r="107" spans="2:9">
      <c r="B107" s="23">
        <f t="shared" ca="1" si="16"/>
        <v>341</v>
      </c>
      <c r="C107" s="23">
        <f t="shared" ca="1" si="17"/>
        <v>300</v>
      </c>
      <c r="D107" s="23">
        <f t="shared" ca="1" si="12"/>
        <v>21000</v>
      </c>
      <c r="E107" s="23">
        <f t="shared" ca="1" si="13"/>
        <v>41</v>
      </c>
      <c r="F107" s="23">
        <f t="shared" si="18"/>
        <v>168</v>
      </c>
      <c r="G107" s="23">
        <f t="shared" ca="1" si="19"/>
        <v>41</v>
      </c>
      <c r="H107" s="23">
        <f t="shared" ca="1" si="14"/>
        <v>341</v>
      </c>
      <c r="I107" s="23">
        <f t="shared" ca="1" si="15"/>
        <v>22640</v>
      </c>
    </row>
    <row r="108" spans="2:9">
      <c r="B108" s="23">
        <f t="shared" ca="1" si="16"/>
        <v>335</v>
      </c>
      <c r="C108" s="23">
        <f t="shared" ca="1" si="17"/>
        <v>300</v>
      </c>
      <c r="D108" s="23">
        <f t="shared" ca="1" si="12"/>
        <v>21000</v>
      </c>
      <c r="E108" s="23">
        <f t="shared" ca="1" si="13"/>
        <v>35</v>
      </c>
      <c r="F108" s="23">
        <f t="shared" si="18"/>
        <v>168</v>
      </c>
      <c r="G108" s="23">
        <f t="shared" ca="1" si="19"/>
        <v>35</v>
      </c>
      <c r="H108" s="23">
        <f t="shared" ca="1" si="14"/>
        <v>335</v>
      </c>
      <c r="I108" s="23">
        <f t="shared" ca="1" si="15"/>
        <v>22400</v>
      </c>
    </row>
    <row r="109" spans="2:9">
      <c r="B109" s="23">
        <f t="shared" ca="1" si="16"/>
        <v>300</v>
      </c>
      <c r="C109" s="23">
        <f t="shared" ca="1" si="17"/>
        <v>300</v>
      </c>
      <c r="D109" s="23">
        <f t="shared" ca="1" si="12"/>
        <v>21000</v>
      </c>
      <c r="E109" s="23">
        <f t="shared" ca="1" si="13"/>
        <v>0</v>
      </c>
      <c r="F109" s="23">
        <f t="shared" si="18"/>
        <v>168</v>
      </c>
      <c r="G109" s="23">
        <f t="shared" ca="1" si="19"/>
        <v>0</v>
      </c>
      <c r="H109" s="23">
        <f t="shared" ca="1" si="14"/>
        <v>300</v>
      </c>
      <c r="I109" s="23">
        <f t="shared" ca="1" si="15"/>
        <v>21000</v>
      </c>
    </row>
    <row r="110" spans="2:9">
      <c r="B110" s="23">
        <f t="shared" ca="1" si="16"/>
        <v>396</v>
      </c>
      <c r="C110" s="23">
        <f t="shared" ca="1" si="17"/>
        <v>300</v>
      </c>
      <c r="D110" s="23">
        <f t="shared" ca="1" si="12"/>
        <v>21000</v>
      </c>
      <c r="E110" s="23">
        <f t="shared" ca="1" si="13"/>
        <v>96</v>
      </c>
      <c r="F110" s="23">
        <f t="shared" si="18"/>
        <v>168</v>
      </c>
      <c r="G110" s="23">
        <f t="shared" ca="1" si="19"/>
        <v>96</v>
      </c>
      <c r="H110" s="23">
        <f t="shared" ca="1" si="14"/>
        <v>396</v>
      </c>
      <c r="I110" s="23">
        <f t="shared" ca="1" si="15"/>
        <v>24840</v>
      </c>
    </row>
    <row r="111" spans="2:9">
      <c r="B111" s="23">
        <f t="shared" ca="1" si="16"/>
        <v>441</v>
      </c>
      <c r="C111" s="23">
        <f t="shared" ca="1" si="17"/>
        <v>300</v>
      </c>
      <c r="D111" s="23">
        <f t="shared" ca="1" si="12"/>
        <v>21000</v>
      </c>
      <c r="E111" s="23">
        <f t="shared" ca="1" si="13"/>
        <v>141</v>
      </c>
      <c r="F111" s="23">
        <f t="shared" si="18"/>
        <v>168</v>
      </c>
      <c r="G111" s="23">
        <f t="shared" ca="1" si="19"/>
        <v>141</v>
      </c>
      <c r="H111" s="23">
        <f t="shared" ca="1" si="14"/>
        <v>441</v>
      </c>
      <c r="I111" s="23">
        <f t="shared" ca="1" si="15"/>
        <v>26640</v>
      </c>
    </row>
    <row r="112" spans="2:9">
      <c r="B112" s="23">
        <f t="shared" ca="1" si="16"/>
        <v>372</v>
      </c>
      <c r="C112" s="23">
        <f t="shared" ca="1" si="17"/>
        <v>300</v>
      </c>
      <c r="D112" s="23">
        <f t="shared" ca="1" si="12"/>
        <v>21000</v>
      </c>
      <c r="E112" s="23">
        <f t="shared" ca="1" si="13"/>
        <v>72</v>
      </c>
      <c r="F112" s="23">
        <f t="shared" si="18"/>
        <v>168</v>
      </c>
      <c r="G112" s="23">
        <f t="shared" ca="1" si="19"/>
        <v>72</v>
      </c>
      <c r="H112" s="23">
        <f t="shared" ca="1" si="14"/>
        <v>372</v>
      </c>
      <c r="I112" s="23">
        <f t="shared" ca="1" si="15"/>
        <v>23880</v>
      </c>
    </row>
    <row r="113" spans="2:9">
      <c r="B113" s="23">
        <f t="shared" ca="1" si="16"/>
        <v>341</v>
      </c>
      <c r="C113" s="23">
        <f t="shared" ca="1" si="17"/>
        <v>300</v>
      </c>
      <c r="D113" s="23">
        <f t="shared" ca="1" si="12"/>
        <v>21000</v>
      </c>
      <c r="E113" s="23">
        <f t="shared" ca="1" si="13"/>
        <v>41</v>
      </c>
      <c r="F113" s="23">
        <f t="shared" si="18"/>
        <v>168</v>
      </c>
      <c r="G113" s="23">
        <f t="shared" ca="1" si="19"/>
        <v>41</v>
      </c>
      <c r="H113" s="23">
        <f t="shared" ca="1" si="14"/>
        <v>341</v>
      </c>
      <c r="I113" s="23">
        <f t="shared" ca="1" si="15"/>
        <v>22640</v>
      </c>
    </row>
    <row r="114" spans="2:9">
      <c r="B114" s="23">
        <f t="shared" ca="1" si="16"/>
        <v>284</v>
      </c>
      <c r="C114" s="23">
        <f t="shared" ca="1" si="17"/>
        <v>284</v>
      </c>
      <c r="D114" s="23">
        <f t="shared" ca="1" si="12"/>
        <v>18840</v>
      </c>
      <c r="E114" s="23">
        <f t="shared" ca="1" si="13"/>
        <v>0</v>
      </c>
      <c r="F114" s="23">
        <f t="shared" si="18"/>
        <v>168</v>
      </c>
      <c r="G114" s="23">
        <f t="shared" ca="1" si="19"/>
        <v>0</v>
      </c>
      <c r="H114" s="23">
        <f t="shared" ca="1" si="14"/>
        <v>284</v>
      </c>
      <c r="I114" s="23">
        <f t="shared" ca="1" si="15"/>
        <v>18840</v>
      </c>
    </row>
    <row r="115" spans="2:9">
      <c r="B115" s="23">
        <f t="shared" ca="1" si="16"/>
        <v>132</v>
      </c>
      <c r="C115" s="23">
        <f t="shared" ca="1" si="17"/>
        <v>132</v>
      </c>
      <c r="D115" s="23">
        <f t="shared" ca="1" si="12"/>
        <v>-1680</v>
      </c>
      <c r="E115" s="23">
        <f t="shared" ca="1" si="13"/>
        <v>0</v>
      </c>
      <c r="F115" s="23">
        <f t="shared" si="18"/>
        <v>168</v>
      </c>
      <c r="G115" s="23">
        <f t="shared" ca="1" si="19"/>
        <v>0</v>
      </c>
      <c r="H115" s="23">
        <f t="shared" ca="1" si="14"/>
        <v>132</v>
      </c>
      <c r="I115" s="23">
        <f t="shared" ca="1" si="15"/>
        <v>-1680</v>
      </c>
    </row>
    <row r="116" spans="2:9">
      <c r="B116" s="23">
        <f t="shared" ca="1" si="16"/>
        <v>171</v>
      </c>
      <c r="C116" s="23">
        <f t="shared" ca="1" si="17"/>
        <v>171</v>
      </c>
      <c r="D116" s="23">
        <f t="shared" ca="1" si="12"/>
        <v>3585</v>
      </c>
      <c r="E116" s="23">
        <f t="shared" ca="1" si="13"/>
        <v>0</v>
      </c>
      <c r="F116" s="23">
        <f t="shared" si="18"/>
        <v>168</v>
      </c>
      <c r="G116" s="23">
        <f t="shared" ca="1" si="19"/>
        <v>0</v>
      </c>
      <c r="H116" s="23">
        <f t="shared" ca="1" si="14"/>
        <v>171</v>
      </c>
      <c r="I116" s="23">
        <f t="shared" ca="1" si="15"/>
        <v>3585</v>
      </c>
    </row>
    <row r="117" spans="2:9">
      <c r="B117" s="23">
        <f t="shared" ca="1" si="16"/>
        <v>295</v>
      </c>
      <c r="C117" s="23">
        <f t="shared" ca="1" si="17"/>
        <v>295</v>
      </c>
      <c r="D117" s="23">
        <f t="shared" ca="1" si="12"/>
        <v>20325</v>
      </c>
      <c r="E117" s="23">
        <f t="shared" ca="1" si="13"/>
        <v>0</v>
      </c>
      <c r="F117" s="23">
        <f t="shared" si="18"/>
        <v>168</v>
      </c>
      <c r="G117" s="23">
        <f t="shared" ca="1" si="19"/>
        <v>0</v>
      </c>
      <c r="H117" s="23">
        <f t="shared" ca="1" si="14"/>
        <v>295</v>
      </c>
      <c r="I117" s="23">
        <f t="shared" ca="1" si="15"/>
        <v>20325</v>
      </c>
    </row>
    <row r="118" spans="2:9">
      <c r="B118" s="23">
        <f t="shared" ca="1" si="16"/>
        <v>207</v>
      </c>
      <c r="C118" s="23">
        <f t="shared" ca="1" si="17"/>
        <v>207</v>
      </c>
      <c r="D118" s="23">
        <f t="shared" ca="1" si="12"/>
        <v>8445</v>
      </c>
      <c r="E118" s="23">
        <f t="shared" ca="1" si="13"/>
        <v>0</v>
      </c>
      <c r="F118" s="23">
        <f t="shared" si="18"/>
        <v>168</v>
      </c>
      <c r="G118" s="23">
        <f t="shared" ca="1" si="19"/>
        <v>0</v>
      </c>
      <c r="H118" s="23">
        <f t="shared" ca="1" si="14"/>
        <v>207</v>
      </c>
      <c r="I118" s="23">
        <f t="shared" ca="1" si="15"/>
        <v>8445</v>
      </c>
    </row>
    <row r="119" spans="2:9">
      <c r="B119" s="23">
        <f t="shared" ca="1" si="16"/>
        <v>515</v>
      </c>
      <c r="C119" s="23">
        <f t="shared" ca="1" si="17"/>
        <v>300</v>
      </c>
      <c r="D119" s="23">
        <f t="shared" ca="1" si="12"/>
        <v>21000</v>
      </c>
      <c r="E119" s="23">
        <f t="shared" ca="1" si="13"/>
        <v>215</v>
      </c>
      <c r="F119" s="23">
        <f t="shared" si="18"/>
        <v>168</v>
      </c>
      <c r="G119" s="23">
        <f t="shared" ca="1" si="19"/>
        <v>168</v>
      </c>
      <c r="H119" s="23">
        <f t="shared" ca="1" si="14"/>
        <v>468</v>
      </c>
      <c r="I119" s="23">
        <f t="shared" ca="1" si="15"/>
        <v>27720</v>
      </c>
    </row>
    <row r="120" spans="2:9">
      <c r="B120" s="23">
        <f t="shared" ca="1" si="16"/>
        <v>225</v>
      </c>
      <c r="C120" s="23">
        <f t="shared" ca="1" si="17"/>
        <v>225</v>
      </c>
      <c r="D120" s="23">
        <f t="shared" ca="1" si="12"/>
        <v>10875</v>
      </c>
      <c r="E120" s="23">
        <f t="shared" ca="1" si="13"/>
        <v>0</v>
      </c>
      <c r="F120" s="23">
        <f t="shared" si="18"/>
        <v>168</v>
      </c>
      <c r="G120" s="23">
        <f t="shared" ca="1" si="19"/>
        <v>0</v>
      </c>
      <c r="H120" s="23">
        <f t="shared" ca="1" si="14"/>
        <v>225</v>
      </c>
      <c r="I120" s="23">
        <f t="shared" ca="1" si="15"/>
        <v>10875</v>
      </c>
    </row>
    <row r="121" spans="2:9">
      <c r="B121" s="23">
        <f t="shared" ca="1" si="16"/>
        <v>278</v>
      </c>
      <c r="C121" s="23">
        <f t="shared" ca="1" si="17"/>
        <v>278</v>
      </c>
      <c r="D121" s="23">
        <f t="shared" ca="1" si="12"/>
        <v>18030</v>
      </c>
      <c r="E121" s="23">
        <f t="shared" ca="1" si="13"/>
        <v>0</v>
      </c>
      <c r="F121" s="23">
        <f t="shared" si="18"/>
        <v>168</v>
      </c>
      <c r="G121" s="23">
        <f t="shared" ca="1" si="19"/>
        <v>0</v>
      </c>
      <c r="H121" s="23">
        <f t="shared" ca="1" si="14"/>
        <v>278</v>
      </c>
      <c r="I121" s="23">
        <f t="shared" ca="1" si="15"/>
        <v>18030</v>
      </c>
    </row>
    <row r="122" spans="2:9">
      <c r="B122" s="23">
        <f t="shared" ca="1" si="16"/>
        <v>223</v>
      </c>
      <c r="C122" s="23">
        <f t="shared" ca="1" si="17"/>
        <v>223</v>
      </c>
      <c r="D122" s="23">
        <f t="shared" ca="1" si="12"/>
        <v>10605</v>
      </c>
      <c r="E122" s="23">
        <f t="shared" ca="1" si="13"/>
        <v>0</v>
      </c>
      <c r="F122" s="23">
        <f t="shared" si="18"/>
        <v>168</v>
      </c>
      <c r="G122" s="23">
        <f t="shared" ca="1" si="19"/>
        <v>0</v>
      </c>
      <c r="H122" s="23">
        <f t="shared" ca="1" si="14"/>
        <v>223</v>
      </c>
      <c r="I122" s="23">
        <f t="shared" ca="1" si="15"/>
        <v>10605</v>
      </c>
    </row>
    <row r="123" spans="2:9">
      <c r="B123" s="23">
        <f t="shared" ca="1" si="16"/>
        <v>359</v>
      </c>
      <c r="C123" s="23">
        <f t="shared" ca="1" si="17"/>
        <v>300</v>
      </c>
      <c r="D123" s="23">
        <f t="shared" ca="1" si="12"/>
        <v>21000</v>
      </c>
      <c r="E123" s="23">
        <f t="shared" ca="1" si="13"/>
        <v>59</v>
      </c>
      <c r="F123" s="23">
        <f t="shared" si="18"/>
        <v>168</v>
      </c>
      <c r="G123" s="23">
        <f t="shared" ca="1" si="19"/>
        <v>59</v>
      </c>
      <c r="H123" s="23">
        <f t="shared" ca="1" si="14"/>
        <v>359</v>
      </c>
      <c r="I123" s="23">
        <f t="shared" ca="1" si="15"/>
        <v>23360</v>
      </c>
    </row>
    <row r="124" spans="2:9">
      <c r="B124" s="23">
        <f t="shared" ca="1" si="16"/>
        <v>249</v>
      </c>
      <c r="C124" s="23">
        <f t="shared" ca="1" si="17"/>
        <v>249</v>
      </c>
      <c r="D124" s="23">
        <f t="shared" ca="1" si="12"/>
        <v>14115</v>
      </c>
      <c r="E124" s="23">
        <f t="shared" ca="1" si="13"/>
        <v>0</v>
      </c>
      <c r="F124" s="23">
        <f t="shared" si="18"/>
        <v>168</v>
      </c>
      <c r="G124" s="23">
        <f t="shared" ca="1" si="19"/>
        <v>0</v>
      </c>
      <c r="H124" s="23">
        <f t="shared" ca="1" si="14"/>
        <v>249</v>
      </c>
      <c r="I124" s="23">
        <f t="shared" ca="1" si="15"/>
        <v>14115</v>
      </c>
    </row>
    <row r="125" spans="2:9">
      <c r="B125" s="23">
        <f t="shared" ca="1" si="16"/>
        <v>314</v>
      </c>
      <c r="C125" s="23">
        <f t="shared" ca="1" si="17"/>
        <v>300</v>
      </c>
      <c r="D125" s="23">
        <f t="shared" ca="1" si="12"/>
        <v>21000</v>
      </c>
      <c r="E125" s="23">
        <f t="shared" ca="1" si="13"/>
        <v>14</v>
      </c>
      <c r="F125" s="23">
        <f t="shared" si="18"/>
        <v>168</v>
      </c>
      <c r="G125" s="23">
        <f t="shared" ca="1" si="19"/>
        <v>14</v>
      </c>
      <c r="H125" s="23">
        <f t="shared" ca="1" si="14"/>
        <v>314</v>
      </c>
      <c r="I125" s="23">
        <f t="shared" ca="1" si="15"/>
        <v>21560</v>
      </c>
    </row>
    <row r="126" spans="2:9">
      <c r="B126" s="23">
        <f t="shared" ca="1" si="16"/>
        <v>35</v>
      </c>
      <c r="C126" s="23">
        <f t="shared" ca="1" si="17"/>
        <v>35</v>
      </c>
      <c r="D126" s="23">
        <f t="shared" ca="1" si="12"/>
        <v>-14775</v>
      </c>
      <c r="E126" s="23">
        <f t="shared" ca="1" si="13"/>
        <v>0</v>
      </c>
      <c r="F126" s="23">
        <f t="shared" si="18"/>
        <v>168</v>
      </c>
      <c r="G126" s="23">
        <f t="shared" ca="1" si="19"/>
        <v>0</v>
      </c>
      <c r="H126" s="23">
        <f t="shared" ca="1" si="14"/>
        <v>35</v>
      </c>
      <c r="I126" s="23">
        <f t="shared" ca="1" si="15"/>
        <v>-14775</v>
      </c>
    </row>
    <row r="127" spans="2:9">
      <c r="B127" s="23">
        <f t="shared" ca="1" si="16"/>
        <v>188</v>
      </c>
      <c r="C127" s="23">
        <f t="shared" ca="1" si="17"/>
        <v>188</v>
      </c>
      <c r="D127" s="23">
        <f t="shared" ca="1" si="12"/>
        <v>5880</v>
      </c>
      <c r="E127" s="23">
        <f t="shared" ca="1" si="13"/>
        <v>0</v>
      </c>
      <c r="F127" s="23">
        <f t="shared" si="18"/>
        <v>168</v>
      </c>
      <c r="G127" s="23">
        <f t="shared" ca="1" si="19"/>
        <v>0</v>
      </c>
      <c r="H127" s="23">
        <f t="shared" ca="1" si="14"/>
        <v>188</v>
      </c>
      <c r="I127" s="23">
        <f t="shared" ca="1" si="15"/>
        <v>5880</v>
      </c>
    </row>
    <row r="128" spans="2:9">
      <c r="B128" s="23">
        <f t="shared" ca="1" si="16"/>
        <v>292</v>
      </c>
      <c r="C128" s="23">
        <f t="shared" ca="1" si="17"/>
        <v>292</v>
      </c>
      <c r="D128" s="23">
        <f t="shared" ca="1" si="12"/>
        <v>19920</v>
      </c>
      <c r="E128" s="23">
        <f t="shared" ca="1" si="13"/>
        <v>0</v>
      </c>
      <c r="F128" s="23">
        <f t="shared" si="18"/>
        <v>168</v>
      </c>
      <c r="G128" s="23">
        <f t="shared" ca="1" si="19"/>
        <v>0</v>
      </c>
      <c r="H128" s="23">
        <f t="shared" ca="1" si="14"/>
        <v>292</v>
      </c>
      <c r="I128" s="23">
        <f t="shared" ca="1" si="15"/>
        <v>19920</v>
      </c>
    </row>
    <row r="129" spans="2:9">
      <c r="B129" s="23">
        <f t="shared" ca="1" si="16"/>
        <v>311</v>
      </c>
      <c r="C129" s="23">
        <f t="shared" ca="1" si="17"/>
        <v>300</v>
      </c>
      <c r="D129" s="23">
        <f t="shared" ca="1" si="12"/>
        <v>21000</v>
      </c>
      <c r="E129" s="23">
        <f t="shared" ca="1" si="13"/>
        <v>11</v>
      </c>
      <c r="F129" s="23">
        <f t="shared" si="18"/>
        <v>168</v>
      </c>
      <c r="G129" s="23">
        <f t="shared" ca="1" si="19"/>
        <v>11</v>
      </c>
      <c r="H129" s="23">
        <f t="shared" ca="1" si="14"/>
        <v>311</v>
      </c>
      <c r="I129" s="23">
        <f t="shared" ca="1" si="15"/>
        <v>21440</v>
      </c>
    </row>
    <row r="130" spans="2:9">
      <c r="B130" s="23">
        <f t="shared" ca="1" si="16"/>
        <v>337</v>
      </c>
      <c r="C130" s="23">
        <f t="shared" ca="1" si="17"/>
        <v>300</v>
      </c>
      <c r="D130" s="23">
        <f t="shared" ca="1" si="12"/>
        <v>21000</v>
      </c>
      <c r="E130" s="23">
        <f t="shared" ca="1" si="13"/>
        <v>37</v>
      </c>
      <c r="F130" s="23">
        <f t="shared" si="18"/>
        <v>168</v>
      </c>
      <c r="G130" s="23">
        <f t="shared" ca="1" si="19"/>
        <v>37</v>
      </c>
      <c r="H130" s="23">
        <f t="shared" ca="1" si="14"/>
        <v>337</v>
      </c>
      <c r="I130" s="23">
        <f t="shared" ca="1" si="15"/>
        <v>22480</v>
      </c>
    </row>
    <row r="131" spans="2:9">
      <c r="B131" s="23">
        <f t="shared" ca="1" si="16"/>
        <v>370</v>
      </c>
      <c r="C131" s="23">
        <f t="shared" ca="1" si="17"/>
        <v>300</v>
      </c>
      <c r="D131" s="23">
        <f t="shared" ca="1" si="12"/>
        <v>21000</v>
      </c>
      <c r="E131" s="23">
        <f t="shared" ca="1" si="13"/>
        <v>70</v>
      </c>
      <c r="F131" s="23">
        <f t="shared" si="18"/>
        <v>168</v>
      </c>
      <c r="G131" s="23">
        <f t="shared" ca="1" si="19"/>
        <v>70</v>
      </c>
      <c r="H131" s="23">
        <f t="shared" ca="1" si="14"/>
        <v>370</v>
      </c>
      <c r="I131" s="23">
        <f t="shared" ca="1" si="15"/>
        <v>23800</v>
      </c>
    </row>
    <row r="132" spans="2:9">
      <c r="B132" s="23">
        <f t="shared" ca="1" si="16"/>
        <v>313</v>
      </c>
      <c r="C132" s="23">
        <f t="shared" ca="1" si="17"/>
        <v>300</v>
      </c>
      <c r="D132" s="23">
        <f t="shared" ca="1" si="12"/>
        <v>21000</v>
      </c>
      <c r="E132" s="23">
        <f t="shared" ca="1" si="13"/>
        <v>13</v>
      </c>
      <c r="F132" s="23">
        <f t="shared" si="18"/>
        <v>168</v>
      </c>
      <c r="G132" s="23">
        <f t="shared" ca="1" si="19"/>
        <v>13</v>
      </c>
      <c r="H132" s="23">
        <f t="shared" ca="1" si="14"/>
        <v>313</v>
      </c>
      <c r="I132" s="23">
        <f t="shared" ca="1" si="15"/>
        <v>21520</v>
      </c>
    </row>
    <row r="133" spans="2:9">
      <c r="B133" s="23">
        <f t="shared" ca="1" si="16"/>
        <v>312</v>
      </c>
      <c r="C133" s="23">
        <f t="shared" ca="1" si="17"/>
        <v>300</v>
      </c>
      <c r="D133" s="23">
        <f t="shared" ca="1" si="12"/>
        <v>21000</v>
      </c>
      <c r="E133" s="23">
        <f t="shared" ca="1" si="13"/>
        <v>12</v>
      </c>
      <c r="F133" s="23">
        <f t="shared" si="18"/>
        <v>168</v>
      </c>
      <c r="G133" s="23">
        <f t="shared" ca="1" si="19"/>
        <v>12</v>
      </c>
      <c r="H133" s="23">
        <f t="shared" ca="1" si="14"/>
        <v>312</v>
      </c>
      <c r="I133" s="23">
        <f t="shared" ca="1" si="15"/>
        <v>21480</v>
      </c>
    </row>
    <row r="134" spans="2:9">
      <c r="B134" s="23">
        <f t="shared" ca="1" si="16"/>
        <v>307</v>
      </c>
      <c r="C134" s="23">
        <f t="shared" ca="1" si="17"/>
        <v>300</v>
      </c>
      <c r="D134" s="23">
        <f t="shared" ca="1" si="12"/>
        <v>21000</v>
      </c>
      <c r="E134" s="23">
        <f t="shared" ca="1" si="13"/>
        <v>7</v>
      </c>
      <c r="F134" s="23">
        <f t="shared" si="18"/>
        <v>168</v>
      </c>
      <c r="G134" s="23">
        <f t="shared" ca="1" si="19"/>
        <v>7</v>
      </c>
      <c r="H134" s="23">
        <f t="shared" ca="1" si="14"/>
        <v>307</v>
      </c>
      <c r="I134" s="23">
        <f t="shared" ca="1" si="15"/>
        <v>21280</v>
      </c>
    </row>
    <row r="135" spans="2:9">
      <c r="B135" s="23">
        <f t="shared" ca="1" si="16"/>
        <v>382</v>
      </c>
      <c r="C135" s="23">
        <f t="shared" ca="1" si="17"/>
        <v>300</v>
      </c>
      <c r="D135" s="23">
        <f t="shared" ca="1" si="12"/>
        <v>21000</v>
      </c>
      <c r="E135" s="23">
        <f t="shared" ca="1" si="13"/>
        <v>82</v>
      </c>
      <c r="F135" s="23">
        <f t="shared" si="18"/>
        <v>168</v>
      </c>
      <c r="G135" s="23">
        <f t="shared" ca="1" si="19"/>
        <v>82</v>
      </c>
      <c r="H135" s="23">
        <f t="shared" ca="1" si="14"/>
        <v>382</v>
      </c>
      <c r="I135" s="23">
        <f t="shared" ca="1" si="15"/>
        <v>24280</v>
      </c>
    </row>
    <row r="136" spans="2:9">
      <c r="B136" s="23">
        <f t="shared" ca="1" si="16"/>
        <v>424</v>
      </c>
      <c r="C136" s="23">
        <f t="shared" ca="1" si="17"/>
        <v>300</v>
      </c>
      <c r="D136" s="23">
        <f t="shared" ca="1" si="12"/>
        <v>21000</v>
      </c>
      <c r="E136" s="23">
        <f t="shared" ca="1" si="13"/>
        <v>124</v>
      </c>
      <c r="F136" s="23">
        <f t="shared" si="18"/>
        <v>168</v>
      </c>
      <c r="G136" s="23">
        <f t="shared" ca="1" si="19"/>
        <v>124</v>
      </c>
      <c r="H136" s="23">
        <f t="shared" ca="1" si="14"/>
        <v>424</v>
      </c>
      <c r="I136" s="23">
        <f t="shared" ca="1" si="15"/>
        <v>25960</v>
      </c>
    </row>
    <row r="137" spans="2:9">
      <c r="B137" s="23">
        <f t="shared" ca="1" si="16"/>
        <v>285</v>
      </c>
      <c r="C137" s="23">
        <f t="shared" ca="1" si="17"/>
        <v>285</v>
      </c>
      <c r="D137" s="23">
        <f t="shared" ca="1" si="12"/>
        <v>18975</v>
      </c>
      <c r="E137" s="23">
        <f t="shared" ca="1" si="13"/>
        <v>0</v>
      </c>
      <c r="F137" s="23">
        <f t="shared" si="18"/>
        <v>168</v>
      </c>
      <c r="G137" s="23">
        <f t="shared" ca="1" si="19"/>
        <v>0</v>
      </c>
      <c r="H137" s="23">
        <f t="shared" ca="1" si="14"/>
        <v>285</v>
      </c>
      <c r="I137" s="23">
        <f t="shared" ca="1" si="15"/>
        <v>18975</v>
      </c>
    </row>
    <row r="138" spans="2:9">
      <c r="B138" s="23">
        <f t="shared" ca="1" si="16"/>
        <v>316</v>
      </c>
      <c r="C138" s="23">
        <f t="shared" ca="1" si="17"/>
        <v>300</v>
      </c>
      <c r="D138" s="23">
        <f t="shared" ca="1" si="12"/>
        <v>21000</v>
      </c>
      <c r="E138" s="23">
        <f t="shared" ca="1" si="13"/>
        <v>16</v>
      </c>
      <c r="F138" s="23">
        <f t="shared" si="18"/>
        <v>168</v>
      </c>
      <c r="G138" s="23">
        <f t="shared" ca="1" si="19"/>
        <v>16</v>
      </c>
      <c r="H138" s="23">
        <f t="shared" ca="1" si="14"/>
        <v>316</v>
      </c>
      <c r="I138" s="23">
        <f t="shared" ca="1" si="15"/>
        <v>21640</v>
      </c>
    </row>
    <row r="139" spans="2:9">
      <c r="B139" s="23">
        <f t="shared" ca="1" si="16"/>
        <v>439</v>
      </c>
      <c r="C139" s="23">
        <f t="shared" ca="1" si="17"/>
        <v>300</v>
      </c>
      <c r="D139" s="23">
        <f t="shared" ca="1" si="12"/>
        <v>21000</v>
      </c>
      <c r="E139" s="23">
        <f t="shared" ca="1" si="13"/>
        <v>139</v>
      </c>
      <c r="F139" s="23">
        <f t="shared" si="18"/>
        <v>168</v>
      </c>
      <c r="G139" s="23">
        <f t="shared" ca="1" si="19"/>
        <v>139</v>
      </c>
      <c r="H139" s="23">
        <f t="shared" ca="1" si="14"/>
        <v>439</v>
      </c>
      <c r="I139" s="23">
        <f t="shared" ca="1" si="15"/>
        <v>26560</v>
      </c>
    </row>
    <row r="140" spans="2:9">
      <c r="B140" s="23">
        <f t="shared" ca="1" si="16"/>
        <v>218</v>
      </c>
      <c r="C140" s="23">
        <f t="shared" ca="1" si="17"/>
        <v>218</v>
      </c>
      <c r="D140" s="23">
        <f t="shared" ref="D140:D203" ca="1" si="20">C140*$B$3-$D$8*$B$2</f>
        <v>9930</v>
      </c>
      <c r="E140" s="23">
        <f t="shared" ref="E140:E203" ca="1" si="21">MAX(0, B140-$D$8)</f>
        <v>0</v>
      </c>
      <c r="F140" s="23">
        <f t="shared" si="18"/>
        <v>168</v>
      </c>
      <c r="G140" s="23">
        <f t="shared" ca="1" si="19"/>
        <v>0</v>
      </c>
      <c r="H140" s="23">
        <f t="shared" ref="H140:H203" ca="1" si="22">MIN(B140, $D$8+G140)</f>
        <v>218</v>
      </c>
      <c r="I140" s="23">
        <f t="shared" ref="I140:I203" ca="1" si="23">H140*$B$3-$D$8*$B$2-$B$1*G140</f>
        <v>9930</v>
      </c>
    </row>
    <row r="141" spans="2:9">
      <c r="B141" s="23">
        <f t="shared" ref="B141:B204" ca="1" si="24">_xlfn.FLOOR.MATH(_xlfn.NORM.INV(RAND(),$B$4,$B$5))</f>
        <v>365</v>
      </c>
      <c r="C141" s="23">
        <f t="shared" ref="C141:C204" ca="1" si="25">MIN(B141,$D$8)</f>
        <v>300</v>
      </c>
      <c r="D141" s="23">
        <f t="shared" ca="1" si="20"/>
        <v>21000</v>
      </c>
      <c r="E141" s="23">
        <f t="shared" ca="1" si="21"/>
        <v>65</v>
      </c>
      <c r="F141" s="23">
        <f t="shared" ref="F141:F204" si="26">12*(21-7)</f>
        <v>168</v>
      </c>
      <c r="G141" s="23">
        <f t="shared" ca="1" si="19"/>
        <v>65</v>
      </c>
      <c r="H141" s="23">
        <f t="shared" ca="1" si="22"/>
        <v>365</v>
      </c>
      <c r="I141" s="23">
        <f t="shared" ca="1" si="23"/>
        <v>23600</v>
      </c>
    </row>
    <row r="142" spans="2:9">
      <c r="B142" s="23">
        <f t="shared" ca="1" si="24"/>
        <v>443</v>
      </c>
      <c r="C142" s="23">
        <f t="shared" ca="1" si="25"/>
        <v>300</v>
      </c>
      <c r="D142" s="23">
        <f t="shared" ca="1" si="20"/>
        <v>21000</v>
      </c>
      <c r="E142" s="23">
        <f t="shared" ca="1" si="21"/>
        <v>143</v>
      </c>
      <c r="F142" s="23">
        <f t="shared" si="26"/>
        <v>168</v>
      </c>
      <c r="G142" s="23">
        <f t="shared" ca="1" si="19"/>
        <v>143</v>
      </c>
      <c r="H142" s="23">
        <f t="shared" ca="1" si="22"/>
        <v>443</v>
      </c>
      <c r="I142" s="23">
        <f t="shared" ca="1" si="23"/>
        <v>26720</v>
      </c>
    </row>
    <row r="143" spans="2:9">
      <c r="B143" s="23">
        <f t="shared" ca="1" si="24"/>
        <v>101</v>
      </c>
      <c r="C143" s="23">
        <f t="shared" ca="1" si="25"/>
        <v>101</v>
      </c>
      <c r="D143" s="23">
        <f t="shared" ca="1" si="20"/>
        <v>-5865</v>
      </c>
      <c r="E143" s="23">
        <f t="shared" ca="1" si="21"/>
        <v>0</v>
      </c>
      <c r="F143" s="23">
        <f t="shared" si="26"/>
        <v>168</v>
      </c>
      <c r="G143" s="23">
        <f t="shared" ca="1" si="19"/>
        <v>0</v>
      </c>
      <c r="H143" s="23">
        <f t="shared" ca="1" si="22"/>
        <v>101</v>
      </c>
      <c r="I143" s="23">
        <f t="shared" ca="1" si="23"/>
        <v>-5865</v>
      </c>
    </row>
    <row r="144" spans="2:9">
      <c r="B144" s="23">
        <f t="shared" ca="1" si="24"/>
        <v>448</v>
      </c>
      <c r="C144" s="23">
        <f t="shared" ca="1" si="25"/>
        <v>300</v>
      </c>
      <c r="D144" s="23">
        <f t="shared" ca="1" si="20"/>
        <v>21000</v>
      </c>
      <c r="E144" s="23">
        <f t="shared" ca="1" si="21"/>
        <v>148</v>
      </c>
      <c r="F144" s="23">
        <f t="shared" si="26"/>
        <v>168</v>
      </c>
      <c r="G144" s="23">
        <f t="shared" ref="G144:G207" ca="1" si="27">MIN(E144,F144)</f>
        <v>148</v>
      </c>
      <c r="H144" s="23">
        <f t="shared" ca="1" si="22"/>
        <v>448</v>
      </c>
      <c r="I144" s="23">
        <f t="shared" ca="1" si="23"/>
        <v>26920</v>
      </c>
    </row>
    <row r="145" spans="2:9">
      <c r="B145" s="23">
        <f t="shared" ca="1" si="24"/>
        <v>526</v>
      </c>
      <c r="C145" s="23">
        <f t="shared" ca="1" si="25"/>
        <v>300</v>
      </c>
      <c r="D145" s="23">
        <f t="shared" ca="1" si="20"/>
        <v>21000</v>
      </c>
      <c r="E145" s="23">
        <f t="shared" ca="1" si="21"/>
        <v>226</v>
      </c>
      <c r="F145" s="23">
        <f t="shared" si="26"/>
        <v>168</v>
      </c>
      <c r="G145" s="23">
        <f t="shared" ca="1" si="27"/>
        <v>168</v>
      </c>
      <c r="H145" s="23">
        <f t="shared" ca="1" si="22"/>
        <v>468</v>
      </c>
      <c r="I145" s="23">
        <f t="shared" ca="1" si="23"/>
        <v>27720</v>
      </c>
    </row>
    <row r="146" spans="2:9">
      <c r="B146" s="23">
        <f t="shared" ca="1" si="24"/>
        <v>248</v>
      </c>
      <c r="C146" s="23">
        <f t="shared" ca="1" si="25"/>
        <v>248</v>
      </c>
      <c r="D146" s="23">
        <f t="shared" ca="1" si="20"/>
        <v>13980</v>
      </c>
      <c r="E146" s="23">
        <f t="shared" ca="1" si="21"/>
        <v>0</v>
      </c>
      <c r="F146" s="23">
        <f t="shared" si="26"/>
        <v>168</v>
      </c>
      <c r="G146" s="23">
        <f t="shared" ca="1" si="27"/>
        <v>0</v>
      </c>
      <c r="H146" s="23">
        <f t="shared" ca="1" si="22"/>
        <v>248</v>
      </c>
      <c r="I146" s="23">
        <f t="shared" ca="1" si="23"/>
        <v>13980</v>
      </c>
    </row>
    <row r="147" spans="2:9">
      <c r="B147" s="23">
        <f t="shared" ca="1" si="24"/>
        <v>294</v>
      </c>
      <c r="C147" s="23">
        <f t="shared" ca="1" si="25"/>
        <v>294</v>
      </c>
      <c r="D147" s="23">
        <f t="shared" ca="1" si="20"/>
        <v>20190</v>
      </c>
      <c r="E147" s="23">
        <f t="shared" ca="1" si="21"/>
        <v>0</v>
      </c>
      <c r="F147" s="23">
        <f t="shared" si="26"/>
        <v>168</v>
      </c>
      <c r="G147" s="23">
        <f t="shared" ca="1" si="27"/>
        <v>0</v>
      </c>
      <c r="H147" s="23">
        <f t="shared" ca="1" si="22"/>
        <v>294</v>
      </c>
      <c r="I147" s="23">
        <f t="shared" ca="1" si="23"/>
        <v>20190</v>
      </c>
    </row>
    <row r="148" spans="2:9">
      <c r="B148" s="23">
        <f t="shared" ca="1" si="24"/>
        <v>114</v>
      </c>
      <c r="C148" s="23">
        <f t="shared" ca="1" si="25"/>
        <v>114</v>
      </c>
      <c r="D148" s="23">
        <f t="shared" ca="1" si="20"/>
        <v>-4110</v>
      </c>
      <c r="E148" s="23">
        <f t="shared" ca="1" si="21"/>
        <v>0</v>
      </c>
      <c r="F148" s="23">
        <f t="shared" si="26"/>
        <v>168</v>
      </c>
      <c r="G148" s="23">
        <f t="shared" ca="1" si="27"/>
        <v>0</v>
      </c>
      <c r="H148" s="23">
        <f t="shared" ca="1" si="22"/>
        <v>114</v>
      </c>
      <c r="I148" s="23">
        <f t="shared" ca="1" si="23"/>
        <v>-4110</v>
      </c>
    </row>
    <row r="149" spans="2:9">
      <c r="B149" s="23">
        <f t="shared" ca="1" si="24"/>
        <v>257</v>
      </c>
      <c r="C149" s="23">
        <f t="shared" ca="1" si="25"/>
        <v>257</v>
      </c>
      <c r="D149" s="23">
        <f t="shared" ca="1" si="20"/>
        <v>15195</v>
      </c>
      <c r="E149" s="23">
        <f t="shared" ca="1" si="21"/>
        <v>0</v>
      </c>
      <c r="F149" s="23">
        <f t="shared" si="26"/>
        <v>168</v>
      </c>
      <c r="G149" s="23">
        <f t="shared" ca="1" si="27"/>
        <v>0</v>
      </c>
      <c r="H149" s="23">
        <f t="shared" ca="1" si="22"/>
        <v>257</v>
      </c>
      <c r="I149" s="23">
        <f t="shared" ca="1" si="23"/>
        <v>15195</v>
      </c>
    </row>
    <row r="150" spans="2:9">
      <c r="B150" s="23">
        <f t="shared" ca="1" si="24"/>
        <v>345</v>
      </c>
      <c r="C150" s="23">
        <f t="shared" ca="1" si="25"/>
        <v>300</v>
      </c>
      <c r="D150" s="23">
        <f t="shared" ca="1" si="20"/>
        <v>21000</v>
      </c>
      <c r="E150" s="23">
        <f t="shared" ca="1" si="21"/>
        <v>45</v>
      </c>
      <c r="F150" s="23">
        <f t="shared" si="26"/>
        <v>168</v>
      </c>
      <c r="G150" s="23">
        <f t="shared" ca="1" si="27"/>
        <v>45</v>
      </c>
      <c r="H150" s="23">
        <f t="shared" ca="1" si="22"/>
        <v>345</v>
      </c>
      <c r="I150" s="23">
        <f t="shared" ca="1" si="23"/>
        <v>22800</v>
      </c>
    </row>
    <row r="151" spans="2:9">
      <c r="B151" s="23">
        <f t="shared" ca="1" si="24"/>
        <v>261</v>
      </c>
      <c r="C151" s="23">
        <f t="shared" ca="1" si="25"/>
        <v>261</v>
      </c>
      <c r="D151" s="23">
        <f t="shared" ca="1" si="20"/>
        <v>15735</v>
      </c>
      <c r="E151" s="23">
        <f t="shared" ca="1" si="21"/>
        <v>0</v>
      </c>
      <c r="F151" s="23">
        <f t="shared" si="26"/>
        <v>168</v>
      </c>
      <c r="G151" s="23">
        <f t="shared" ca="1" si="27"/>
        <v>0</v>
      </c>
      <c r="H151" s="23">
        <f t="shared" ca="1" si="22"/>
        <v>261</v>
      </c>
      <c r="I151" s="23">
        <f t="shared" ca="1" si="23"/>
        <v>15735</v>
      </c>
    </row>
    <row r="152" spans="2:9">
      <c r="B152" s="23">
        <f t="shared" ca="1" si="24"/>
        <v>296</v>
      </c>
      <c r="C152" s="23">
        <f t="shared" ca="1" si="25"/>
        <v>296</v>
      </c>
      <c r="D152" s="23">
        <f t="shared" ca="1" si="20"/>
        <v>20460</v>
      </c>
      <c r="E152" s="23">
        <f t="shared" ca="1" si="21"/>
        <v>0</v>
      </c>
      <c r="F152" s="23">
        <f t="shared" si="26"/>
        <v>168</v>
      </c>
      <c r="G152" s="23">
        <f t="shared" ca="1" si="27"/>
        <v>0</v>
      </c>
      <c r="H152" s="23">
        <f t="shared" ca="1" si="22"/>
        <v>296</v>
      </c>
      <c r="I152" s="23">
        <f t="shared" ca="1" si="23"/>
        <v>20460</v>
      </c>
    </row>
    <row r="153" spans="2:9">
      <c r="B153" s="23">
        <f t="shared" ca="1" si="24"/>
        <v>272</v>
      </c>
      <c r="C153" s="23">
        <f t="shared" ca="1" si="25"/>
        <v>272</v>
      </c>
      <c r="D153" s="23">
        <f t="shared" ca="1" si="20"/>
        <v>17220</v>
      </c>
      <c r="E153" s="23">
        <f t="shared" ca="1" si="21"/>
        <v>0</v>
      </c>
      <c r="F153" s="23">
        <f t="shared" si="26"/>
        <v>168</v>
      </c>
      <c r="G153" s="23">
        <f t="shared" ca="1" si="27"/>
        <v>0</v>
      </c>
      <c r="H153" s="23">
        <f t="shared" ca="1" si="22"/>
        <v>272</v>
      </c>
      <c r="I153" s="23">
        <f t="shared" ca="1" si="23"/>
        <v>17220</v>
      </c>
    </row>
    <row r="154" spans="2:9">
      <c r="B154" s="23">
        <f t="shared" ca="1" si="24"/>
        <v>151</v>
      </c>
      <c r="C154" s="23">
        <f t="shared" ca="1" si="25"/>
        <v>151</v>
      </c>
      <c r="D154" s="23">
        <f t="shared" ca="1" si="20"/>
        <v>885</v>
      </c>
      <c r="E154" s="23">
        <f t="shared" ca="1" si="21"/>
        <v>0</v>
      </c>
      <c r="F154" s="23">
        <f t="shared" si="26"/>
        <v>168</v>
      </c>
      <c r="G154" s="23">
        <f t="shared" ca="1" si="27"/>
        <v>0</v>
      </c>
      <c r="H154" s="23">
        <f t="shared" ca="1" si="22"/>
        <v>151</v>
      </c>
      <c r="I154" s="23">
        <f t="shared" ca="1" si="23"/>
        <v>885</v>
      </c>
    </row>
    <row r="155" spans="2:9">
      <c r="B155" s="23">
        <f t="shared" ca="1" si="24"/>
        <v>424</v>
      </c>
      <c r="C155" s="23">
        <f t="shared" ca="1" si="25"/>
        <v>300</v>
      </c>
      <c r="D155" s="23">
        <f t="shared" ca="1" si="20"/>
        <v>21000</v>
      </c>
      <c r="E155" s="23">
        <f t="shared" ca="1" si="21"/>
        <v>124</v>
      </c>
      <c r="F155" s="23">
        <f t="shared" si="26"/>
        <v>168</v>
      </c>
      <c r="G155" s="23">
        <f t="shared" ca="1" si="27"/>
        <v>124</v>
      </c>
      <c r="H155" s="23">
        <f t="shared" ca="1" si="22"/>
        <v>424</v>
      </c>
      <c r="I155" s="23">
        <f t="shared" ca="1" si="23"/>
        <v>25960</v>
      </c>
    </row>
    <row r="156" spans="2:9">
      <c r="B156" s="23">
        <f t="shared" ca="1" si="24"/>
        <v>279</v>
      </c>
      <c r="C156" s="23">
        <f t="shared" ca="1" si="25"/>
        <v>279</v>
      </c>
      <c r="D156" s="23">
        <f t="shared" ca="1" si="20"/>
        <v>18165</v>
      </c>
      <c r="E156" s="23">
        <f t="shared" ca="1" si="21"/>
        <v>0</v>
      </c>
      <c r="F156" s="23">
        <f t="shared" si="26"/>
        <v>168</v>
      </c>
      <c r="G156" s="23">
        <f t="shared" ca="1" si="27"/>
        <v>0</v>
      </c>
      <c r="H156" s="23">
        <f t="shared" ca="1" si="22"/>
        <v>279</v>
      </c>
      <c r="I156" s="23">
        <f t="shared" ca="1" si="23"/>
        <v>18165</v>
      </c>
    </row>
    <row r="157" spans="2:9">
      <c r="B157" s="23">
        <f t="shared" ca="1" si="24"/>
        <v>328</v>
      </c>
      <c r="C157" s="23">
        <f t="shared" ca="1" si="25"/>
        <v>300</v>
      </c>
      <c r="D157" s="23">
        <f t="shared" ca="1" si="20"/>
        <v>21000</v>
      </c>
      <c r="E157" s="23">
        <f t="shared" ca="1" si="21"/>
        <v>28</v>
      </c>
      <c r="F157" s="23">
        <f t="shared" si="26"/>
        <v>168</v>
      </c>
      <c r="G157" s="23">
        <f t="shared" ca="1" si="27"/>
        <v>28</v>
      </c>
      <c r="H157" s="23">
        <f t="shared" ca="1" si="22"/>
        <v>328</v>
      </c>
      <c r="I157" s="23">
        <f t="shared" ca="1" si="23"/>
        <v>22120</v>
      </c>
    </row>
    <row r="158" spans="2:9">
      <c r="B158" s="23">
        <f t="shared" ca="1" si="24"/>
        <v>213</v>
      </c>
      <c r="C158" s="23">
        <f t="shared" ca="1" si="25"/>
        <v>213</v>
      </c>
      <c r="D158" s="23">
        <f t="shared" ca="1" si="20"/>
        <v>9255</v>
      </c>
      <c r="E158" s="23">
        <f t="shared" ca="1" si="21"/>
        <v>0</v>
      </c>
      <c r="F158" s="23">
        <f t="shared" si="26"/>
        <v>168</v>
      </c>
      <c r="G158" s="23">
        <f t="shared" ca="1" si="27"/>
        <v>0</v>
      </c>
      <c r="H158" s="23">
        <f t="shared" ca="1" si="22"/>
        <v>213</v>
      </c>
      <c r="I158" s="23">
        <f t="shared" ca="1" si="23"/>
        <v>9255</v>
      </c>
    </row>
    <row r="159" spans="2:9">
      <c r="B159" s="23">
        <f t="shared" ca="1" si="24"/>
        <v>124</v>
      </c>
      <c r="C159" s="23">
        <f t="shared" ca="1" si="25"/>
        <v>124</v>
      </c>
      <c r="D159" s="23">
        <f t="shared" ca="1" si="20"/>
        <v>-2760</v>
      </c>
      <c r="E159" s="23">
        <f t="shared" ca="1" si="21"/>
        <v>0</v>
      </c>
      <c r="F159" s="23">
        <f t="shared" si="26"/>
        <v>168</v>
      </c>
      <c r="G159" s="23">
        <f t="shared" ca="1" si="27"/>
        <v>0</v>
      </c>
      <c r="H159" s="23">
        <f t="shared" ca="1" si="22"/>
        <v>124</v>
      </c>
      <c r="I159" s="23">
        <f t="shared" ca="1" si="23"/>
        <v>-2760</v>
      </c>
    </row>
    <row r="160" spans="2:9">
      <c r="B160" s="23">
        <f t="shared" ca="1" si="24"/>
        <v>183</v>
      </c>
      <c r="C160" s="23">
        <f t="shared" ca="1" si="25"/>
        <v>183</v>
      </c>
      <c r="D160" s="23">
        <f t="shared" ca="1" si="20"/>
        <v>5205</v>
      </c>
      <c r="E160" s="23">
        <f t="shared" ca="1" si="21"/>
        <v>0</v>
      </c>
      <c r="F160" s="23">
        <f t="shared" si="26"/>
        <v>168</v>
      </c>
      <c r="G160" s="23">
        <f t="shared" ca="1" si="27"/>
        <v>0</v>
      </c>
      <c r="H160" s="23">
        <f t="shared" ca="1" si="22"/>
        <v>183</v>
      </c>
      <c r="I160" s="23">
        <f t="shared" ca="1" si="23"/>
        <v>5205</v>
      </c>
    </row>
    <row r="161" spans="2:9">
      <c r="B161" s="23">
        <f t="shared" ca="1" si="24"/>
        <v>305</v>
      </c>
      <c r="C161" s="23">
        <f t="shared" ca="1" si="25"/>
        <v>300</v>
      </c>
      <c r="D161" s="23">
        <f t="shared" ca="1" si="20"/>
        <v>21000</v>
      </c>
      <c r="E161" s="23">
        <f t="shared" ca="1" si="21"/>
        <v>5</v>
      </c>
      <c r="F161" s="23">
        <f t="shared" si="26"/>
        <v>168</v>
      </c>
      <c r="G161" s="23">
        <f t="shared" ca="1" si="27"/>
        <v>5</v>
      </c>
      <c r="H161" s="23">
        <f t="shared" ca="1" si="22"/>
        <v>305</v>
      </c>
      <c r="I161" s="23">
        <f t="shared" ca="1" si="23"/>
        <v>21200</v>
      </c>
    </row>
    <row r="162" spans="2:9">
      <c r="B162" s="23">
        <f t="shared" ca="1" si="24"/>
        <v>306</v>
      </c>
      <c r="C162" s="23">
        <f t="shared" ca="1" si="25"/>
        <v>300</v>
      </c>
      <c r="D162" s="23">
        <f t="shared" ca="1" si="20"/>
        <v>21000</v>
      </c>
      <c r="E162" s="23">
        <f t="shared" ca="1" si="21"/>
        <v>6</v>
      </c>
      <c r="F162" s="23">
        <f t="shared" si="26"/>
        <v>168</v>
      </c>
      <c r="G162" s="23">
        <f t="shared" ca="1" si="27"/>
        <v>6</v>
      </c>
      <c r="H162" s="23">
        <f t="shared" ca="1" si="22"/>
        <v>306</v>
      </c>
      <c r="I162" s="23">
        <f t="shared" ca="1" si="23"/>
        <v>21240</v>
      </c>
    </row>
    <row r="163" spans="2:9">
      <c r="B163" s="23">
        <f t="shared" ca="1" si="24"/>
        <v>181</v>
      </c>
      <c r="C163" s="23">
        <f t="shared" ca="1" si="25"/>
        <v>181</v>
      </c>
      <c r="D163" s="23">
        <f t="shared" ca="1" si="20"/>
        <v>4935</v>
      </c>
      <c r="E163" s="23">
        <f t="shared" ca="1" si="21"/>
        <v>0</v>
      </c>
      <c r="F163" s="23">
        <f t="shared" si="26"/>
        <v>168</v>
      </c>
      <c r="G163" s="23">
        <f t="shared" ca="1" si="27"/>
        <v>0</v>
      </c>
      <c r="H163" s="23">
        <f t="shared" ca="1" si="22"/>
        <v>181</v>
      </c>
      <c r="I163" s="23">
        <f t="shared" ca="1" si="23"/>
        <v>4935</v>
      </c>
    </row>
    <row r="164" spans="2:9">
      <c r="B164" s="23">
        <f t="shared" ca="1" si="24"/>
        <v>170</v>
      </c>
      <c r="C164" s="23">
        <f t="shared" ca="1" si="25"/>
        <v>170</v>
      </c>
      <c r="D164" s="23">
        <f t="shared" ca="1" si="20"/>
        <v>3450</v>
      </c>
      <c r="E164" s="23">
        <f t="shared" ca="1" si="21"/>
        <v>0</v>
      </c>
      <c r="F164" s="23">
        <f t="shared" si="26"/>
        <v>168</v>
      </c>
      <c r="G164" s="23">
        <f t="shared" ca="1" si="27"/>
        <v>0</v>
      </c>
      <c r="H164" s="23">
        <f t="shared" ca="1" si="22"/>
        <v>170</v>
      </c>
      <c r="I164" s="23">
        <f t="shared" ca="1" si="23"/>
        <v>3450</v>
      </c>
    </row>
    <row r="165" spans="2:9">
      <c r="B165" s="23">
        <f t="shared" ca="1" si="24"/>
        <v>45</v>
      </c>
      <c r="C165" s="23">
        <f t="shared" ca="1" si="25"/>
        <v>45</v>
      </c>
      <c r="D165" s="23">
        <f t="shared" ca="1" si="20"/>
        <v>-13425</v>
      </c>
      <c r="E165" s="23">
        <f t="shared" ca="1" si="21"/>
        <v>0</v>
      </c>
      <c r="F165" s="23">
        <f t="shared" si="26"/>
        <v>168</v>
      </c>
      <c r="G165" s="23">
        <f t="shared" ca="1" si="27"/>
        <v>0</v>
      </c>
      <c r="H165" s="23">
        <f t="shared" ca="1" si="22"/>
        <v>45</v>
      </c>
      <c r="I165" s="23">
        <f t="shared" ca="1" si="23"/>
        <v>-13425</v>
      </c>
    </row>
    <row r="166" spans="2:9">
      <c r="B166" s="23">
        <f t="shared" ca="1" si="24"/>
        <v>535</v>
      </c>
      <c r="C166" s="23">
        <f t="shared" ca="1" si="25"/>
        <v>300</v>
      </c>
      <c r="D166" s="23">
        <f t="shared" ca="1" si="20"/>
        <v>21000</v>
      </c>
      <c r="E166" s="23">
        <f t="shared" ca="1" si="21"/>
        <v>235</v>
      </c>
      <c r="F166" s="23">
        <f t="shared" si="26"/>
        <v>168</v>
      </c>
      <c r="G166" s="23">
        <f t="shared" ca="1" si="27"/>
        <v>168</v>
      </c>
      <c r="H166" s="23">
        <f t="shared" ca="1" si="22"/>
        <v>468</v>
      </c>
      <c r="I166" s="23">
        <f t="shared" ca="1" si="23"/>
        <v>27720</v>
      </c>
    </row>
    <row r="167" spans="2:9">
      <c r="B167" s="23">
        <f t="shared" ca="1" si="24"/>
        <v>263</v>
      </c>
      <c r="C167" s="23">
        <f t="shared" ca="1" si="25"/>
        <v>263</v>
      </c>
      <c r="D167" s="23">
        <f t="shared" ca="1" si="20"/>
        <v>16005</v>
      </c>
      <c r="E167" s="23">
        <f t="shared" ca="1" si="21"/>
        <v>0</v>
      </c>
      <c r="F167" s="23">
        <f t="shared" si="26"/>
        <v>168</v>
      </c>
      <c r="G167" s="23">
        <f t="shared" ca="1" si="27"/>
        <v>0</v>
      </c>
      <c r="H167" s="23">
        <f t="shared" ca="1" si="22"/>
        <v>263</v>
      </c>
      <c r="I167" s="23">
        <f t="shared" ca="1" si="23"/>
        <v>16005</v>
      </c>
    </row>
    <row r="168" spans="2:9">
      <c r="B168" s="23">
        <f t="shared" ca="1" si="24"/>
        <v>378</v>
      </c>
      <c r="C168" s="23">
        <f t="shared" ca="1" si="25"/>
        <v>300</v>
      </c>
      <c r="D168" s="23">
        <f t="shared" ca="1" si="20"/>
        <v>21000</v>
      </c>
      <c r="E168" s="23">
        <f t="shared" ca="1" si="21"/>
        <v>78</v>
      </c>
      <c r="F168" s="23">
        <f t="shared" si="26"/>
        <v>168</v>
      </c>
      <c r="G168" s="23">
        <f t="shared" ca="1" si="27"/>
        <v>78</v>
      </c>
      <c r="H168" s="23">
        <f t="shared" ca="1" si="22"/>
        <v>378</v>
      </c>
      <c r="I168" s="23">
        <f t="shared" ca="1" si="23"/>
        <v>24120</v>
      </c>
    </row>
    <row r="169" spans="2:9">
      <c r="B169" s="23">
        <f t="shared" ca="1" si="24"/>
        <v>431</v>
      </c>
      <c r="C169" s="23">
        <f t="shared" ca="1" si="25"/>
        <v>300</v>
      </c>
      <c r="D169" s="23">
        <f t="shared" ca="1" si="20"/>
        <v>21000</v>
      </c>
      <c r="E169" s="23">
        <f t="shared" ca="1" si="21"/>
        <v>131</v>
      </c>
      <c r="F169" s="23">
        <f t="shared" si="26"/>
        <v>168</v>
      </c>
      <c r="G169" s="23">
        <f t="shared" ca="1" si="27"/>
        <v>131</v>
      </c>
      <c r="H169" s="23">
        <f t="shared" ca="1" si="22"/>
        <v>431</v>
      </c>
      <c r="I169" s="23">
        <f t="shared" ca="1" si="23"/>
        <v>26240</v>
      </c>
    </row>
    <row r="170" spans="2:9">
      <c r="B170" s="23">
        <f t="shared" ca="1" si="24"/>
        <v>132</v>
      </c>
      <c r="C170" s="23">
        <f t="shared" ca="1" si="25"/>
        <v>132</v>
      </c>
      <c r="D170" s="23">
        <f t="shared" ca="1" si="20"/>
        <v>-1680</v>
      </c>
      <c r="E170" s="23">
        <f t="shared" ca="1" si="21"/>
        <v>0</v>
      </c>
      <c r="F170" s="23">
        <f t="shared" si="26"/>
        <v>168</v>
      </c>
      <c r="G170" s="23">
        <f t="shared" ca="1" si="27"/>
        <v>0</v>
      </c>
      <c r="H170" s="23">
        <f t="shared" ca="1" si="22"/>
        <v>132</v>
      </c>
      <c r="I170" s="23">
        <f t="shared" ca="1" si="23"/>
        <v>-1680</v>
      </c>
    </row>
    <row r="171" spans="2:9">
      <c r="B171" s="23">
        <f t="shared" ca="1" si="24"/>
        <v>328</v>
      </c>
      <c r="C171" s="23">
        <f t="shared" ca="1" si="25"/>
        <v>300</v>
      </c>
      <c r="D171" s="23">
        <f t="shared" ca="1" si="20"/>
        <v>21000</v>
      </c>
      <c r="E171" s="23">
        <f t="shared" ca="1" si="21"/>
        <v>28</v>
      </c>
      <c r="F171" s="23">
        <f t="shared" si="26"/>
        <v>168</v>
      </c>
      <c r="G171" s="23">
        <f t="shared" ca="1" si="27"/>
        <v>28</v>
      </c>
      <c r="H171" s="23">
        <f t="shared" ca="1" si="22"/>
        <v>328</v>
      </c>
      <c r="I171" s="23">
        <f t="shared" ca="1" si="23"/>
        <v>22120</v>
      </c>
    </row>
    <row r="172" spans="2:9">
      <c r="B172" s="23">
        <f t="shared" ca="1" si="24"/>
        <v>328</v>
      </c>
      <c r="C172" s="23">
        <f t="shared" ca="1" si="25"/>
        <v>300</v>
      </c>
      <c r="D172" s="23">
        <f t="shared" ca="1" si="20"/>
        <v>21000</v>
      </c>
      <c r="E172" s="23">
        <f t="shared" ca="1" si="21"/>
        <v>28</v>
      </c>
      <c r="F172" s="23">
        <f t="shared" si="26"/>
        <v>168</v>
      </c>
      <c r="G172" s="23">
        <f t="shared" ca="1" si="27"/>
        <v>28</v>
      </c>
      <c r="H172" s="23">
        <f t="shared" ca="1" si="22"/>
        <v>328</v>
      </c>
      <c r="I172" s="23">
        <f t="shared" ca="1" si="23"/>
        <v>22120</v>
      </c>
    </row>
    <row r="173" spans="2:9">
      <c r="B173" s="23">
        <f t="shared" ca="1" si="24"/>
        <v>501</v>
      </c>
      <c r="C173" s="23">
        <f t="shared" ca="1" si="25"/>
        <v>300</v>
      </c>
      <c r="D173" s="23">
        <f t="shared" ca="1" si="20"/>
        <v>21000</v>
      </c>
      <c r="E173" s="23">
        <f t="shared" ca="1" si="21"/>
        <v>201</v>
      </c>
      <c r="F173" s="23">
        <f t="shared" si="26"/>
        <v>168</v>
      </c>
      <c r="G173" s="23">
        <f t="shared" ca="1" si="27"/>
        <v>168</v>
      </c>
      <c r="H173" s="23">
        <f t="shared" ca="1" si="22"/>
        <v>468</v>
      </c>
      <c r="I173" s="23">
        <f t="shared" ca="1" si="23"/>
        <v>27720</v>
      </c>
    </row>
    <row r="174" spans="2:9">
      <c r="B174" s="23">
        <f t="shared" ca="1" si="24"/>
        <v>385</v>
      </c>
      <c r="C174" s="23">
        <f t="shared" ca="1" si="25"/>
        <v>300</v>
      </c>
      <c r="D174" s="23">
        <f t="shared" ca="1" si="20"/>
        <v>21000</v>
      </c>
      <c r="E174" s="23">
        <f t="shared" ca="1" si="21"/>
        <v>85</v>
      </c>
      <c r="F174" s="23">
        <f t="shared" si="26"/>
        <v>168</v>
      </c>
      <c r="G174" s="23">
        <f t="shared" ca="1" si="27"/>
        <v>85</v>
      </c>
      <c r="H174" s="23">
        <f t="shared" ca="1" si="22"/>
        <v>385</v>
      </c>
      <c r="I174" s="23">
        <f t="shared" ca="1" si="23"/>
        <v>24400</v>
      </c>
    </row>
    <row r="175" spans="2:9">
      <c r="B175" s="23">
        <f t="shared" ca="1" si="24"/>
        <v>277</v>
      </c>
      <c r="C175" s="23">
        <f t="shared" ca="1" si="25"/>
        <v>277</v>
      </c>
      <c r="D175" s="23">
        <f t="shared" ca="1" si="20"/>
        <v>17895</v>
      </c>
      <c r="E175" s="23">
        <f t="shared" ca="1" si="21"/>
        <v>0</v>
      </c>
      <c r="F175" s="23">
        <f t="shared" si="26"/>
        <v>168</v>
      </c>
      <c r="G175" s="23">
        <f t="shared" ca="1" si="27"/>
        <v>0</v>
      </c>
      <c r="H175" s="23">
        <f t="shared" ca="1" si="22"/>
        <v>277</v>
      </c>
      <c r="I175" s="23">
        <f t="shared" ca="1" si="23"/>
        <v>17895</v>
      </c>
    </row>
    <row r="176" spans="2:9">
      <c r="B176" s="23">
        <f t="shared" ca="1" si="24"/>
        <v>387</v>
      </c>
      <c r="C176" s="23">
        <f t="shared" ca="1" si="25"/>
        <v>300</v>
      </c>
      <c r="D176" s="23">
        <f t="shared" ca="1" si="20"/>
        <v>21000</v>
      </c>
      <c r="E176" s="23">
        <f t="shared" ca="1" si="21"/>
        <v>87</v>
      </c>
      <c r="F176" s="23">
        <f t="shared" si="26"/>
        <v>168</v>
      </c>
      <c r="G176" s="23">
        <f t="shared" ca="1" si="27"/>
        <v>87</v>
      </c>
      <c r="H176" s="23">
        <f t="shared" ca="1" si="22"/>
        <v>387</v>
      </c>
      <c r="I176" s="23">
        <f t="shared" ca="1" si="23"/>
        <v>24480</v>
      </c>
    </row>
    <row r="177" spans="2:9">
      <c r="B177" s="23">
        <f t="shared" ca="1" si="24"/>
        <v>250</v>
      </c>
      <c r="C177" s="23">
        <f t="shared" ca="1" si="25"/>
        <v>250</v>
      </c>
      <c r="D177" s="23">
        <f t="shared" ca="1" si="20"/>
        <v>14250</v>
      </c>
      <c r="E177" s="23">
        <f t="shared" ca="1" si="21"/>
        <v>0</v>
      </c>
      <c r="F177" s="23">
        <f t="shared" si="26"/>
        <v>168</v>
      </c>
      <c r="G177" s="23">
        <f t="shared" ca="1" si="27"/>
        <v>0</v>
      </c>
      <c r="H177" s="23">
        <f t="shared" ca="1" si="22"/>
        <v>250</v>
      </c>
      <c r="I177" s="23">
        <f t="shared" ca="1" si="23"/>
        <v>14250</v>
      </c>
    </row>
    <row r="178" spans="2:9">
      <c r="B178" s="23">
        <f t="shared" ca="1" si="24"/>
        <v>232</v>
      </c>
      <c r="C178" s="23">
        <f t="shared" ca="1" si="25"/>
        <v>232</v>
      </c>
      <c r="D178" s="23">
        <f t="shared" ca="1" si="20"/>
        <v>11820</v>
      </c>
      <c r="E178" s="23">
        <f t="shared" ca="1" si="21"/>
        <v>0</v>
      </c>
      <c r="F178" s="23">
        <f t="shared" si="26"/>
        <v>168</v>
      </c>
      <c r="G178" s="23">
        <f t="shared" ca="1" si="27"/>
        <v>0</v>
      </c>
      <c r="H178" s="23">
        <f t="shared" ca="1" si="22"/>
        <v>232</v>
      </c>
      <c r="I178" s="23">
        <f t="shared" ca="1" si="23"/>
        <v>11820</v>
      </c>
    </row>
    <row r="179" spans="2:9">
      <c r="B179" s="23">
        <f t="shared" ca="1" si="24"/>
        <v>298</v>
      </c>
      <c r="C179" s="23">
        <f t="shared" ca="1" si="25"/>
        <v>298</v>
      </c>
      <c r="D179" s="23">
        <f t="shared" ca="1" si="20"/>
        <v>20730</v>
      </c>
      <c r="E179" s="23">
        <f t="shared" ca="1" si="21"/>
        <v>0</v>
      </c>
      <c r="F179" s="23">
        <f t="shared" si="26"/>
        <v>168</v>
      </c>
      <c r="G179" s="23">
        <f t="shared" ca="1" si="27"/>
        <v>0</v>
      </c>
      <c r="H179" s="23">
        <f t="shared" ca="1" si="22"/>
        <v>298</v>
      </c>
      <c r="I179" s="23">
        <f t="shared" ca="1" si="23"/>
        <v>20730</v>
      </c>
    </row>
    <row r="180" spans="2:9">
      <c r="B180" s="23">
        <f t="shared" ca="1" si="24"/>
        <v>228</v>
      </c>
      <c r="C180" s="23">
        <f t="shared" ca="1" si="25"/>
        <v>228</v>
      </c>
      <c r="D180" s="23">
        <f t="shared" ca="1" si="20"/>
        <v>11280</v>
      </c>
      <c r="E180" s="23">
        <f t="shared" ca="1" si="21"/>
        <v>0</v>
      </c>
      <c r="F180" s="23">
        <f t="shared" si="26"/>
        <v>168</v>
      </c>
      <c r="G180" s="23">
        <f t="shared" ca="1" si="27"/>
        <v>0</v>
      </c>
      <c r="H180" s="23">
        <f t="shared" ca="1" si="22"/>
        <v>228</v>
      </c>
      <c r="I180" s="23">
        <f t="shared" ca="1" si="23"/>
        <v>11280</v>
      </c>
    </row>
    <row r="181" spans="2:9">
      <c r="B181" s="23">
        <f t="shared" ca="1" si="24"/>
        <v>276</v>
      </c>
      <c r="C181" s="23">
        <f t="shared" ca="1" si="25"/>
        <v>276</v>
      </c>
      <c r="D181" s="23">
        <f t="shared" ca="1" si="20"/>
        <v>17760</v>
      </c>
      <c r="E181" s="23">
        <f t="shared" ca="1" si="21"/>
        <v>0</v>
      </c>
      <c r="F181" s="23">
        <f t="shared" si="26"/>
        <v>168</v>
      </c>
      <c r="G181" s="23">
        <f t="shared" ca="1" si="27"/>
        <v>0</v>
      </c>
      <c r="H181" s="23">
        <f t="shared" ca="1" si="22"/>
        <v>276</v>
      </c>
      <c r="I181" s="23">
        <f t="shared" ca="1" si="23"/>
        <v>17760</v>
      </c>
    </row>
    <row r="182" spans="2:9">
      <c r="B182" s="23">
        <f t="shared" ca="1" si="24"/>
        <v>364</v>
      </c>
      <c r="C182" s="23">
        <f t="shared" ca="1" si="25"/>
        <v>300</v>
      </c>
      <c r="D182" s="23">
        <f t="shared" ca="1" si="20"/>
        <v>21000</v>
      </c>
      <c r="E182" s="23">
        <f t="shared" ca="1" si="21"/>
        <v>64</v>
      </c>
      <c r="F182" s="23">
        <f t="shared" si="26"/>
        <v>168</v>
      </c>
      <c r="G182" s="23">
        <f t="shared" ca="1" si="27"/>
        <v>64</v>
      </c>
      <c r="H182" s="23">
        <f t="shared" ca="1" si="22"/>
        <v>364</v>
      </c>
      <c r="I182" s="23">
        <f t="shared" ca="1" si="23"/>
        <v>23560</v>
      </c>
    </row>
    <row r="183" spans="2:9">
      <c r="B183" s="23">
        <f t="shared" ca="1" si="24"/>
        <v>467</v>
      </c>
      <c r="C183" s="23">
        <f t="shared" ca="1" si="25"/>
        <v>300</v>
      </c>
      <c r="D183" s="23">
        <f t="shared" ca="1" si="20"/>
        <v>21000</v>
      </c>
      <c r="E183" s="23">
        <f t="shared" ca="1" si="21"/>
        <v>167</v>
      </c>
      <c r="F183" s="23">
        <f t="shared" si="26"/>
        <v>168</v>
      </c>
      <c r="G183" s="23">
        <f t="shared" ca="1" si="27"/>
        <v>167</v>
      </c>
      <c r="H183" s="23">
        <f t="shared" ca="1" si="22"/>
        <v>467</v>
      </c>
      <c r="I183" s="23">
        <f t="shared" ca="1" si="23"/>
        <v>27680</v>
      </c>
    </row>
    <row r="184" spans="2:9">
      <c r="B184" s="23">
        <f t="shared" ca="1" si="24"/>
        <v>300</v>
      </c>
      <c r="C184" s="23">
        <f t="shared" ca="1" si="25"/>
        <v>300</v>
      </c>
      <c r="D184" s="23">
        <f t="shared" ca="1" si="20"/>
        <v>21000</v>
      </c>
      <c r="E184" s="23">
        <f t="shared" ca="1" si="21"/>
        <v>0</v>
      </c>
      <c r="F184" s="23">
        <f t="shared" si="26"/>
        <v>168</v>
      </c>
      <c r="G184" s="23">
        <f t="shared" ca="1" si="27"/>
        <v>0</v>
      </c>
      <c r="H184" s="23">
        <f t="shared" ca="1" si="22"/>
        <v>300</v>
      </c>
      <c r="I184" s="23">
        <f t="shared" ca="1" si="23"/>
        <v>21000</v>
      </c>
    </row>
    <row r="185" spans="2:9">
      <c r="B185" s="23">
        <f t="shared" ca="1" si="24"/>
        <v>310</v>
      </c>
      <c r="C185" s="23">
        <f t="shared" ca="1" si="25"/>
        <v>300</v>
      </c>
      <c r="D185" s="23">
        <f t="shared" ca="1" si="20"/>
        <v>21000</v>
      </c>
      <c r="E185" s="23">
        <f t="shared" ca="1" si="21"/>
        <v>10</v>
      </c>
      <c r="F185" s="23">
        <f t="shared" si="26"/>
        <v>168</v>
      </c>
      <c r="G185" s="23">
        <f t="shared" ca="1" si="27"/>
        <v>10</v>
      </c>
      <c r="H185" s="23">
        <f t="shared" ca="1" si="22"/>
        <v>310</v>
      </c>
      <c r="I185" s="23">
        <f t="shared" ca="1" si="23"/>
        <v>21400</v>
      </c>
    </row>
    <row r="186" spans="2:9">
      <c r="B186" s="23">
        <f t="shared" ca="1" si="24"/>
        <v>226</v>
      </c>
      <c r="C186" s="23">
        <f t="shared" ca="1" si="25"/>
        <v>226</v>
      </c>
      <c r="D186" s="23">
        <f t="shared" ca="1" si="20"/>
        <v>11010</v>
      </c>
      <c r="E186" s="23">
        <f t="shared" ca="1" si="21"/>
        <v>0</v>
      </c>
      <c r="F186" s="23">
        <f t="shared" si="26"/>
        <v>168</v>
      </c>
      <c r="G186" s="23">
        <f t="shared" ca="1" si="27"/>
        <v>0</v>
      </c>
      <c r="H186" s="23">
        <f t="shared" ca="1" si="22"/>
        <v>226</v>
      </c>
      <c r="I186" s="23">
        <f t="shared" ca="1" si="23"/>
        <v>11010</v>
      </c>
    </row>
    <row r="187" spans="2:9">
      <c r="B187" s="23">
        <f t="shared" ca="1" si="24"/>
        <v>374</v>
      </c>
      <c r="C187" s="23">
        <f t="shared" ca="1" si="25"/>
        <v>300</v>
      </c>
      <c r="D187" s="23">
        <f t="shared" ca="1" si="20"/>
        <v>21000</v>
      </c>
      <c r="E187" s="23">
        <f t="shared" ca="1" si="21"/>
        <v>74</v>
      </c>
      <c r="F187" s="23">
        <f t="shared" si="26"/>
        <v>168</v>
      </c>
      <c r="G187" s="23">
        <f t="shared" ca="1" si="27"/>
        <v>74</v>
      </c>
      <c r="H187" s="23">
        <f t="shared" ca="1" si="22"/>
        <v>374</v>
      </c>
      <c r="I187" s="23">
        <f t="shared" ca="1" si="23"/>
        <v>23960</v>
      </c>
    </row>
    <row r="188" spans="2:9">
      <c r="B188" s="23">
        <f t="shared" ca="1" si="24"/>
        <v>145</v>
      </c>
      <c r="C188" s="23">
        <f t="shared" ca="1" si="25"/>
        <v>145</v>
      </c>
      <c r="D188" s="23">
        <f t="shared" ca="1" si="20"/>
        <v>75</v>
      </c>
      <c r="E188" s="23">
        <f t="shared" ca="1" si="21"/>
        <v>0</v>
      </c>
      <c r="F188" s="23">
        <f t="shared" si="26"/>
        <v>168</v>
      </c>
      <c r="G188" s="23">
        <f t="shared" ca="1" si="27"/>
        <v>0</v>
      </c>
      <c r="H188" s="23">
        <f t="shared" ca="1" si="22"/>
        <v>145</v>
      </c>
      <c r="I188" s="23">
        <f t="shared" ca="1" si="23"/>
        <v>75</v>
      </c>
    </row>
    <row r="189" spans="2:9">
      <c r="B189" s="23">
        <f t="shared" ca="1" si="24"/>
        <v>426</v>
      </c>
      <c r="C189" s="23">
        <f t="shared" ca="1" si="25"/>
        <v>300</v>
      </c>
      <c r="D189" s="23">
        <f t="shared" ca="1" si="20"/>
        <v>21000</v>
      </c>
      <c r="E189" s="23">
        <f t="shared" ca="1" si="21"/>
        <v>126</v>
      </c>
      <c r="F189" s="23">
        <f t="shared" si="26"/>
        <v>168</v>
      </c>
      <c r="G189" s="23">
        <f t="shared" ca="1" si="27"/>
        <v>126</v>
      </c>
      <c r="H189" s="23">
        <f t="shared" ca="1" si="22"/>
        <v>426</v>
      </c>
      <c r="I189" s="23">
        <f t="shared" ca="1" si="23"/>
        <v>26040</v>
      </c>
    </row>
    <row r="190" spans="2:9">
      <c r="B190" s="23">
        <f t="shared" ca="1" si="24"/>
        <v>379</v>
      </c>
      <c r="C190" s="23">
        <f t="shared" ca="1" si="25"/>
        <v>300</v>
      </c>
      <c r="D190" s="23">
        <f t="shared" ca="1" si="20"/>
        <v>21000</v>
      </c>
      <c r="E190" s="23">
        <f t="shared" ca="1" si="21"/>
        <v>79</v>
      </c>
      <c r="F190" s="23">
        <f t="shared" si="26"/>
        <v>168</v>
      </c>
      <c r="G190" s="23">
        <f t="shared" ca="1" si="27"/>
        <v>79</v>
      </c>
      <c r="H190" s="23">
        <f t="shared" ca="1" si="22"/>
        <v>379</v>
      </c>
      <c r="I190" s="23">
        <f t="shared" ca="1" si="23"/>
        <v>24160</v>
      </c>
    </row>
    <row r="191" spans="2:9">
      <c r="B191" s="23">
        <f t="shared" ca="1" si="24"/>
        <v>89</v>
      </c>
      <c r="C191" s="23">
        <f t="shared" ca="1" si="25"/>
        <v>89</v>
      </c>
      <c r="D191" s="23">
        <f t="shared" ca="1" si="20"/>
        <v>-7485</v>
      </c>
      <c r="E191" s="23">
        <f t="shared" ca="1" si="21"/>
        <v>0</v>
      </c>
      <c r="F191" s="23">
        <f t="shared" si="26"/>
        <v>168</v>
      </c>
      <c r="G191" s="23">
        <f t="shared" ca="1" si="27"/>
        <v>0</v>
      </c>
      <c r="H191" s="23">
        <f t="shared" ca="1" si="22"/>
        <v>89</v>
      </c>
      <c r="I191" s="23">
        <f t="shared" ca="1" si="23"/>
        <v>-7485</v>
      </c>
    </row>
    <row r="192" spans="2:9">
      <c r="B192" s="23">
        <f t="shared" ca="1" si="24"/>
        <v>204</v>
      </c>
      <c r="C192" s="23">
        <f t="shared" ca="1" si="25"/>
        <v>204</v>
      </c>
      <c r="D192" s="23">
        <f t="shared" ca="1" si="20"/>
        <v>8040</v>
      </c>
      <c r="E192" s="23">
        <f t="shared" ca="1" si="21"/>
        <v>0</v>
      </c>
      <c r="F192" s="23">
        <f t="shared" si="26"/>
        <v>168</v>
      </c>
      <c r="G192" s="23">
        <f t="shared" ca="1" si="27"/>
        <v>0</v>
      </c>
      <c r="H192" s="23">
        <f t="shared" ca="1" si="22"/>
        <v>204</v>
      </c>
      <c r="I192" s="23">
        <f t="shared" ca="1" si="23"/>
        <v>8040</v>
      </c>
    </row>
    <row r="193" spans="2:9">
      <c r="B193" s="23">
        <f t="shared" ca="1" si="24"/>
        <v>303</v>
      </c>
      <c r="C193" s="23">
        <f t="shared" ca="1" si="25"/>
        <v>300</v>
      </c>
      <c r="D193" s="23">
        <f t="shared" ca="1" si="20"/>
        <v>21000</v>
      </c>
      <c r="E193" s="23">
        <f t="shared" ca="1" si="21"/>
        <v>3</v>
      </c>
      <c r="F193" s="23">
        <f t="shared" si="26"/>
        <v>168</v>
      </c>
      <c r="G193" s="23">
        <f t="shared" ca="1" si="27"/>
        <v>3</v>
      </c>
      <c r="H193" s="23">
        <f t="shared" ca="1" si="22"/>
        <v>303</v>
      </c>
      <c r="I193" s="23">
        <f t="shared" ca="1" si="23"/>
        <v>21120</v>
      </c>
    </row>
    <row r="194" spans="2:9">
      <c r="B194" s="23">
        <f t="shared" ca="1" si="24"/>
        <v>287</v>
      </c>
      <c r="C194" s="23">
        <f t="shared" ca="1" si="25"/>
        <v>287</v>
      </c>
      <c r="D194" s="23">
        <f t="shared" ca="1" si="20"/>
        <v>19245</v>
      </c>
      <c r="E194" s="23">
        <f t="shared" ca="1" si="21"/>
        <v>0</v>
      </c>
      <c r="F194" s="23">
        <f t="shared" si="26"/>
        <v>168</v>
      </c>
      <c r="G194" s="23">
        <f t="shared" ca="1" si="27"/>
        <v>0</v>
      </c>
      <c r="H194" s="23">
        <f t="shared" ca="1" si="22"/>
        <v>287</v>
      </c>
      <c r="I194" s="23">
        <f t="shared" ca="1" si="23"/>
        <v>19245</v>
      </c>
    </row>
    <row r="195" spans="2:9">
      <c r="B195" s="23">
        <f t="shared" ca="1" si="24"/>
        <v>269</v>
      </c>
      <c r="C195" s="23">
        <f t="shared" ca="1" si="25"/>
        <v>269</v>
      </c>
      <c r="D195" s="23">
        <f t="shared" ca="1" si="20"/>
        <v>16815</v>
      </c>
      <c r="E195" s="23">
        <f t="shared" ca="1" si="21"/>
        <v>0</v>
      </c>
      <c r="F195" s="23">
        <f t="shared" si="26"/>
        <v>168</v>
      </c>
      <c r="G195" s="23">
        <f t="shared" ca="1" si="27"/>
        <v>0</v>
      </c>
      <c r="H195" s="23">
        <f t="shared" ca="1" si="22"/>
        <v>269</v>
      </c>
      <c r="I195" s="23">
        <f t="shared" ca="1" si="23"/>
        <v>16815</v>
      </c>
    </row>
    <row r="196" spans="2:9">
      <c r="B196" s="23">
        <f t="shared" ca="1" si="24"/>
        <v>368</v>
      </c>
      <c r="C196" s="23">
        <f t="shared" ca="1" si="25"/>
        <v>300</v>
      </c>
      <c r="D196" s="23">
        <f t="shared" ca="1" si="20"/>
        <v>21000</v>
      </c>
      <c r="E196" s="23">
        <f t="shared" ca="1" si="21"/>
        <v>68</v>
      </c>
      <c r="F196" s="23">
        <f t="shared" si="26"/>
        <v>168</v>
      </c>
      <c r="G196" s="23">
        <f t="shared" ca="1" si="27"/>
        <v>68</v>
      </c>
      <c r="H196" s="23">
        <f t="shared" ca="1" si="22"/>
        <v>368</v>
      </c>
      <c r="I196" s="23">
        <f t="shared" ca="1" si="23"/>
        <v>23720</v>
      </c>
    </row>
    <row r="197" spans="2:9">
      <c r="B197" s="23">
        <f t="shared" ca="1" si="24"/>
        <v>364</v>
      </c>
      <c r="C197" s="23">
        <f t="shared" ca="1" si="25"/>
        <v>300</v>
      </c>
      <c r="D197" s="23">
        <f t="shared" ca="1" si="20"/>
        <v>21000</v>
      </c>
      <c r="E197" s="23">
        <f t="shared" ca="1" si="21"/>
        <v>64</v>
      </c>
      <c r="F197" s="23">
        <f t="shared" si="26"/>
        <v>168</v>
      </c>
      <c r="G197" s="23">
        <f t="shared" ca="1" si="27"/>
        <v>64</v>
      </c>
      <c r="H197" s="23">
        <f t="shared" ca="1" si="22"/>
        <v>364</v>
      </c>
      <c r="I197" s="23">
        <f t="shared" ca="1" si="23"/>
        <v>23560</v>
      </c>
    </row>
    <row r="198" spans="2:9">
      <c r="B198" s="23">
        <f t="shared" ca="1" si="24"/>
        <v>158</v>
      </c>
      <c r="C198" s="23">
        <f t="shared" ca="1" si="25"/>
        <v>158</v>
      </c>
      <c r="D198" s="23">
        <f t="shared" ca="1" si="20"/>
        <v>1830</v>
      </c>
      <c r="E198" s="23">
        <f t="shared" ca="1" si="21"/>
        <v>0</v>
      </c>
      <c r="F198" s="23">
        <f t="shared" si="26"/>
        <v>168</v>
      </c>
      <c r="G198" s="23">
        <f t="shared" ca="1" si="27"/>
        <v>0</v>
      </c>
      <c r="H198" s="23">
        <f t="shared" ca="1" si="22"/>
        <v>158</v>
      </c>
      <c r="I198" s="23">
        <f t="shared" ca="1" si="23"/>
        <v>1830</v>
      </c>
    </row>
    <row r="199" spans="2:9">
      <c r="B199" s="23">
        <f t="shared" ca="1" si="24"/>
        <v>446</v>
      </c>
      <c r="C199" s="23">
        <f t="shared" ca="1" si="25"/>
        <v>300</v>
      </c>
      <c r="D199" s="23">
        <f t="shared" ca="1" si="20"/>
        <v>21000</v>
      </c>
      <c r="E199" s="23">
        <f t="shared" ca="1" si="21"/>
        <v>146</v>
      </c>
      <c r="F199" s="23">
        <f t="shared" si="26"/>
        <v>168</v>
      </c>
      <c r="G199" s="23">
        <f t="shared" ca="1" si="27"/>
        <v>146</v>
      </c>
      <c r="H199" s="23">
        <f t="shared" ca="1" si="22"/>
        <v>446</v>
      </c>
      <c r="I199" s="23">
        <f t="shared" ca="1" si="23"/>
        <v>26840</v>
      </c>
    </row>
    <row r="200" spans="2:9">
      <c r="B200" s="23">
        <f t="shared" ca="1" si="24"/>
        <v>164</v>
      </c>
      <c r="C200" s="23">
        <f t="shared" ca="1" si="25"/>
        <v>164</v>
      </c>
      <c r="D200" s="23">
        <f t="shared" ca="1" si="20"/>
        <v>2640</v>
      </c>
      <c r="E200" s="23">
        <f t="shared" ca="1" si="21"/>
        <v>0</v>
      </c>
      <c r="F200" s="23">
        <f t="shared" si="26"/>
        <v>168</v>
      </c>
      <c r="G200" s="23">
        <f t="shared" ca="1" si="27"/>
        <v>0</v>
      </c>
      <c r="H200" s="23">
        <f t="shared" ca="1" si="22"/>
        <v>164</v>
      </c>
      <c r="I200" s="23">
        <f t="shared" ca="1" si="23"/>
        <v>2640</v>
      </c>
    </row>
    <row r="201" spans="2:9">
      <c r="B201" s="23">
        <f t="shared" ca="1" si="24"/>
        <v>474</v>
      </c>
      <c r="C201" s="23">
        <f t="shared" ca="1" si="25"/>
        <v>300</v>
      </c>
      <c r="D201" s="23">
        <f t="shared" ca="1" si="20"/>
        <v>21000</v>
      </c>
      <c r="E201" s="23">
        <f t="shared" ca="1" si="21"/>
        <v>174</v>
      </c>
      <c r="F201" s="23">
        <f t="shared" si="26"/>
        <v>168</v>
      </c>
      <c r="G201" s="23">
        <f t="shared" ca="1" si="27"/>
        <v>168</v>
      </c>
      <c r="H201" s="23">
        <f t="shared" ca="1" si="22"/>
        <v>468</v>
      </c>
      <c r="I201" s="23">
        <f t="shared" ca="1" si="23"/>
        <v>27720</v>
      </c>
    </row>
    <row r="202" spans="2:9">
      <c r="B202" s="23">
        <f t="shared" ca="1" si="24"/>
        <v>486</v>
      </c>
      <c r="C202" s="23">
        <f t="shared" ca="1" si="25"/>
        <v>300</v>
      </c>
      <c r="D202" s="23">
        <f t="shared" ca="1" si="20"/>
        <v>21000</v>
      </c>
      <c r="E202" s="23">
        <f t="shared" ca="1" si="21"/>
        <v>186</v>
      </c>
      <c r="F202" s="23">
        <f t="shared" si="26"/>
        <v>168</v>
      </c>
      <c r="G202" s="23">
        <f t="shared" ca="1" si="27"/>
        <v>168</v>
      </c>
      <c r="H202" s="23">
        <f t="shared" ca="1" si="22"/>
        <v>468</v>
      </c>
      <c r="I202" s="23">
        <f t="shared" ca="1" si="23"/>
        <v>27720</v>
      </c>
    </row>
    <row r="203" spans="2:9">
      <c r="B203" s="23">
        <f t="shared" ca="1" si="24"/>
        <v>354</v>
      </c>
      <c r="C203" s="23">
        <f t="shared" ca="1" si="25"/>
        <v>300</v>
      </c>
      <c r="D203" s="23">
        <f t="shared" ca="1" si="20"/>
        <v>21000</v>
      </c>
      <c r="E203" s="23">
        <f t="shared" ca="1" si="21"/>
        <v>54</v>
      </c>
      <c r="F203" s="23">
        <f t="shared" si="26"/>
        <v>168</v>
      </c>
      <c r="G203" s="23">
        <f t="shared" ca="1" si="27"/>
        <v>54</v>
      </c>
      <c r="H203" s="23">
        <f t="shared" ca="1" si="22"/>
        <v>354</v>
      </c>
      <c r="I203" s="23">
        <f t="shared" ca="1" si="23"/>
        <v>23160</v>
      </c>
    </row>
    <row r="204" spans="2:9">
      <c r="B204" s="23">
        <f t="shared" ca="1" si="24"/>
        <v>331</v>
      </c>
      <c r="C204" s="23">
        <f t="shared" ca="1" si="25"/>
        <v>300</v>
      </c>
      <c r="D204" s="23">
        <f t="shared" ref="D204:D267" ca="1" si="28">C204*$B$3-$D$8*$B$2</f>
        <v>21000</v>
      </c>
      <c r="E204" s="23">
        <f t="shared" ref="E204:E267" ca="1" si="29">MAX(0, B204-$D$8)</f>
        <v>31</v>
      </c>
      <c r="F204" s="23">
        <f t="shared" si="26"/>
        <v>168</v>
      </c>
      <c r="G204" s="23">
        <f t="shared" ca="1" si="27"/>
        <v>31</v>
      </c>
      <c r="H204" s="23">
        <f t="shared" ref="H204:H267" ca="1" si="30">MIN(B204, $D$8+G204)</f>
        <v>331</v>
      </c>
      <c r="I204" s="23">
        <f t="shared" ref="I204:I267" ca="1" si="31">H204*$B$3-$D$8*$B$2-$B$1*G204</f>
        <v>22240</v>
      </c>
    </row>
    <row r="205" spans="2:9">
      <c r="B205" s="23">
        <f t="shared" ref="B205:B268" ca="1" si="32">_xlfn.FLOOR.MATH(_xlfn.NORM.INV(RAND(),$B$4,$B$5))</f>
        <v>350</v>
      </c>
      <c r="C205" s="23">
        <f t="shared" ref="C205:C268" ca="1" si="33">MIN(B205,$D$8)</f>
        <v>300</v>
      </c>
      <c r="D205" s="23">
        <f t="shared" ca="1" si="28"/>
        <v>21000</v>
      </c>
      <c r="E205" s="23">
        <f t="shared" ca="1" si="29"/>
        <v>50</v>
      </c>
      <c r="F205" s="23">
        <f t="shared" ref="F205:F268" si="34">12*(21-7)</f>
        <v>168</v>
      </c>
      <c r="G205" s="23">
        <f t="shared" ca="1" si="27"/>
        <v>50</v>
      </c>
      <c r="H205" s="23">
        <f t="shared" ca="1" si="30"/>
        <v>350</v>
      </c>
      <c r="I205" s="23">
        <f t="shared" ca="1" si="31"/>
        <v>23000</v>
      </c>
    </row>
    <row r="206" spans="2:9">
      <c r="B206" s="23">
        <f t="shared" ca="1" si="32"/>
        <v>329</v>
      </c>
      <c r="C206" s="23">
        <f t="shared" ca="1" si="33"/>
        <v>300</v>
      </c>
      <c r="D206" s="23">
        <f t="shared" ca="1" si="28"/>
        <v>21000</v>
      </c>
      <c r="E206" s="23">
        <f t="shared" ca="1" si="29"/>
        <v>29</v>
      </c>
      <c r="F206" s="23">
        <f t="shared" si="34"/>
        <v>168</v>
      </c>
      <c r="G206" s="23">
        <f t="shared" ca="1" si="27"/>
        <v>29</v>
      </c>
      <c r="H206" s="23">
        <f t="shared" ca="1" si="30"/>
        <v>329</v>
      </c>
      <c r="I206" s="23">
        <f t="shared" ca="1" si="31"/>
        <v>22160</v>
      </c>
    </row>
    <row r="207" spans="2:9">
      <c r="B207" s="23">
        <f t="shared" ca="1" si="32"/>
        <v>194</v>
      </c>
      <c r="C207" s="23">
        <f t="shared" ca="1" si="33"/>
        <v>194</v>
      </c>
      <c r="D207" s="23">
        <f t="shared" ca="1" si="28"/>
        <v>6690</v>
      </c>
      <c r="E207" s="23">
        <f t="shared" ca="1" si="29"/>
        <v>0</v>
      </c>
      <c r="F207" s="23">
        <f t="shared" si="34"/>
        <v>168</v>
      </c>
      <c r="G207" s="23">
        <f t="shared" ca="1" si="27"/>
        <v>0</v>
      </c>
      <c r="H207" s="23">
        <f t="shared" ca="1" si="30"/>
        <v>194</v>
      </c>
      <c r="I207" s="23">
        <f t="shared" ca="1" si="31"/>
        <v>6690</v>
      </c>
    </row>
    <row r="208" spans="2:9">
      <c r="B208" s="23">
        <f t="shared" ca="1" si="32"/>
        <v>159</v>
      </c>
      <c r="C208" s="23">
        <f t="shared" ca="1" si="33"/>
        <v>159</v>
      </c>
      <c r="D208" s="23">
        <f t="shared" ca="1" si="28"/>
        <v>1965</v>
      </c>
      <c r="E208" s="23">
        <f t="shared" ca="1" si="29"/>
        <v>0</v>
      </c>
      <c r="F208" s="23">
        <f t="shared" si="34"/>
        <v>168</v>
      </c>
      <c r="G208" s="23">
        <f t="shared" ref="G208:G271" ca="1" si="35">MIN(E208,F208)</f>
        <v>0</v>
      </c>
      <c r="H208" s="23">
        <f t="shared" ca="1" si="30"/>
        <v>159</v>
      </c>
      <c r="I208" s="23">
        <f t="shared" ca="1" si="31"/>
        <v>1965</v>
      </c>
    </row>
    <row r="209" spans="2:9">
      <c r="B209" s="23">
        <f t="shared" ca="1" si="32"/>
        <v>279</v>
      </c>
      <c r="C209" s="23">
        <f t="shared" ca="1" si="33"/>
        <v>279</v>
      </c>
      <c r="D209" s="23">
        <f t="shared" ca="1" si="28"/>
        <v>18165</v>
      </c>
      <c r="E209" s="23">
        <f t="shared" ca="1" si="29"/>
        <v>0</v>
      </c>
      <c r="F209" s="23">
        <f t="shared" si="34"/>
        <v>168</v>
      </c>
      <c r="G209" s="23">
        <f t="shared" ca="1" si="35"/>
        <v>0</v>
      </c>
      <c r="H209" s="23">
        <f t="shared" ca="1" si="30"/>
        <v>279</v>
      </c>
      <c r="I209" s="23">
        <f t="shared" ca="1" si="31"/>
        <v>18165</v>
      </c>
    </row>
    <row r="210" spans="2:9">
      <c r="B210" s="23">
        <f t="shared" ca="1" si="32"/>
        <v>343</v>
      </c>
      <c r="C210" s="23">
        <f t="shared" ca="1" si="33"/>
        <v>300</v>
      </c>
      <c r="D210" s="23">
        <f t="shared" ca="1" si="28"/>
        <v>21000</v>
      </c>
      <c r="E210" s="23">
        <f t="shared" ca="1" si="29"/>
        <v>43</v>
      </c>
      <c r="F210" s="23">
        <f t="shared" si="34"/>
        <v>168</v>
      </c>
      <c r="G210" s="23">
        <f t="shared" ca="1" si="35"/>
        <v>43</v>
      </c>
      <c r="H210" s="23">
        <f t="shared" ca="1" si="30"/>
        <v>343</v>
      </c>
      <c r="I210" s="23">
        <f t="shared" ca="1" si="31"/>
        <v>22720</v>
      </c>
    </row>
    <row r="211" spans="2:9">
      <c r="B211" s="23">
        <f t="shared" ca="1" si="32"/>
        <v>277</v>
      </c>
      <c r="C211" s="23">
        <f t="shared" ca="1" si="33"/>
        <v>277</v>
      </c>
      <c r="D211" s="23">
        <f t="shared" ca="1" si="28"/>
        <v>17895</v>
      </c>
      <c r="E211" s="23">
        <f t="shared" ca="1" si="29"/>
        <v>0</v>
      </c>
      <c r="F211" s="23">
        <f t="shared" si="34"/>
        <v>168</v>
      </c>
      <c r="G211" s="23">
        <f t="shared" ca="1" si="35"/>
        <v>0</v>
      </c>
      <c r="H211" s="23">
        <f t="shared" ca="1" si="30"/>
        <v>277</v>
      </c>
      <c r="I211" s="23">
        <f t="shared" ca="1" si="31"/>
        <v>17895</v>
      </c>
    </row>
    <row r="212" spans="2:9">
      <c r="B212" s="23">
        <f t="shared" ca="1" si="32"/>
        <v>266</v>
      </c>
      <c r="C212" s="23">
        <f t="shared" ca="1" si="33"/>
        <v>266</v>
      </c>
      <c r="D212" s="23">
        <f t="shared" ca="1" si="28"/>
        <v>16410</v>
      </c>
      <c r="E212" s="23">
        <f t="shared" ca="1" si="29"/>
        <v>0</v>
      </c>
      <c r="F212" s="23">
        <f t="shared" si="34"/>
        <v>168</v>
      </c>
      <c r="G212" s="23">
        <f t="shared" ca="1" si="35"/>
        <v>0</v>
      </c>
      <c r="H212" s="23">
        <f t="shared" ca="1" si="30"/>
        <v>266</v>
      </c>
      <c r="I212" s="23">
        <f t="shared" ca="1" si="31"/>
        <v>16410</v>
      </c>
    </row>
    <row r="213" spans="2:9">
      <c r="B213" s="23">
        <f t="shared" ca="1" si="32"/>
        <v>337</v>
      </c>
      <c r="C213" s="23">
        <f t="shared" ca="1" si="33"/>
        <v>300</v>
      </c>
      <c r="D213" s="23">
        <f t="shared" ca="1" si="28"/>
        <v>21000</v>
      </c>
      <c r="E213" s="23">
        <f t="shared" ca="1" si="29"/>
        <v>37</v>
      </c>
      <c r="F213" s="23">
        <f t="shared" si="34"/>
        <v>168</v>
      </c>
      <c r="G213" s="23">
        <f t="shared" ca="1" si="35"/>
        <v>37</v>
      </c>
      <c r="H213" s="23">
        <f t="shared" ca="1" si="30"/>
        <v>337</v>
      </c>
      <c r="I213" s="23">
        <f t="shared" ca="1" si="31"/>
        <v>22480</v>
      </c>
    </row>
    <row r="214" spans="2:9">
      <c r="B214" s="23">
        <f t="shared" ca="1" si="32"/>
        <v>459</v>
      </c>
      <c r="C214" s="23">
        <f t="shared" ca="1" si="33"/>
        <v>300</v>
      </c>
      <c r="D214" s="23">
        <f t="shared" ca="1" si="28"/>
        <v>21000</v>
      </c>
      <c r="E214" s="23">
        <f t="shared" ca="1" si="29"/>
        <v>159</v>
      </c>
      <c r="F214" s="23">
        <f t="shared" si="34"/>
        <v>168</v>
      </c>
      <c r="G214" s="23">
        <f t="shared" ca="1" si="35"/>
        <v>159</v>
      </c>
      <c r="H214" s="23">
        <f t="shared" ca="1" si="30"/>
        <v>459</v>
      </c>
      <c r="I214" s="23">
        <f t="shared" ca="1" si="31"/>
        <v>27360</v>
      </c>
    </row>
    <row r="215" spans="2:9">
      <c r="B215" s="23">
        <f t="shared" ca="1" si="32"/>
        <v>311</v>
      </c>
      <c r="C215" s="23">
        <f t="shared" ca="1" si="33"/>
        <v>300</v>
      </c>
      <c r="D215" s="23">
        <f t="shared" ca="1" si="28"/>
        <v>21000</v>
      </c>
      <c r="E215" s="23">
        <f t="shared" ca="1" si="29"/>
        <v>11</v>
      </c>
      <c r="F215" s="23">
        <f t="shared" si="34"/>
        <v>168</v>
      </c>
      <c r="G215" s="23">
        <f t="shared" ca="1" si="35"/>
        <v>11</v>
      </c>
      <c r="H215" s="23">
        <f t="shared" ca="1" si="30"/>
        <v>311</v>
      </c>
      <c r="I215" s="23">
        <f t="shared" ca="1" si="31"/>
        <v>21440</v>
      </c>
    </row>
    <row r="216" spans="2:9">
      <c r="B216" s="23">
        <f t="shared" ca="1" si="32"/>
        <v>273</v>
      </c>
      <c r="C216" s="23">
        <f t="shared" ca="1" si="33"/>
        <v>273</v>
      </c>
      <c r="D216" s="23">
        <f t="shared" ca="1" si="28"/>
        <v>17355</v>
      </c>
      <c r="E216" s="23">
        <f t="shared" ca="1" si="29"/>
        <v>0</v>
      </c>
      <c r="F216" s="23">
        <f t="shared" si="34"/>
        <v>168</v>
      </c>
      <c r="G216" s="23">
        <f t="shared" ca="1" si="35"/>
        <v>0</v>
      </c>
      <c r="H216" s="23">
        <f t="shared" ca="1" si="30"/>
        <v>273</v>
      </c>
      <c r="I216" s="23">
        <f t="shared" ca="1" si="31"/>
        <v>17355</v>
      </c>
    </row>
    <row r="217" spans="2:9">
      <c r="B217" s="23">
        <f t="shared" ca="1" si="32"/>
        <v>367</v>
      </c>
      <c r="C217" s="23">
        <f t="shared" ca="1" si="33"/>
        <v>300</v>
      </c>
      <c r="D217" s="23">
        <f t="shared" ca="1" si="28"/>
        <v>21000</v>
      </c>
      <c r="E217" s="23">
        <f t="shared" ca="1" si="29"/>
        <v>67</v>
      </c>
      <c r="F217" s="23">
        <f t="shared" si="34"/>
        <v>168</v>
      </c>
      <c r="G217" s="23">
        <f t="shared" ca="1" si="35"/>
        <v>67</v>
      </c>
      <c r="H217" s="23">
        <f t="shared" ca="1" si="30"/>
        <v>367</v>
      </c>
      <c r="I217" s="23">
        <f t="shared" ca="1" si="31"/>
        <v>23680</v>
      </c>
    </row>
    <row r="218" spans="2:9">
      <c r="B218" s="23">
        <f t="shared" ca="1" si="32"/>
        <v>260</v>
      </c>
      <c r="C218" s="23">
        <f t="shared" ca="1" si="33"/>
        <v>260</v>
      </c>
      <c r="D218" s="23">
        <f t="shared" ca="1" si="28"/>
        <v>15600</v>
      </c>
      <c r="E218" s="23">
        <f t="shared" ca="1" si="29"/>
        <v>0</v>
      </c>
      <c r="F218" s="23">
        <f t="shared" si="34"/>
        <v>168</v>
      </c>
      <c r="G218" s="23">
        <f t="shared" ca="1" si="35"/>
        <v>0</v>
      </c>
      <c r="H218" s="23">
        <f t="shared" ca="1" si="30"/>
        <v>260</v>
      </c>
      <c r="I218" s="23">
        <f t="shared" ca="1" si="31"/>
        <v>15600</v>
      </c>
    </row>
    <row r="219" spans="2:9">
      <c r="B219" s="23">
        <f t="shared" ca="1" si="32"/>
        <v>345</v>
      </c>
      <c r="C219" s="23">
        <f t="shared" ca="1" si="33"/>
        <v>300</v>
      </c>
      <c r="D219" s="23">
        <f t="shared" ca="1" si="28"/>
        <v>21000</v>
      </c>
      <c r="E219" s="23">
        <f t="shared" ca="1" si="29"/>
        <v>45</v>
      </c>
      <c r="F219" s="23">
        <f t="shared" si="34"/>
        <v>168</v>
      </c>
      <c r="G219" s="23">
        <f t="shared" ca="1" si="35"/>
        <v>45</v>
      </c>
      <c r="H219" s="23">
        <f t="shared" ca="1" si="30"/>
        <v>345</v>
      </c>
      <c r="I219" s="23">
        <f t="shared" ca="1" si="31"/>
        <v>22800</v>
      </c>
    </row>
    <row r="220" spans="2:9">
      <c r="B220" s="23">
        <f t="shared" ca="1" si="32"/>
        <v>272</v>
      </c>
      <c r="C220" s="23">
        <f t="shared" ca="1" si="33"/>
        <v>272</v>
      </c>
      <c r="D220" s="23">
        <f t="shared" ca="1" si="28"/>
        <v>17220</v>
      </c>
      <c r="E220" s="23">
        <f t="shared" ca="1" si="29"/>
        <v>0</v>
      </c>
      <c r="F220" s="23">
        <f t="shared" si="34"/>
        <v>168</v>
      </c>
      <c r="G220" s="23">
        <f t="shared" ca="1" si="35"/>
        <v>0</v>
      </c>
      <c r="H220" s="23">
        <f t="shared" ca="1" si="30"/>
        <v>272</v>
      </c>
      <c r="I220" s="23">
        <f t="shared" ca="1" si="31"/>
        <v>17220</v>
      </c>
    </row>
    <row r="221" spans="2:9">
      <c r="B221" s="23">
        <f t="shared" ca="1" si="32"/>
        <v>159</v>
      </c>
      <c r="C221" s="23">
        <f t="shared" ca="1" si="33"/>
        <v>159</v>
      </c>
      <c r="D221" s="23">
        <f t="shared" ca="1" si="28"/>
        <v>1965</v>
      </c>
      <c r="E221" s="23">
        <f t="shared" ca="1" si="29"/>
        <v>0</v>
      </c>
      <c r="F221" s="23">
        <f t="shared" si="34"/>
        <v>168</v>
      </c>
      <c r="G221" s="23">
        <f t="shared" ca="1" si="35"/>
        <v>0</v>
      </c>
      <c r="H221" s="23">
        <f t="shared" ca="1" si="30"/>
        <v>159</v>
      </c>
      <c r="I221" s="23">
        <f t="shared" ca="1" si="31"/>
        <v>1965</v>
      </c>
    </row>
    <row r="222" spans="2:9">
      <c r="B222" s="23">
        <f t="shared" ca="1" si="32"/>
        <v>249</v>
      </c>
      <c r="C222" s="23">
        <f t="shared" ca="1" si="33"/>
        <v>249</v>
      </c>
      <c r="D222" s="23">
        <f t="shared" ca="1" si="28"/>
        <v>14115</v>
      </c>
      <c r="E222" s="23">
        <f t="shared" ca="1" si="29"/>
        <v>0</v>
      </c>
      <c r="F222" s="23">
        <f t="shared" si="34"/>
        <v>168</v>
      </c>
      <c r="G222" s="23">
        <f t="shared" ca="1" si="35"/>
        <v>0</v>
      </c>
      <c r="H222" s="23">
        <f t="shared" ca="1" si="30"/>
        <v>249</v>
      </c>
      <c r="I222" s="23">
        <f t="shared" ca="1" si="31"/>
        <v>14115</v>
      </c>
    </row>
    <row r="223" spans="2:9">
      <c r="B223" s="23">
        <f t="shared" ca="1" si="32"/>
        <v>437</v>
      </c>
      <c r="C223" s="23">
        <f t="shared" ca="1" si="33"/>
        <v>300</v>
      </c>
      <c r="D223" s="23">
        <f t="shared" ca="1" si="28"/>
        <v>21000</v>
      </c>
      <c r="E223" s="23">
        <f t="shared" ca="1" si="29"/>
        <v>137</v>
      </c>
      <c r="F223" s="23">
        <f t="shared" si="34"/>
        <v>168</v>
      </c>
      <c r="G223" s="23">
        <f t="shared" ca="1" si="35"/>
        <v>137</v>
      </c>
      <c r="H223" s="23">
        <f t="shared" ca="1" si="30"/>
        <v>437</v>
      </c>
      <c r="I223" s="23">
        <f t="shared" ca="1" si="31"/>
        <v>26480</v>
      </c>
    </row>
    <row r="224" spans="2:9">
      <c r="B224" s="23">
        <f t="shared" ca="1" si="32"/>
        <v>216</v>
      </c>
      <c r="C224" s="23">
        <f t="shared" ca="1" si="33"/>
        <v>216</v>
      </c>
      <c r="D224" s="23">
        <f t="shared" ca="1" si="28"/>
        <v>9660</v>
      </c>
      <c r="E224" s="23">
        <f t="shared" ca="1" si="29"/>
        <v>0</v>
      </c>
      <c r="F224" s="23">
        <f t="shared" si="34"/>
        <v>168</v>
      </c>
      <c r="G224" s="23">
        <f t="shared" ca="1" si="35"/>
        <v>0</v>
      </c>
      <c r="H224" s="23">
        <f t="shared" ca="1" si="30"/>
        <v>216</v>
      </c>
      <c r="I224" s="23">
        <f t="shared" ca="1" si="31"/>
        <v>9660</v>
      </c>
    </row>
    <row r="225" spans="2:9">
      <c r="B225" s="23">
        <f t="shared" ca="1" si="32"/>
        <v>86</v>
      </c>
      <c r="C225" s="23">
        <f t="shared" ca="1" si="33"/>
        <v>86</v>
      </c>
      <c r="D225" s="23">
        <f t="shared" ca="1" si="28"/>
        <v>-7890</v>
      </c>
      <c r="E225" s="23">
        <f t="shared" ca="1" si="29"/>
        <v>0</v>
      </c>
      <c r="F225" s="23">
        <f t="shared" si="34"/>
        <v>168</v>
      </c>
      <c r="G225" s="23">
        <f t="shared" ca="1" si="35"/>
        <v>0</v>
      </c>
      <c r="H225" s="23">
        <f t="shared" ca="1" si="30"/>
        <v>86</v>
      </c>
      <c r="I225" s="23">
        <f t="shared" ca="1" si="31"/>
        <v>-7890</v>
      </c>
    </row>
    <row r="226" spans="2:9">
      <c r="B226" s="23">
        <f t="shared" ca="1" si="32"/>
        <v>391</v>
      </c>
      <c r="C226" s="23">
        <f t="shared" ca="1" si="33"/>
        <v>300</v>
      </c>
      <c r="D226" s="23">
        <f t="shared" ca="1" si="28"/>
        <v>21000</v>
      </c>
      <c r="E226" s="23">
        <f t="shared" ca="1" si="29"/>
        <v>91</v>
      </c>
      <c r="F226" s="23">
        <f t="shared" si="34"/>
        <v>168</v>
      </c>
      <c r="G226" s="23">
        <f t="shared" ca="1" si="35"/>
        <v>91</v>
      </c>
      <c r="H226" s="23">
        <f t="shared" ca="1" si="30"/>
        <v>391</v>
      </c>
      <c r="I226" s="23">
        <f t="shared" ca="1" si="31"/>
        <v>24640</v>
      </c>
    </row>
    <row r="227" spans="2:9">
      <c r="B227" s="23">
        <f t="shared" ca="1" si="32"/>
        <v>468</v>
      </c>
      <c r="C227" s="23">
        <f t="shared" ca="1" si="33"/>
        <v>300</v>
      </c>
      <c r="D227" s="23">
        <f t="shared" ca="1" si="28"/>
        <v>21000</v>
      </c>
      <c r="E227" s="23">
        <f t="shared" ca="1" si="29"/>
        <v>168</v>
      </c>
      <c r="F227" s="23">
        <f t="shared" si="34"/>
        <v>168</v>
      </c>
      <c r="G227" s="23">
        <f t="shared" ca="1" si="35"/>
        <v>168</v>
      </c>
      <c r="H227" s="23">
        <f t="shared" ca="1" si="30"/>
        <v>468</v>
      </c>
      <c r="I227" s="23">
        <f t="shared" ca="1" si="31"/>
        <v>27720</v>
      </c>
    </row>
    <row r="228" spans="2:9">
      <c r="B228" s="23">
        <f t="shared" ca="1" si="32"/>
        <v>221</v>
      </c>
      <c r="C228" s="23">
        <f t="shared" ca="1" si="33"/>
        <v>221</v>
      </c>
      <c r="D228" s="23">
        <f t="shared" ca="1" si="28"/>
        <v>10335</v>
      </c>
      <c r="E228" s="23">
        <f t="shared" ca="1" si="29"/>
        <v>0</v>
      </c>
      <c r="F228" s="23">
        <f t="shared" si="34"/>
        <v>168</v>
      </c>
      <c r="G228" s="23">
        <f t="shared" ca="1" si="35"/>
        <v>0</v>
      </c>
      <c r="H228" s="23">
        <f t="shared" ca="1" si="30"/>
        <v>221</v>
      </c>
      <c r="I228" s="23">
        <f t="shared" ca="1" si="31"/>
        <v>10335</v>
      </c>
    </row>
    <row r="229" spans="2:9">
      <c r="B229" s="23">
        <f t="shared" ca="1" si="32"/>
        <v>266</v>
      </c>
      <c r="C229" s="23">
        <f t="shared" ca="1" si="33"/>
        <v>266</v>
      </c>
      <c r="D229" s="23">
        <f t="shared" ca="1" si="28"/>
        <v>16410</v>
      </c>
      <c r="E229" s="23">
        <f t="shared" ca="1" si="29"/>
        <v>0</v>
      </c>
      <c r="F229" s="23">
        <f t="shared" si="34"/>
        <v>168</v>
      </c>
      <c r="G229" s="23">
        <f t="shared" ca="1" si="35"/>
        <v>0</v>
      </c>
      <c r="H229" s="23">
        <f t="shared" ca="1" si="30"/>
        <v>266</v>
      </c>
      <c r="I229" s="23">
        <f t="shared" ca="1" si="31"/>
        <v>16410</v>
      </c>
    </row>
    <row r="230" spans="2:9">
      <c r="B230" s="23">
        <f t="shared" ca="1" si="32"/>
        <v>316</v>
      </c>
      <c r="C230" s="23">
        <f t="shared" ca="1" si="33"/>
        <v>300</v>
      </c>
      <c r="D230" s="23">
        <f t="shared" ca="1" si="28"/>
        <v>21000</v>
      </c>
      <c r="E230" s="23">
        <f t="shared" ca="1" si="29"/>
        <v>16</v>
      </c>
      <c r="F230" s="23">
        <f t="shared" si="34"/>
        <v>168</v>
      </c>
      <c r="G230" s="23">
        <f t="shared" ca="1" si="35"/>
        <v>16</v>
      </c>
      <c r="H230" s="23">
        <f t="shared" ca="1" si="30"/>
        <v>316</v>
      </c>
      <c r="I230" s="23">
        <f t="shared" ca="1" si="31"/>
        <v>21640</v>
      </c>
    </row>
    <row r="231" spans="2:9">
      <c r="B231" s="23">
        <f t="shared" ca="1" si="32"/>
        <v>400</v>
      </c>
      <c r="C231" s="23">
        <f t="shared" ca="1" si="33"/>
        <v>300</v>
      </c>
      <c r="D231" s="23">
        <f t="shared" ca="1" si="28"/>
        <v>21000</v>
      </c>
      <c r="E231" s="23">
        <f t="shared" ca="1" si="29"/>
        <v>100</v>
      </c>
      <c r="F231" s="23">
        <f t="shared" si="34"/>
        <v>168</v>
      </c>
      <c r="G231" s="23">
        <f t="shared" ca="1" si="35"/>
        <v>100</v>
      </c>
      <c r="H231" s="23">
        <f t="shared" ca="1" si="30"/>
        <v>400</v>
      </c>
      <c r="I231" s="23">
        <f t="shared" ca="1" si="31"/>
        <v>25000</v>
      </c>
    </row>
    <row r="232" spans="2:9">
      <c r="B232" s="23">
        <f t="shared" ca="1" si="32"/>
        <v>15</v>
      </c>
      <c r="C232" s="23">
        <f t="shared" ca="1" si="33"/>
        <v>15</v>
      </c>
      <c r="D232" s="23">
        <f t="shared" ca="1" si="28"/>
        <v>-17475</v>
      </c>
      <c r="E232" s="23">
        <f t="shared" ca="1" si="29"/>
        <v>0</v>
      </c>
      <c r="F232" s="23">
        <f t="shared" si="34"/>
        <v>168</v>
      </c>
      <c r="G232" s="23">
        <f t="shared" ca="1" si="35"/>
        <v>0</v>
      </c>
      <c r="H232" s="23">
        <f t="shared" ca="1" si="30"/>
        <v>15</v>
      </c>
      <c r="I232" s="23">
        <f t="shared" ca="1" si="31"/>
        <v>-17475</v>
      </c>
    </row>
    <row r="233" spans="2:9">
      <c r="B233" s="23">
        <f t="shared" ca="1" si="32"/>
        <v>247</v>
      </c>
      <c r="C233" s="23">
        <f t="shared" ca="1" si="33"/>
        <v>247</v>
      </c>
      <c r="D233" s="23">
        <f t="shared" ca="1" si="28"/>
        <v>13845</v>
      </c>
      <c r="E233" s="23">
        <f t="shared" ca="1" si="29"/>
        <v>0</v>
      </c>
      <c r="F233" s="23">
        <f t="shared" si="34"/>
        <v>168</v>
      </c>
      <c r="G233" s="23">
        <f t="shared" ca="1" si="35"/>
        <v>0</v>
      </c>
      <c r="H233" s="23">
        <f t="shared" ca="1" si="30"/>
        <v>247</v>
      </c>
      <c r="I233" s="23">
        <f t="shared" ca="1" si="31"/>
        <v>13845</v>
      </c>
    </row>
    <row r="234" spans="2:9">
      <c r="B234" s="23">
        <f t="shared" ca="1" si="32"/>
        <v>312</v>
      </c>
      <c r="C234" s="23">
        <f t="shared" ca="1" si="33"/>
        <v>300</v>
      </c>
      <c r="D234" s="23">
        <f t="shared" ca="1" si="28"/>
        <v>21000</v>
      </c>
      <c r="E234" s="23">
        <f t="shared" ca="1" si="29"/>
        <v>12</v>
      </c>
      <c r="F234" s="23">
        <f t="shared" si="34"/>
        <v>168</v>
      </c>
      <c r="G234" s="23">
        <f t="shared" ca="1" si="35"/>
        <v>12</v>
      </c>
      <c r="H234" s="23">
        <f t="shared" ca="1" si="30"/>
        <v>312</v>
      </c>
      <c r="I234" s="23">
        <f t="shared" ca="1" si="31"/>
        <v>21480</v>
      </c>
    </row>
    <row r="235" spans="2:9">
      <c r="B235" s="23">
        <f t="shared" ca="1" si="32"/>
        <v>329</v>
      </c>
      <c r="C235" s="23">
        <f t="shared" ca="1" si="33"/>
        <v>300</v>
      </c>
      <c r="D235" s="23">
        <f t="shared" ca="1" si="28"/>
        <v>21000</v>
      </c>
      <c r="E235" s="23">
        <f t="shared" ca="1" si="29"/>
        <v>29</v>
      </c>
      <c r="F235" s="23">
        <f t="shared" si="34"/>
        <v>168</v>
      </c>
      <c r="G235" s="23">
        <f t="shared" ca="1" si="35"/>
        <v>29</v>
      </c>
      <c r="H235" s="23">
        <f t="shared" ca="1" si="30"/>
        <v>329</v>
      </c>
      <c r="I235" s="23">
        <f t="shared" ca="1" si="31"/>
        <v>22160</v>
      </c>
    </row>
    <row r="236" spans="2:9">
      <c r="B236" s="23">
        <f t="shared" ca="1" si="32"/>
        <v>246</v>
      </c>
      <c r="C236" s="23">
        <f t="shared" ca="1" si="33"/>
        <v>246</v>
      </c>
      <c r="D236" s="23">
        <f t="shared" ca="1" si="28"/>
        <v>13710</v>
      </c>
      <c r="E236" s="23">
        <f t="shared" ca="1" si="29"/>
        <v>0</v>
      </c>
      <c r="F236" s="23">
        <f t="shared" si="34"/>
        <v>168</v>
      </c>
      <c r="G236" s="23">
        <f t="shared" ca="1" si="35"/>
        <v>0</v>
      </c>
      <c r="H236" s="23">
        <f t="shared" ca="1" si="30"/>
        <v>246</v>
      </c>
      <c r="I236" s="23">
        <f t="shared" ca="1" si="31"/>
        <v>13710</v>
      </c>
    </row>
    <row r="237" spans="2:9">
      <c r="B237" s="23">
        <f t="shared" ca="1" si="32"/>
        <v>158</v>
      </c>
      <c r="C237" s="23">
        <f t="shared" ca="1" si="33"/>
        <v>158</v>
      </c>
      <c r="D237" s="23">
        <f t="shared" ca="1" si="28"/>
        <v>1830</v>
      </c>
      <c r="E237" s="23">
        <f t="shared" ca="1" si="29"/>
        <v>0</v>
      </c>
      <c r="F237" s="23">
        <f t="shared" si="34"/>
        <v>168</v>
      </c>
      <c r="G237" s="23">
        <f t="shared" ca="1" si="35"/>
        <v>0</v>
      </c>
      <c r="H237" s="23">
        <f t="shared" ca="1" si="30"/>
        <v>158</v>
      </c>
      <c r="I237" s="23">
        <f t="shared" ca="1" si="31"/>
        <v>1830</v>
      </c>
    </row>
    <row r="238" spans="2:9">
      <c r="B238" s="23">
        <f t="shared" ca="1" si="32"/>
        <v>210</v>
      </c>
      <c r="C238" s="23">
        <f t="shared" ca="1" si="33"/>
        <v>210</v>
      </c>
      <c r="D238" s="23">
        <f t="shared" ca="1" si="28"/>
        <v>8850</v>
      </c>
      <c r="E238" s="23">
        <f t="shared" ca="1" si="29"/>
        <v>0</v>
      </c>
      <c r="F238" s="23">
        <f t="shared" si="34"/>
        <v>168</v>
      </c>
      <c r="G238" s="23">
        <f t="shared" ca="1" si="35"/>
        <v>0</v>
      </c>
      <c r="H238" s="23">
        <f t="shared" ca="1" si="30"/>
        <v>210</v>
      </c>
      <c r="I238" s="23">
        <f t="shared" ca="1" si="31"/>
        <v>8850</v>
      </c>
    </row>
    <row r="239" spans="2:9">
      <c r="B239" s="23">
        <f t="shared" ca="1" si="32"/>
        <v>412</v>
      </c>
      <c r="C239" s="23">
        <f t="shared" ca="1" si="33"/>
        <v>300</v>
      </c>
      <c r="D239" s="23">
        <f t="shared" ca="1" si="28"/>
        <v>21000</v>
      </c>
      <c r="E239" s="23">
        <f t="shared" ca="1" si="29"/>
        <v>112</v>
      </c>
      <c r="F239" s="23">
        <f t="shared" si="34"/>
        <v>168</v>
      </c>
      <c r="G239" s="23">
        <f t="shared" ca="1" si="35"/>
        <v>112</v>
      </c>
      <c r="H239" s="23">
        <f t="shared" ca="1" si="30"/>
        <v>412</v>
      </c>
      <c r="I239" s="23">
        <f t="shared" ca="1" si="31"/>
        <v>25480</v>
      </c>
    </row>
    <row r="240" spans="2:9">
      <c r="B240" s="23">
        <f t="shared" ca="1" si="32"/>
        <v>250</v>
      </c>
      <c r="C240" s="23">
        <f t="shared" ca="1" si="33"/>
        <v>250</v>
      </c>
      <c r="D240" s="23">
        <f t="shared" ca="1" si="28"/>
        <v>14250</v>
      </c>
      <c r="E240" s="23">
        <f t="shared" ca="1" si="29"/>
        <v>0</v>
      </c>
      <c r="F240" s="23">
        <f t="shared" si="34"/>
        <v>168</v>
      </c>
      <c r="G240" s="23">
        <f t="shared" ca="1" si="35"/>
        <v>0</v>
      </c>
      <c r="H240" s="23">
        <f t="shared" ca="1" si="30"/>
        <v>250</v>
      </c>
      <c r="I240" s="23">
        <f t="shared" ca="1" si="31"/>
        <v>14250</v>
      </c>
    </row>
    <row r="241" spans="2:9">
      <c r="B241" s="23">
        <f t="shared" ca="1" si="32"/>
        <v>319</v>
      </c>
      <c r="C241" s="23">
        <f t="shared" ca="1" si="33"/>
        <v>300</v>
      </c>
      <c r="D241" s="23">
        <f t="shared" ca="1" si="28"/>
        <v>21000</v>
      </c>
      <c r="E241" s="23">
        <f t="shared" ca="1" si="29"/>
        <v>19</v>
      </c>
      <c r="F241" s="23">
        <f t="shared" si="34"/>
        <v>168</v>
      </c>
      <c r="G241" s="23">
        <f t="shared" ca="1" si="35"/>
        <v>19</v>
      </c>
      <c r="H241" s="23">
        <f t="shared" ca="1" si="30"/>
        <v>319</v>
      </c>
      <c r="I241" s="23">
        <f t="shared" ca="1" si="31"/>
        <v>21760</v>
      </c>
    </row>
    <row r="242" spans="2:9">
      <c r="B242" s="23">
        <f t="shared" ca="1" si="32"/>
        <v>138</v>
      </c>
      <c r="C242" s="23">
        <f t="shared" ca="1" si="33"/>
        <v>138</v>
      </c>
      <c r="D242" s="23">
        <f t="shared" ca="1" si="28"/>
        <v>-870</v>
      </c>
      <c r="E242" s="23">
        <f t="shared" ca="1" si="29"/>
        <v>0</v>
      </c>
      <c r="F242" s="23">
        <f t="shared" si="34"/>
        <v>168</v>
      </c>
      <c r="G242" s="23">
        <f t="shared" ca="1" si="35"/>
        <v>0</v>
      </c>
      <c r="H242" s="23">
        <f t="shared" ca="1" si="30"/>
        <v>138</v>
      </c>
      <c r="I242" s="23">
        <f t="shared" ca="1" si="31"/>
        <v>-870</v>
      </c>
    </row>
    <row r="243" spans="2:9">
      <c r="B243" s="23">
        <f t="shared" ca="1" si="32"/>
        <v>171</v>
      </c>
      <c r="C243" s="23">
        <f t="shared" ca="1" si="33"/>
        <v>171</v>
      </c>
      <c r="D243" s="23">
        <f t="shared" ca="1" si="28"/>
        <v>3585</v>
      </c>
      <c r="E243" s="23">
        <f t="shared" ca="1" si="29"/>
        <v>0</v>
      </c>
      <c r="F243" s="23">
        <f t="shared" si="34"/>
        <v>168</v>
      </c>
      <c r="G243" s="23">
        <f t="shared" ca="1" si="35"/>
        <v>0</v>
      </c>
      <c r="H243" s="23">
        <f t="shared" ca="1" si="30"/>
        <v>171</v>
      </c>
      <c r="I243" s="23">
        <f t="shared" ca="1" si="31"/>
        <v>3585</v>
      </c>
    </row>
    <row r="244" spans="2:9">
      <c r="B244" s="23">
        <f t="shared" ca="1" si="32"/>
        <v>222</v>
      </c>
      <c r="C244" s="23">
        <f t="shared" ca="1" si="33"/>
        <v>222</v>
      </c>
      <c r="D244" s="23">
        <f t="shared" ca="1" si="28"/>
        <v>10470</v>
      </c>
      <c r="E244" s="23">
        <f t="shared" ca="1" si="29"/>
        <v>0</v>
      </c>
      <c r="F244" s="23">
        <f t="shared" si="34"/>
        <v>168</v>
      </c>
      <c r="G244" s="23">
        <f t="shared" ca="1" si="35"/>
        <v>0</v>
      </c>
      <c r="H244" s="23">
        <f t="shared" ca="1" si="30"/>
        <v>222</v>
      </c>
      <c r="I244" s="23">
        <f t="shared" ca="1" si="31"/>
        <v>10470</v>
      </c>
    </row>
    <row r="245" spans="2:9">
      <c r="B245" s="23">
        <f t="shared" ca="1" si="32"/>
        <v>309</v>
      </c>
      <c r="C245" s="23">
        <f t="shared" ca="1" si="33"/>
        <v>300</v>
      </c>
      <c r="D245" s="23">
        <f t="shared" ca="1" si="28"/>
        <v>21000</v>
      </c>
      <c r="E245" s="23">
        <f t="shared" ca="1" si="29"/>
        <v>9</v>
      </c>
      <c r="F245" s="23">
        <f t="shared" si="34"/>
        <v>168</v>
      </c>
      <c r="G245" s="23">
        <f t="shared" ca="1" si="35"/>
        <v>9</v>
      </c>
      <c r="H245" s="23">
        <f t="shared" ca="1" si="30"/>
        <v>309</v>
      </c>
      <c r="I245" s="23">
        <f t="shared" ca="1" si="31"/>
        <v>21360</v>
      </c>
    </row>
    <row r="246" spans="2:9">
      <c r="B246" s="23">
        <f t="shared" ca="1" si="32"/>
        <v>339</v>
      </c>
      <c r="C246" s="23">
        <f t="shared" ca="1" si="33"/>
        <v>300</v>
      </c>
      <c r="D246" s="23">
        <f t="shared" ca="1" si="28"/>
        <v>21000</v>
      </c>
      <c r="E246" s="23">
        <f t="shared" ca="1" si="29"/>
        <v>39</v>
      </c>
      <c r="F246" s="23">
        <f t="shared" si="34"/>
        <v>168</v>
      </c>
      <c r="G246" s="23">
        <f t="shared" ca="1" si="35"/>
        <v>39</v>
      </c>
      <c r="H246" s="23">
        <f t="shared" ca="1" si="30"/>
        <v>339</v>
      </c>
      <c r="I246" s="23">
        <f t="shared" ca="1" si="31"/>
        <v>22560</v>
      </c>
    </row>
    <row r="247" spans="2:9">
      <c r="B247" s="23">
        <f t="shared" ca="1" si="32"/>
        <v>208</v>
      </c>
      <c r="C247" s="23">
        <f t="shared" ca="1" si="33"/>
        <v>208</v>
      </c>
      <c r="D247" s="23">
        <f t="shared" ca="1" si="28"/>
        <v>8580</v>
      </c>
      <c r="E247" s="23">
        <f t="shared" ca="1" si="29"/>
        <v>0</v>
      </c>
      <c r="F247" s="23">
        <f t="shared" si="34"/>
        <v>168</v>
      </c>
      <c r="G247" s="23">
        <f t="shared" ca="1" si="35"/>
        <v>0</v>
      </c>
      <c r="H247" s="23">
        <f t="shared" ca="1" si="30"/>
        <v>208</v>
      </c>
      <c r="I247" s="23">
        <f t="shared" ca="1" si="31"/>
        <v>8580</v>
      </c>
    </row>
    <row r="248" spans="2:9">
      <c r="B248" s="23">
        <f t="shared" ca="1" si="32"/>
        <v>337</v>
      </c>
      <c r="C248" s="23">
        <f t="shared" ca="1" si="33"/>
        <v>300</v>
      </c>
      <c r="D248" s="23">
        <f t="shared" ca="1" si="28"/>
        <v>21000</v>
      </c>
      <c r="E248" s="23">
        <f t="shared" ca="1" si="29"/>
        <v>37</v>
      </c>
      <c r="F248" s="23">
        <f t="shared" si="34"/>
        <v>168</v>
      </c>
      <c r="G248" s="23">
        <f t="shared" ca="1" si="35"/>
        <v>37</v>
      </c>
      <c r="H248" s="23">
        <f t="shared" ca="1" si="30"/>
        <v>337</v>
      </c>
      <c r="I248" s="23">
        <f t="shared" ca="1" si="31"/>
        <v>22480</v>
      </c>
    </row>
    <row r="249" spans="2:9">
      <c r="B249" s="23">
        <f t="shared" ca="1" si="32"/>
        <v>309</v>
      </c>
      <c r="C249" s="23">
        <f t="shared" ca="1" si="33"/>
        <v>300</v>
      </c>
      <c r="D249" s="23">
        <f t="shared" ca="1" si="28"/>
        <v>21000</v>
      </c>
      <c r="E249" s="23">
        <f t="shared" ca="1" si="29"/>
        <v>9</v>
      </c>
      <c r="F249" s="23">
        <f t="shared" si="34"/>
        <v>168</v>
      </c>
      <c r="G249" s="23">
        <f t="shared" ca="1" si="35"/>
        <v>9</v>
      </c>
      <c r="H249" s="23">
        <f t="shared" ca="1" si="30"/>
        <v>309</v>
      </c>
      <c r="I249" s="23">
        <f t="shared" ca="1" si="31"/>
        <v>21360</v>
      </c>
    </row>
    <row r="250" spans="2:9">
      <c r="B250" s="23">
        <f t="shared" ca="1" si="32"/>
        <v>361</v>
      </c>
      <c r="C250" s="23">
        <f t="shared" ca="1" si="33"/>
        <v>300</v>
      </c>
      <c r="D250" s="23">
        <f t="shared" ca="1" si="28"/>
        <v>21000</v>
      </c>
      <c r="E250" s="23">
        <f t="shared" ca="1" si="29"/>
        <v>61</v>
      </c>
      <c r="F250" s="23">
        <f t="shared" si="34"/>
        <v>168</v>
      </c>
      <c r="G250" s="23">
        <f t="shared" ca="1" si="35"/>
        <v>61</v>
      </c>
      <c r="H250" s="23">
        <f t="shared" ca="1" si="30"/>
        <v>361</v>
      </c>
      <c r="I250" s="23">
        <f t="shared" ca="1" si="31"/>
        <v>23440</v>
      </c>
    </row>
    <row r="251" spans="2:9">
      <c r="B251" s="23">
        <f t="shared" ca="1" si="32"/>
        <v>320</v>
      </c>
      <c r="C251" s="23">
        <f t="shared" ca="1" si="33"/>
        <v>300</v>
      </c>
      <c r="D251" s="23">
        <f t="shared" ca="1" si="28"/>
        <v>21000</v>
      </c>
      <c r="E251" s="23">
        <f t="shared" ca="1" si="29"/>
        <v>20</v>
      </c>
      <c r="F251" s="23">
        <f t="shared" si="34"/>
        <v>168</v>
      </c>
      <c r="G251" s="23">
        <f t="shared" ca="1" si="35"/>
        <v>20</v>
      </c>
      <c r="H251" s="23">
        <f t="shared" ca="1" si="30"/>
        <v>320</v>
      </c>
      <c r="I251" s="23">
        <f t="shared" ca="1" si="31"/>
        <v>21800</v>
      </c>
    </row>
    <row r="252" spans="2:9">
      <c r="B252" s="23">
        <f t="shared" ca="1" si="32"/>
        <v>416</v>
      </c>
      <c r="C252" s="23">
        <f t="shared" ca="1" si="33"/>
        <v>300</v>
      </c>
      <c r="D252" s="23">
        <f t="shared" ca="1" si="28"/>
        <v>21000</v>
      </c>
      <c r="E252" s="23">
        <f t="shared" ca="1" si="29"/>
        <v>116</v>
      </c>
      <c r="F252" s="23">
        <f t="shared" si="34"/>
        <v>168</v>
      </c>
      <c r="G252" s="23">
        <f t="shared" ca="1" si="35"/>
        <v>116</v>
      </c>
      <c r="H252" s="23">
        <f t="shared" ca="1" si="30"/>
        <v>416</v>
      </c>
      <c r="I252" s="23">
        <f t="shared" ca="1" si="31"/>
        <v>25640</v>
      </c>
    </row>
    <row r="253" spans="2:9">
      <c r="B253" s="23">
        <f t="shared" ca="1" si="32"/>
        <v>263</v>
      </c>
      <c r="C253" s="23">
        <f t="shared" ca="1" si="33"/>
        <v>263</v>
      </c>
      <c r="D253" s="23">
        <f t="shared" ca="1" si="28"/>
        <v>16005</v>
      </c>
      <c r="E253" s="23">
        <f t="shared" ca="1" si="29"/>
        <v>0</v>
      </c>
      <c r="F253" s="23">
        <f t="shared" si="34"/>
        <v>168</v>
      </c>
      <c r="G253" s="23">
        <f t="shared" ca="1" si="35"/>
        <v>0</v>
      </c>
      <c r="H253" s="23">
        <f t="shared" ca="1" si="30"/>
        <v>263</v>
      </c>
      <c r="I253" s="23">
        <f t="shared" ca="1" si="31"/>
        <v>16005</v>
      </c>
    </row>
    <row r="254" spans="2:9">
      <c r="B254" s="23">
        <f t="shared" ca="1" si="32"/>
        <v>187</v>
      </c>
      <c r="C254" s="23">
        <f t="shared" ca="1" si="33"/>
        <v>187</v>
      </c>
      <c r="D254" s="23">
        <f t="shared" ca="1" si="28"/>
        <v>5745</v>
      </c>
      <c r="E254" s="23">
        <f t="shared" ca="1" si="29"/>
        <v>0</v>
      </c>
      <c r="F254" s="23">
        <f t="shared" si="34"/>
        <v>168</v>
      </c>
      <c r="G254" s="23">
        <f t="shared" ca="1" si="35"/>
        <v>0</v>
      </c>
      <c r="H254" s="23">
        <f t="shared" ca="1" si="30"/>
        <v>187</v>
      </c>
      <c r="I254" s="23">
        <f t="shared" ca="1" si="31"/>
        <v>5745</v>
      </c>
    </row>
    <row r="255" spans="2:9">
      <c r="B255" s="23">
        <f t="shared" ca="1" si="32"/>
        <v>269</v>
      </c>
      <c r="C255" s="23">
        <f t="shared" ca="1" si="33"/>
        <v>269</v>
      </c>
      <c r="D255" s="23">
        <f t="shared" ca="1" si="28"/>
        <v>16815</v>
      </c>
      <c r="E255" s="23">
        <f t="shared" ca="1" si="29"/>
        <v>0</v>
      </c>
      <c r="F255" s="23">
        <f t="shared" si="34"/>
        <v>168</v>
      </c>
      <c r="G255" s="23">
        <f t="shared" ca="1" si="35"/>
        <v>0</v>
      </c>
      <c r="H255" s="23">
        <f t="shared" ca="1" si="30"/>
        <v>269</v>
      </c>
      <c r="I255" s="23">
        <f t="shared" ca="1" si="31"/>
        <v>16815</v>
      </c>
    </row>
    <row r="256" spans="2:9">
      <c r="B256" s="23">
        <f t="shared" ca="1" si="32"/>
        <v>287</v>
      </c>
      <c r="C256" s="23">
        <f t="shared" ca="1" si="33"/>
        <v>287</v>
      </c>
      <c r="D256" s="23">
        <f t="shared" ca="1" si="28"/>
        <v>19245</v>
      </c>
      <c r="E256" s="23">
        <f t="shared" ca="1" si="29"/>
        <v>0</v>
      </c>
      <c r="F256" s="23">
        <f t="shared" si="34"/>
        <v>168</v>
      </c>
      <c r="G256" s="23">
        <f t="shared" ca="1" si="35"/>
        <v>0</v>
      </c>
      <c r="H256" s="23">
        <f t="shared" ca="1" si="30"/>
        <v>287</v>
      </c>
      <c r="I256" s="23">
        <f t="shared" ca="1" si="31"/>
        <v>19245</v>
      </c>
    </row>
    <row r="257" spans="2:9">
      <c r="B257" s="23">
        <f t="shared" ca="1" si="32"/>
        <v>339</v>
      </c>
      <c r="C257" s="23">
        <f t="shared" ca="1" si="33"/>
        <v>300</v>
      </c>
      <c r="D257" s="23">
        <f t="shared" ca="1" si="28"/>
        <v>21000</v>
      </c>
      <c r="E257" s="23">
        <f t="shared" ca="1" si="29"/>
        <v>39</v>
      </c>
      <c r="F257" s="23">
        <f t="shared" si="34"/>
        <v>168</v>
      </c>
      <c r="G257" s="23">
        <f t="shared" ca="1" si="35"/>
        <v>39</v>
      </c>
      <c r="H257" s="23">
        <f t="shared" ca="1" si="30"/>
        <v>339</v>
      </c>
      <c r="I257" s="23">
        <f t="shared" ca="1" si="31"/>
        <v>22560</v>
      </c>
    </row>
    <row r="258" spans="2:9">
      <c r="B258" s="23">
        <f t="shared" ca="1" si="32"/>
        <v>323</v>
      </c>
      <c r="C258" s="23">
        <f t="shared" ca="1" si="33"/>
        <v>300</v>
      </c>
      <c r="D258" s="23">
        <f t="shared" ca="1" si="28"/>
        <v>21000</v>
      </c>
      <c r="E258" s="23">
        <f t="shared" ca="1" si="29"/>
        <v>23</v>
      </c>
      <c r="F258" s="23">
        <f t="shared" si="34"/>
        <v>168</v>
      </c>
      <c r="G258" s="23">
        <f t="shared" ca="1" si="35"/>
        <v>23</v>
      </c>
      <c r="H258" s="23">
        <f t="shared" ca="1" si="30"/>
        <v>323</v>
      </c>
      <c r="I258" s="23">
        <f t="shared" ca="1" si="31"/>
        <v>21920</v>
      </c>
    </row>
    <row r="259" spans="2:9">
      <c r="B259" s="23">
        <f t="shared" ca="1" si="32"/>
        <v>218</v>
      </c>
      <c r="C259" s="23">
        <f t="shared" ca="1" si="33"/>
        <v>218</v>
      </c>
      <c r="D259" s="23">
        <f t="shared" ca="1" si="28"/>
        <v>9930</v>
      </c>
      <c r="E259" s="23">
        <f t="shared" ca="1" si="29"/>
        <v>0</v>
      </c>
      <c r="F259" s="23">
        <f t="shared" si="34"/>
        <v>168</v>
      </c>
      <c r="G259" s="23">
        <f t="shared" ca="1" si="35"/>
        <v>0</v>
      </c>
      <c r="H259" s="23">
        <f t="shared" ca="1" si="30"/>
        <v>218</v>
      </c>
      <c r="I259" s="23">
        <f t="shared" ca="1" si="31"/>
        <v>9930</v>
      </c>
    </row>
    <row r="260" spans="2:9">
      <c r="B260" s="23">
        <f t="shared" ca="1" si="32"/>
        <v>251</v>
      </c>
      <c r="C260" s="23">
        <f t="shared" ca="1" si="33"/>
        <v>251</v>
      </c>
      <c r="D260" s="23">
        <f t="shared" ca="1" si="28"/>
        <v>14385</v>
      </c>
      <c r="E260" s="23">
        <f t="shared" ca="1" si="29"/>
        <v>0</v>
      </c>
      <c r="F260" s="23">
        <f t="shared" si="34"/>
        <v>168</v>
      </c>
      <c r="G260" s="23">
        <f t="shared" ca="1" si="35"/>
        <v>0</v>
      </c>
      <c r="H260" s="23">
        <f t="shared" ca="1" si="30"/>
        <v>251</v>
      </c>
      <c r="I260" s="23">
        <f t="shared" ca="1" si="31"/>
        <v>14385</v>
      </c>
    </row>
    <row r="261" spans="2:9">
      <c r="B261" s="23">
        <f t="shared" ca="1" si="32"/>
        <v>349</v>
      </c>
      <c r="C261" s="23">
        <f t="shared" ca="1" si="33"/>
        <v>300</v>
      </c>
      <c r="D261" s="23">
        <f t="shared" ca="1" si="28"/>
        <v>21000</v>
      </c>
      <c r="E261" s="23">
        <f t="shared" ca="1" si="29"/>
        <v>49</v>
      </c>
      <c r="F261" s="23">
        <f t="shared" si="34"/>
        <v>168</v>
      </c>
      <c r="G261" s="23">
        <f t="shared" ca="1" si="35"/>
        <v>49</v>
      </c>
      <c r="H261" s="23">
        <f t="shared" ca="1" si="30"/>
        <v>349</v>
      </c>
      <c r="I261" s="23">
        <f t="shared" ca="1" si="31"/>
        <v>22960</v>
      </c>
    </row>
    <row r="262" spans="2:9">
      <c r="B262" s="23">
        <f t="shared" ca="1" si="32"/>
        <v>340</v>
      </c>
      <c r="C262" s="23">
        <f t="shared" ca="1" si="33"/>
        <v>300</v>
      </c>
      <c r="D262" s="23">
        <f t="shared" ca="1" si="28"/>
        <v>21000</v>
      </c>
      <c r="E262" s="23">
        <f t="shared" ca="1" si="29"/>
        <v>40</v>
      </c>
      <c r="F262" s="23">
        <f t="shared" si="34"/>
        <v>168</v>
      </c>
      <c r="G262" s="23">
        <f t="shared" ca="1" si="35"/>
        <v>40</v>
      </c>
      <c r="H262" s="23">
        <f t="shared" ca="1" si="30"/>
        <v>340</v>
      </c>
      <c r="I262" s="23">
        <f t="shared" ca="1" si="31"/>
        <v>22600</v>
      </c>
    </row>
    <row r="263" spans="2:9">
      <c r="B263" s="23">
        <f t="shared" ca="1" si="32"/>
        <v>272</v>
      </c>
      <c r="C263" s="23">
        <f t="shared" ca="1" si="33"/>
        <v>272</v>
      </c>
      <c r="D263" s="23">
        <f t="shared" ca="1" si="28"/>
        <v>17220</v>
      </c>
      <c r="E263" s="23">
        <f t="shared" ca="1" si="29"/>
        <v>0</v>
      </c>
      <c r="F263" s="23">
        <f t="shared" si="34"/>
        <v>168</v>
      </c>
      <c r="G263" s="23">
        <f t="shared" ca="1" si="35"/>
        <v>0</v>
      </c>
      <c r="H263" s="23">
        <f t="shared" ca="1" si="30"/>
        <v>272</v>
      </c>
      <c r="I263" s="23">
        <f t="shared" ca="1" si="31"/>
        <v>17220</v>
      </c>
    </row>
    <row r="264" spans="2:9">
      <c r="B264" s="23">
        <f t="shared" ca="1" si="32"/>
        <v>398</v>
      </c>
      <c r="C264" s="23">
        <f t="shared" ca="1" si="33"/>
        <v>300</v>
      </c>
      <c r="D264" s="23">
        <f t="shared" ca="1" si="28"/>
        <v>21000</v>
      </c>
      <c r="E264" s="23">
        <f t="shared" ca="1" si="29"/>
        <v>98</v>
      </c>
      <c r="F264" s="23">
        <f t="shared" si="34"/>
        <v>168</v>
      </c>
      <c r="G264" s="23">
        <f t="shared" ca="1" si="35"/>
        <v>98</v>
      </c>
      <c r="H264" s="23">
        <f t="shared" ca="1" si="30"/>
        <v>398</v>
      </c>
      <c r="I264" s="23">
        <f t="shared" ca="1" si="31"/>
        <v>24920</v>
      </c>
    </row>
    <row r="265" spans="2:9">
      <c r="B265" s="23">
        <f t="shared" ca="1" si="32"/>
        <v>334</v>
      </c>
      <c r="C265" s="23">
        <f t="shared" ca="1" si="33"/>
        <v>300</v>
      </c>
      <c r="D265" s="23">
        <f t="shared" ca="1" si="28"/>
        <v>21000</v>
      </c>
      <c r="E265" s="23">
        <f t="shared" ca="1" si="29"/>
        <v>34</v>
      </c>
      <c r="F265" s="23">
        <f t="shared" si="34"/>
        <v>168</v>
      </c>
      <c r="G265" s="23">
        <f t="shared" ca="1" si="35"/>
        <v>34</v>
      </c>
      <c r="H265" s="23">
        <f t="shared" ca="1" si="30"/>
        <v>334</v>
      </c>
      <c r="I265" s="23">
        <f t="shared" ca="1" si="31"/>
        <v>22360</v>
      </c>
    </row>
    <row r="266" spans="2:9">
      <c r="B266" s="23">
        <f t="shared" ca="1" si="32"/>
        <v>403</v>
      </c>
      <c r="C266" s="23">
        <f t="shared" ca="1" si="33"/>
        <v>300</v>
      </c>
      <c r="D266" s="23">
        <f t="shared" ca="1" si="28"/>
        <v>21000</v>
      </c>
      <c r="E266" s="23">
        <f t="shared" ca="1" si="29"/>
        <v>103</v>
      </c>
      <c r="F266" s="23">
        <f t="shared" si="34"/>
        <v>168</v>
      </c>
      <c r="G266" s="23">
        <f t="shared" ca="1" si="35"/>
        <v>103</v>
      </c>
      <c r="H266" s="23">
        <f t="shared" ca="1" si="30"/>
        <v>403</v>
      </c>
      <c r="I266" s="23">
        <f t="shared" ca="1" si="31"/>
        <v>25120</v>
      </c>
    </row>
    <row r="267" spans="2:9">
      <c r="B267" s="23">
        <f t="shared" ca="1" si="32"/>
        <v>365</v>
      </c>
      <c r="C267" s="23">
        <f t="shared" ca="1" si="33"/>
        <v>300</v>
      </c>
      <c r="D267" s="23">
        <f t="shared" ca="1" si="28"/>
        <v>21000</v>
      </c>
      <c r="E267" s="23">
        <f t="shared" ca="1" si="29"/>
        <v>65</v>
      </c>
      <c r="F267" s="23">
        <f t="shared" si="34"/>
        <v>168</v>
      </c>
      <c r="G267" s="23">
        <f t="shared" ca="1" si="35"/>
        <v>65</v>
      </c>
      <c r="H267" s="23">
        <f t="shared" ca="1" si="30"/>
        <v>365</v>
      </c>
      <c r="I267" s="23">
        <f t="shared" ca="1" si="31"/>
        <v>23600</v>
      </c>
    </row>
    <row r="268" spans="2:9">
      <c r="B268" s="23">
        <f t="shared" ca="1" si="32"/>
        <v>102</v>
      </c>
      <c r="C268" s="23">
        <f t="shared" ca="1" si="33"/>
        <v>102</v>
      </c>
      <c r="D268" s="23">
        <f t="shared" ref="D268:D331" ca="1" si="36">C268*$B$3-$D$8*$B$2</f>
        <v>-5730</v>
      </c>
      <c r="E268" s="23">
        <f t="shared" ref="E268:E331" ca="1" si="37">MAX(0, B268-$D$8)</f>
        <v>0</v>
      </c>
      <c r="F268" s="23">
        <f t="shared" si="34"/>
        <v>168</v>
      </c>
      <c r="G268" s="23">
        <f t="shared" ca="1" si="35"/>
        <v>0</v>
      </c>
      <c r="H268" s="23">
        <f t="shared" ref="H268:H331" ca="1" si="38">MIN(B268, $D$8+G268)</f>
        <v>102</v>
      </c>
      <c r="I268" s="23">
        <f t="shared" ref="I268:I331" ca="1" si="39">H268*$B$3-$D$8*$B$2-$B$1*G268</f>
        <v>-5730</v>
      </c>
    </row>
    <row r="269" spans="2:9">
      <c r="B269" s="23">
        <f t="shared" ref="B269:B332" ca="1" si="40">_xlfn.FLOOR.MATH(_xlfn.NORM.INV(RAND(),$B$4,$B$5))</f>
        <v>312</v>
      </c>
      <c r="C269" s="23">
        <f t="shared" ref="C269:C332" ca="1" si="41">MIN(B269,$D$8)</f>
        <v>300</v>
      </c>
      <c r="D269" s="23">
        <f t="shared" ca="1" si="36"/>
        <v>21000</v>
      </c>
      <c r="E269" s="23">
        <f t="shared" ca="1" si="37"/>
        <v>12</v>
      </c>
      <c r="F269" s="23">
        <f t="shared" ref="F269:F332" si="42">12*(21-7)</f>
        <v>168</v>
      </c>
      <c r="G269" s="23">
        <f t="shared" ca="1" si="35"/>
        <v>12</v>
      </c>
      <c r="H269" s="23">
        <f t="shared" ca="1" si="38"/>
        <v>312</v>
      </c>
      <c r="I269" s="23">
        <f t="shared" ca="1" si="39"/>
        <v>21480</v>
      </c>
    </row>
    <row r="270" spans="2:9">
      <c r="B270" s="23">
        <f t="shared" ca="1" si="40"/>
        <v>413</v>
      </c>
      <c r="C270" s="23">
        <f t="shared" ca="1" si="41"/>
        <v>300</v>
      </c>
      <c r="D270" s="23">
        <f t="shared" ca="1" si="36"/>
        <v>21000</v>
      </c>
      <c r="E270" s="23">
        <f t="shared" ca="1" si="37"/>
        <v>113</v>
      </c>
      <c r="F270" s="23">
        <f t="shared" si="42"/>
        <v>168</v>
      </c>
      <c r="G270" s="23">
        <f t="shared" ca="1" si="35"/>
        <v>113</v>
      </c>
      <c r="H270" s="23">
        <f t="shared" ca="1" si="38"/>
        <v>413</v>
      </c>
      <c r="I270" s="23">
        <f t="shared" ca="1" si="39"/>
        <v>25520</v>
      </c>
    </row>
    <row r="271" spans="2:9">
      <c r="B271" s="23">
        <f t="shared" ca="1" si="40"/>
        <v>109</v>
      </c>
      <c r="C271" s="23">
        <f t="shared" ca="1" si="41"/>
        <v>109</v>
      </c>
      <c r="D271" s="23">
        <f t="shared" ca="1" si="36"/>
        <v>-4785</v>
      </c>
      <c r="E271" s="23">
        <f t="shared" ca="1" si="37"/>
        <v>0</v>
      </c>
      <c r="F271" s="23">
        <f t="shared" si="42"/>
        <v>168</v>
      </c>
      <c r="G271" s="23">
        <f t="shared" ca="1" si="35"/>
        <v>0</v>
      </c>
      <c r="H271" s="23">
        <f t="shared" ca="1" si="38"/>
        <v>109</v>
      </c>
      <c r="I271" s="23">
        <f t="shared" ca="1" si="39"/>
        <v>-4785</v>
      </c>
    </row>
    <row r="272" spans="2:9">
      <c r="B272" s="23">
        <f t="shared" ca="1" si="40"/>
        <v>403</v>
      </c>
      <c r="C272" s="23">
        <f t="shared" ca="1" si="41"/>
        <v>300</v>
      </c>
      <c r="D272" s="23">
        <f t="shared" ca="1" si="36"/>
        <v>21000</v>
      </c>
      <c r="E272" s="23">
        <f t="shared" ca="1" si="37"/>
        <v>103</v>
      </c>
      <c r="F272" s="23">
        <f t="shared" si="42"/>
        <v>168</v>
      </c>
      <c r="G272" s="23">
        <f t="shared" ref="G272:G335" ca="1" si="43">MIN(E272,F272)</f>
        <v>103</v>
      </c>
      <c r="H272" s="23">
        <f t="shared" ca="1" si="38"/>
        <v>403</v>
      </c>
      <c r="I272" s="23">
        <f t="shared" ca="1" si="39"/>
        <v>25120</v>
      </c>
    </row>
    <row r="273" spans="2:9">
      <c r="B273" s="23">
        <f t="shared" ca="1" si="40"/>
        <v>392</v>
      </c>
      <c r="C273" s="23">
        <f t="shared" ca="1" si="41"/>
        <v>300</v>
      </c>
      <c r="D273" s="23">
        <f t="shared" ca="1" si="36"/>
        <v>21000</v>
      </c>
      <c r="E273" s="23">
        <f t="shared" ca="1" si="37"/>
        <v>92</v>
      </c>
      <c r="F273" s="23">
        <f t="shared" si="42"/>
        <v>168</v>
      </c>
      <c r="G273" s="23">
        <f t="shared" ca="1" si="43"/>
        <v>92</v>
      </c>
      <c r="H273" s="23">
        <f t="shared" ca="1" si="38"/>
        <v>392</v>
      </c>
      <c r="I273" s="23">
        <f t="shared" ca="1" si="39"/>
        <v>24680</v>
      </c>
    </row>
    <row r="274" spans="2:9">
      <c r="B274" s="23">
        <f t="shared" ca="1" si="40"/>
        <v>512</v>
      </c>
      <c r="C274" s="23">
        <f t="shared" ca="1" si="41"/>
        <v>300</v>
      </c>
      <c r="D274" s="23">
        <f t="shared" ca="1" si="36"/>
        <v>21000</v>
      </c>
      <c r="E274" s="23">
        <f t="shared" ca="1" si="37"/>
        <v>212</v>
      </c>
      <c r="F274" s="23">
        <f t="shared" si="42"/>
        <v>168</v>
      </c>
      <c r="G274" s="23">
        <f t="shared" ca="1" si="43"/>
        <v>168</v>
      </c>
      <c r="H274" s="23">
        <f t="shared" ca="1" si="38"/>
        <v>468</v>
      </c>
      <c r="I274" s="23">
        <f t="shared" ca="1" si="39"/>
        <v>27720</v>
      </c>
    </row>
    <row r="275" spans="2:9">
      <c r="B275" s="23">
        <f t="shared" ca="1" si="40"/>
        <v>370</v>
      </c>
      <c r="C275" s="23">
        <f t="shared" ca="1" si="41"/>
        <v>300</v>
      </c>
      <c r="D275" s="23">
        <f t="shared" ca="1" si="36"/>
        <v>21000</v>
      </c>
      <c r="E275" s="23">
        <f t="shared" ca="1" si="37"/>
        <v>70</v>
      </c>
      <c r="F275" s="23">
        <f t="shared" si="42"/>
        <v>168</v>
      </c>
      <c r="G275" s="23">
        <f t="shared" ca="1" si="43"/>
        <v>70</v>
      </c>
      <c r="H275" s="23">
        <f t="shared" ca="1" si="38"/>
        <v>370</v>
      </c>
      <c r="I275" s="23">
        <f t="shared" ca="1" si="39"/>
        <v>23800</v>
      </c>
    </row>
    <row r="276" spans="2:9">
      <c r="B276" s="23">
        <f t="shared" ca="1" si="40"/>
        <v>321</v>
      </c>
      <c r="C276" s="23">
        <f t="shared" ca="1" si="41"/>
        <v>300</v>
      </c>
      <c r="D276" s="23">
        <f t="shared" ca="1" si="36"/>
        <v>21000</v>
      </c>
      <c r="E276" s="23">
        <f t="shared" ca="1" si="37"/>
        <v>21</v>
      </c>
      <c r="F276" s="23">
        <f t="shared" si="42"/>
        <v>168</v>
      </c>
      <c r="G276" s="23">
        <f t="shared" ca="1" si="43"/>
        <v>21</v>
      </c>
      <c r="H276" s="23">
        <f t="shared" ca="1" si="38"/>
        <v>321</v>
      </c>
      <c r="I276" s="23">
        <f t="shared" ca="1" si="39"/>
        <v>21840</v>
      </c>
    </row>
    <row r="277" spans="2:9">
      <c r="B277" s="23">
        <f t="shared" ca="1" si="40"/>
        <v>374</v>
      </c>
      <c r="C277" s="23">
        <f t="shared" ca="1" si="41"/>
        <v>300</v>
      </c>
      <c r="D277" s="23">
        <f t="shared" ca="1" si="36"/>
        <v>21000</v>
      </c>
      <c r="E277" s="23">
        <f t="shared" ca="1" si="37"/>
        <v>74</v>
      </c>
      <c r="F277" s="23">
        <f t="shared" si="42"/>
        <v>168</v>
      </c>
      <c r="G277" s="23">
        <f t="shared" ca="1" si="43"/>
        <v>74</v>
      </c>
      <c r="H277" s="23">
        <f t="shared" ca="1" si="38"/>
        <v>374</v>
      </c>
      <c r="I277" s="23">
        <f t="shared" ca="1" si="39"/>
        <v>23960</v>
      </c>
    </row>
    <row r="278" spans="2:9">
      <c r="B278" s="23">
        <f t="shared" ca="1" si="40"/>
        <v>318</v>
      </c>
      <c r="C278" s="23">
        <f t="shared" ca="1" si="41"/>
        <v>300</v>
      </c>
      <c r="D278" s="23">
        <f t="shared" ca="1" si="36"/>
        <v>21000</v>
      </c>
      <c r="E278" s="23">
        <f t="shared" ca="1" si="37"/>
        <v>18</v>
      </c>
      <c r="F278" s="23">
        <f t="shared" si="42"/>
        <v>168</v>
      </c>
      <c r="G278" s="23">
        <f t="shared" ca="1" si="43"/>
        <v>18</v>
      </c>
      <c r="H278" s="23">
        <f t="shared" ca="1" si="38"/>
        <v>318</v>
      </c>
      <c r="I278" s="23">
        <f t="shared" ca="1" si="39"/>
        <v>21720</v>
      </c>
    </row>
    <row r="279" spans="2:9">
      <c r="B279" s="23">
        <f t="shared" ca="1" si="40"/>
        <v>93</v>
      </c>
      <c r="C279" s="23">
        <f t="shared" ca="1" si="41"/>
        <v>93</v>
      </c>
      <c r="D279" s="23">
        <f t="shared" ca="1" si="36"/>
        <v>-6945</v>
      </c>
      <c r="E279" s="23">
        <f t="shared" ca="1" si="37"/>
        <v>0</v>
      </c>
      <c r="F279" s="23">
        <f t="shared" si="42"/>
        <v>168</v>
      </c>
      <c r="G279" s="23">
        <f t="shared" ca="1" si="43"/>
        <v>0</v>
      </c>
      <c r="H279" s="23">
        <f t="shared" ca="1" si="38"/>
        <v>93</v>
      </c>
      <c r="I279" s="23">
        <f t="shared" ca="1" si="39"/>
        <v>-6945</v>
      </c>
    </row>
    <row r="280" spans="2:9">
      <c r="B280" s="23">
        <f t="shared" ca="1" si="40"/>
        <v>15</v>
      </c>
      <c r="C280" s="23">
        <f t="shared" ca="1" si="41"/>
        <v>15</v>
      </c>
      <c r="D280" s="23">
        <f t="shared" ca="1" si="36"/>
        <v>-17475</v>
      </c>
      <c r="E280" s="23">
        <f t="shared" ca="1" si="37"/>
        <v>0</v>
      </c>
      <c r="F280" s="23">
        <f t="shared" si="42"/>
        <v>168</v>
      </c>
      <c r="G280" s="23">
        <f t="shared" ca="1" si="43"/>
        <v>0</v>
      </c>
      <c r="H280" s="23">
        <f t="shared" ca="1" si="38"/>
        <v>15</v>
      </c>
      <c r="I280" s="23">
        <f t="shared" ca="1" si="39"/>
        <v>-17475</v>
      </c>
    </row>
    <row r="281" spans="2:9">
      <c r="B281" s="23">
        <f t="shared" ca="1" si="40"/>
        <v>266</v>
      </c>
      <c r="C281" s="23">
        <f t="shared" ca="1" si="41"/>
        <v>266</v>
      </c>
      <c r="D281" s="23">
        <f t="shared" ca="1" si="36"/>
        <v>16410</v>
      </c>
      <c r="E281" s="23">
        <f t="shared" ca="1" si="37"/>
        <v>0</v>
      </c>
      <c r="F281" s="23">
        <f t="shared" si="42"/>
        <v>168</v>
      </c>
      <c r="G281" s="23">
        <f t="shared" ca="1" si="43"/>
        <v>0</v>
      </c>
      <c r="H281" s="23">
        <f t="shared" ca="1" si="38"/>
        <v>266</v>
      </c>
      <c r="I281" s="23">
        <f t="shared" ca="1" si="39"/>
        <v>16410</v>
      </c>
    </row>
    <row r="282" spans="2:9">
      <c r="B282" s="23">
        <f t="shared" ca="1" si="40"/>
        <v>180</v>
      </c>
      <c r="C282" s="23">
        <f t="shared" ca="1" si="41"/>
        <v>180</v>
      </c>
      <c r="D282" s="23">
        <f t="shared" ca="1" si="36"/>
        <v>4800</v>
      </c>
      <c r="E282" s="23">
        <f t="shared" ca="1" si="37"/>
        <v>0</v>
      </c>
      <c r="F282" s="23">
        <f t="shared" si="42"/>
        <v>168</v>
      </c>
      <c r="G282" s="23">
        <f t="shared" ca="1" si="43"/>
        <v>0</v>
      </c>
      <c r="H282" s="23">
        <f t="shared" ca="1" si="38"/>
        <v>180</v>
      </c>
      <c r="I282" s="23">
        <f t="shared" ca="1" si="39"/>
        <v>4800</v>
      </c>
    </row>
    <row r="283" spans="2:9">
      <c r="B283" s="23">
        <f t="shared" ca="1" si="40"/>
        <v>322</v>
      </c>
      <c r="C283" s="23">
        <f t="shared" ca="1" si="41"/>
        <v>300</v>
      </c>
      <c r="D283" s="23">
        <f t="shared" ca="1" si="36"/>
        <v>21000</v>
      </c>
      <c r="E283" s="23">
        <f t="shared" ca="1" si="37"/>
        <v>22</v>
      </c>
      <c r="F283" s="23">
        <f t="shared" si="42"/>
        <v>168</v>
      </c>
      <c r="G283" s="23">
        <f t="shared" ca="1" si="43"/>
        <v>22</v>
      </c>
      <c r="H283" s="23">
        <f t="shared" ca="1" si="38"/>
        <v>322</v>
      </c>
      <c r="I283" s="23">
        <f t="shared" ca="1" si="39"/>
        <v>21880</v>
      </c>
    </row>
    <row r="284" spans="2:9">
      <c r="B284" s="23">
        <f t="shared" ca="1" si="40"/>
        <v>455</v>
      </c>
      <c r="C284" s="23">
        <f t="shared" ca="1" si="41"/>
        <v>300</v>
      </c>
      <c r="D284" s="23">
        <f t="shared" ca="1" si="36"/>
        <v>21000</v>
      </c>
      <c r="E284" s="23">
        <f t="shared" ca="1" si="37"/>
        <v>155</v>
      </c>
      <c r="F284" s="23">
        <f t="shared" si="42"/>
        <v>168</v>
      </c>
      <c r="G284" s="23">
        <f t="shared" ca="1" si="43"/>
        <v>155</v>
      </c>
      <c r="H284" s="23">
        <f t="shared" ca="1" si="38"/>
        <v>455</v>
      </c>
      <c r="I284" s="23">
        <f t="shared" ca="1" si="39"/>
        <v>27200</v>
      </c>
    </row>
    <row r="285" spans="2:9">
      <c r="B285" s="23">
        <f t="shared" ca="1" si="40"/>
        <v>198</v>
      </c>
      <c r="C285" s="23">
        <f t="shared" ca="1" si="41"/>
        <v>198</v>
      </c>
      <c r="D285" s="23">
        <f t="shared" ca="1" si="36"/>
        <v>7230</v>
      </c>
      <c r="E285" s="23">
        <f t="shared" ca="1" si="37"/>
        <v>0</v>
      </c>
      <c r="F285" s="23">
        <f t="shared" si="42"/>
        <v>168</v>
      </c>
      <c r="G285" s="23">
        <f t="shared" ca="1" si="43"/>
        <v>0</v>
      </c>
      <c r="H285" s="23">
        <f t="shared" ca="1" si="38"/>
        <v>198</v>
      </c>
      <c r="I285" s="23">
        <f t="shared" ca="1" si="39"/>
        <v>7230</v>
      </c>
    </row>
    <row r="286" spans="2:9">
      <c r="B286" s="23">
        <f t="shared" ca="1" si="40"/>
        <v>201</v>
      </c>
      <c r="C286" s="23">
        <f t="shared" ca="1" si="41"/>
        <v>201</v>
      </c>
      <c r="D286" s="23">
        <f t="shared" ca="1" si="36"/>
        <v>7635</v>
      </c>
      <c r="E286" s="23">
        <f t="shared" ca="1" si="37"/>
        <v>0</v>
      </c>
      <c r="F286" s="23">
        <f t="shared" si="42"/>
        <v>168</v>
      </c>
      <c r="G286" s="23">
        <f t="shared" ca="1" si="43"/>
        <v>0</v>
      </c>
      <c r="H286" s="23">
        <f t="shared" ca="1" si="38"/>
        <v>201</v>
      </c>
      <c r="I286" s="23">
        <f t="shared" ca="1" si="39"/>
        <v>7635</v>
      </c>
    </row>
    <row r="287" spans="2:9">
      <c r="B287" s="23">
        <f t="shared" ca="1" si="40"/>
        <v>411</v>
      </c>
      <c r="C287" s="23">
        <f t="shared" ca="1" si="41"/>
        <v>300</v>
      </c>
      <c r="D287" s="23">
        <f t="shared" ca="1" si="36"/>
        <v>21000</v>
      </c>
      <c r="E287" s="23">
        <f t="shared" ca="1" si="37"/>
        <v>111</v>
      </c>
      <c r="F287" s="23">
        <f t="shared" si="42"/>
        <v>168</v>
      </c>
      <c r="G287" s="23">
        <f t="shared" ca="1" si="43"/>
        <v>111</v>
      </c>
      <c r="H287" s="23">
        <f t="shared" ca="1" si="38"/>
        <v>411</v>
      </c>
      <c r="I287" s="23">
        <f t="shared" ca="1" si="39"/>
        <v>25440</v>
      </c>
    </row>
    <row r="288" spans="2:9">
      <c r="B288" s="23">
        <f t="shared" ca="1" si="40"/>
        <v>187</v>
      </c>
      <c r="C288" s="23">
        <f t="shared" ca="1" si="41"/>
        <v>187</v>
      </c>
      <c r="D288" s="23">
        <f t="shared" ca="1" si="36"/>
        <v>5745</v>
      </c>
      <c r="E288" s="23">
        <f t="shared" ca="1" si="37"/>
        <v>0</v>
      </c>
      <c r="F288" s="23">
        <f t="shared" si="42"/>
        <v>168</v>
      </c>
      <c r="G288" s="23">
        <f t="shared" ca="1" si="43"/>
        <v>0</v>
      </c>
      <c r="H288" s="23">
        <f t="shared" ca="1" si="38"/>
        <v>187</v>
      </c>
      <c r="I288" s="23">
        <f t="shared" ca="1" si="39"/>
        <v>5745</v>
      </c>
    </row>
    <row r="289" spans="2:9">
      <c r="B289" s="23">
        <f t="shared" ca="1" si="40"/>
        <v>420</v>
      </c>
      <c r="C289" s="23">
        <f t="shared" ca="1" si="41"/>
        <v>300</v>
      </c>
      <c r="D289" s="23">
        <f t="shared" ca="1" si="36"/>
        <v>21000</v>
      </c>
      <c r="E289" s="23">
        <f t="shared" ca="1" si="37"/>
        <v>120</v>
      </c>
      <c r="F289" s="23">
        <f t="shared" si="42"/>
        <v>168</v>
      </c>
      <c r="G289" s="23">
        <f t="shared" ca="1" si="43"/>
        <v>120</v>
      </c>
      <c r="H289" s="23">
        <f t="shared" ca="1" si="38"/>
        <v>420</v>
      </c>
      <c r="I289" s="23">
        <f t="shared" ca="1" si="39"/>
        <v>25800</v>
      </c>
    </row>
    <row r="290" spans="2:9">
      <c r="B290" s="23">
        <f t="shared" ca="1" si="40"/>
        <v>294</v>
      </c>
      <c r="C290" s="23">
        <f t="shared" ca="1" si="41"/>
        <v>294</v>
      </c>
      <c r="D290" s="23">
        <f t="shared" ca="1" si="36"/>
        <v>20190</v>
      </c>
      <c r="E290" s="23">
        <f t="shared" ca="1" si="37"/>
        <v>0</v>
      </c>
      <c r="F290" s="23">
        <f t="shared" si="42"/>
        <v>168</v>
      </c>
      <c r="G290" s="23">
        <f t="shared" ca="1" si="43"/>
        <v>0</v>
      </c>
      <c r="H290" s="23">
        <f t="shared" ca="1" si="38"/>
        <v>294</v>
      </c>
      <c r="I290" s="23">
        <f t="shared" ca="1" si="39"/>
        <v>20190</v>
      </c>
    </row>
    <row r="291" spans="2:9">
      <c r="B291" s="23">
        <f t="shared" ca="1" si="40"/>
        <v>483</v>
      </c>
      <c r="C291" s="23">
        <f t="shared" ca="1" si="41"/>
        <v>300</v>
      </c>
      <c r="D291" s="23">
        <f t="shared" ca="1" si="36"/>
        <v>21000</v>
      </c>
      <c r="E291" s="23">
        <f t="shared" ca="1" si="37"/>
        <v>183</v>
      </c>
      <c r="F291" s="23">
        <f t="shared" si="42"/>
        <v>168</v>
      </c>
      <c r="G291" s="23">
        <f t="shared" ca="1" si="43"/>
        <v>168</v>
      </c>
      <c r="H291" s="23">
        <f t="shared" ca="1" si="38"/>
        <v>468</v>
      </c>
      <c r="I291" s="23">
        <f t="shared" ca="1" si="39"/>
        <v>27720</v>
      </c>
    </row>
    <row r="292" spans="2:9">
      <c r="B292" s="23">
        <f t="shared" ca="1" si="40"/>
        <v>186</v>
      </c>
      <c r="C292" s="23">
        <f t="shared" ca="1" si="41"/>
        <v>186</v>
      </c>
      <c r="D292" s="23">
        <f t="shared" ca="1" si="36"/>
        <v>5610</v>
      </c>
      <c r="E292" s="23">
        <f t="shared" ca="1" si="37"/>
        <v>0</v>
      </c>
      <c r="F292" s="23">
        <f t="shared" si="42"/>
        <v>168</v>
      </c>
      <c r="G292" s="23">
        <f t="shared" ca="1" si="43"/>
        <v>0</v>
      </c>
      <c r="H292" s="23">
        <f t="shared" ca="1" si="38"/>
        <v>186</v>
      </c>
      <c r="I292" s="23">
        <f t="shared" ca="1" si="39"/>
        <v>5610</v>
      </c>
    </row>
    <row r="293" spans="2:9">
      <c r="B293" s="23">
        <f t="shared" ca="1" si="40"/>
        <v>224</v>
      </c>
      <c r="C293" s="23">
        <f t="shared" ca="1" si="41"/>
        <v>224</v>
      </c>
      <c r="D293" s="23">
        <f t="shared" ca="1" si="36"/>
        <v>10740</v>
      </c>
      <c r="E293" s="23">
        <f t="shared" ca="1" si="37"/>
        <v>0</v>
      </c>
      <c r="F293" s="23">
        <f t="shared" si="42"/>
        <v>168</v>
      </c>
      <c r="G293" s="23">
        <f t="shared" ca="1" si="43"/>
        <v>0</v>
      </c>
      <c r="H293" s="23">
        <f t="shared" ca="1" si="38"/>
        <v>224</v>
      </c>
      <c r="I293" s="23">
        <f t="shared" ca="1" si="39"/>
        <v>10740</v>
      </c>
    </row>
    <row r="294" spans="2:9">
      <c r="B294" s="23">
        <f t="shared" ca="1" si="40"/>
        <v>207</v>
      </c>
      <c r="C294" s="23">
        <f t="shared" ca="1" si="41"/>
        <v>207</v>
      </c>
      <c r="D294" s="23">
        <f t="shared" ca="1" si="36"/>
        <v>8445</v>
      </c>
      <c r="E294" s="23">
        <f t="shared" ca="1" si="37"/>
        <v>0</v>
      </c>
      <c r="F294" s="23">
        <f t="shared" si="42"/>
        <v>168</v>
      </c>
      <c r="G294" s="23">
        <f t="shared" ca="1" si="43"/>
        <v>0</v>
      </c>
      <c r="H294" s="23">
        <f t="shared" ca="1" si="38"/>
        <v>207</v>
      </c>
      <c r="I294" s="23">
        <f t="shared" ca="1" si="39"/>
        <v>8445</v>
      </c>
    </row>
    <row r="295" spans="2:9">
      <c r="B295" s="23">
        <f t="shared" ca="1" si="40"/>
        <v>173</v>
      </c>
      <c r="C295" s="23">
        <f t="shared" ca="1" si="41"/>
        <v>173</v>
      </c>
      <c r="D295" s="23">
        <f t="shared" ca="1" si="36"/>
        <v>3855</v>
      </c>
      <c r="E295" s="23">
        <f t="shared" ca="1" si="37"/>
        <v>0</v>
      </c>
      <c r="F295" s="23">
        <f t="shared" si="42"/>
        <v>168</v>
      </c>
      <c r="G295" s="23">
        <f t="shared" ca="1" si="43"/>
        <v>0</v>
      </c>
      <c r="H295" s="23">
        <f t="shared" ca="1" si="38"/>
        <v>173</v>
      </c>
      <c r="I295" s="23">
        <f t="shared" ca="1" si="39"/>
        <v>3855</v>
      </c>
    </row>
    <row r="296" spans="2:9">
      <c r="B296" s="23">
        <f t="shared" ca="1" si="40"/>
        <v>418</v>
      </c>
      <c r="C296" s="23">
        <f t="shared" ca="1" si="41"/>
        <v>300</v>
      </c>
      <c r="D296" s="23">
        <f t="shared" ca="1" si="36"/>
        <v>21000</v>
      </c>
      <c r="E296" s="23">
        <f t="shared" ca="1" si="37"/>
        <v>118</v>
      </c>
      <c r="F296" s="23">
        <f t="shared" si="42"/>
        <v>168</v>
      </c>
      <c r="G296" s="23">
        <f t="shared" ca="1" si="43"/>
        <v>118</v>
      </c>
      <c r="H296" s="23">
        <f t="shared" ca="1" si="38"/>
        <v>418</v>
      </c>
      <c r="I296" s="23">
        <f t="shared" ca="1" si="39"/>
        <v>25720</v>
      </c>
    </row>
    <row r="297" spans="2:9">
      <c r="B297" s="23">
        <f t="shared" ca="1" si="40"/>
        <v>231</v>
      </c>
      <c r="C297" s="23">
        <f t="shared" ca="1" si="41"/>
        <v>231</v>
      </c>
      <c r="D297" s="23">
        <f t="shared" ca="1" si="36"/>
        <v>11685</v>
      </c>
      <c r="E297" s="23">
        <f t="shared" ca="1" si="37"/>
        <v>0</v>
      </c>
      <c r="F297" s="23">
        <f t="shared" si="42"/>
        <v>168</v>
      </c>
      <c r="G297" s="23">
        <f t="shared" ca="1" si="43"/>
        <v>0</v>
      </c>
      <c r="H297" s="23">
        <f t="shared" ca="1" si="38"/>
        <v>231</v>
      </c>
      <c r="I297" s="23">
        <f t="shared" ca="1" si="39"/>
        <v>11685</v>
      </c>
    </row>
    <row r="298" spans="2:9">
      <c r="B298" s="23">
        <f t="shared" ca="1" si="40"/>
        <v>221</v>
      </c>
      <c r="C298" s="23">
        <f t="shared" ca="1" si="41"/>
        <v>221</v>
      </c>
      <c r="D298" s="23">
        <f t="shared" ca="1" si="36"/>
        <v>10335</v>
      </c>
      <c r="E298" s="23">
        <f t="shared" ca="1" si="37"/>
        <v>0</v>
      </c>
      <c r="F298" s="23">
        <f t="shared" si="42"/>
        <v>168</v>
      </c>
      <c r="G298" s="23">
        <f t="shared" ca="1" si="43"/>
        <v>0</v>
      </c>
      <c r="H298" s="23">
        <f t="shared" ca="1" si="38"/>
        <v>221</v>
      </c>
      <c r="I298" s="23">
        <f t="shared" ca="1" si="39"/>
        <v>10335</v>
      </c>
    </row>
    <row r="299" spans="2:9">
      <c r="B299" s="23">
        <f t="shared" ca="1" si="40"/>
        <v>464</v>
      </c>
      <c r="C299" s="23">
        <f t="shared" ca="1" si="41"/>
        <v>300</v>
      </c>
      <c r="D299" s="23">
        <f t="shared" ca="1" si="36"/>
        <v>21000</v>
      </c>
      <c r="E299" s="23">
        <f t="shared" ca="1" si="37"/>
        <v>164</v>
      </c>
      <c r="F299" s="23">
        <f t="shared" si="42"/>
        <v>168</v>
      </c>
      <c r="G299" s="23">
        <f t="shared" ca="1" si="43"/>
        <v>164</v>
      </c>
      <c r="H299" s="23">
        <f t="shared" ca="1" si="38"/>
        <v>464</v>
      </c>
      <c r="I299" s="23">
        <f t="shared" ca="1" si="39"/>
        <v>27560</v>
      </c>
    </row>
    <row r="300" spans="2:9">
      <c r="B300" s="23">
        <f t="shared" ca="1" si="40"/>
        <v>246</v>
      </c>
      <c r="C300" s="23">
        <f t="shared" ca="1" si="41"/>
        <v>246</v>
      </c>
      <c r="D300" s="23">
        <f t="shared" ca="1" si="36"/>
        <v>13710</v>
      </c>
      <c r="E300" s="23">
        <f t="shared" ca="1" si="37"/>
        <v>0</v>
      </c>
      <c r="F300" s="23">
        <f t="shared" si="42"/>
        <v>168</v>
      </c>
      <c r="G300" s="23">
        <f t="shared" ca="1" si="43"/>
        <v>0</v>
      </c>
      <c r="H300" s="23">
        <f t="shared" ca="1" si="38"/>
        <v>246</v>
      </c>
      <c r="I300" s="23">
        <f t="shared" ca="1" si="39"/>
        <v>13710</v>
      </c>
    </row>
    <row r="301" spans="2:9">
      <c r="B301" s="23">
        <f t="shared" ca="1" si="40"/>
        <v>213</v>
      </c>
      <c r="C301" s="23">
        <f t="shared" ca="1" si="41"/>
        <v>213</v>
      </c>
      <c r="D301" s="23">
        <f t="shared" ca="1" si="36"/>
        <v>9255</v>
      </c>
      <c r="E301" s="23">
        <f t="shared" ca="1" si="37"/>
        <v>0</v>
      </c>
      <c r="F301" s="23">
        <f t="shared" si="42"/>
        <v>168</v>
      </c>
      <c r="G301" s="23">
        <f t="shared" ca="1" si="43"/>
        <v>0</v>
      </c>
      <c r="H301" s="23">
        <f t="shared" ca="1" si="38"/>
        <v>213</v>
      </c>
      <c r="I301" s="23">
        <f t="shared" ca="1" si="39"/>
        <v>9255</v>
      </c>
    </row>
    <row r="302" spans="2:9">
      <c r="B302" s="23">
        <f t="shared" ca="1" si="40"/>
        <v>353</v>
      </c>
      <c r="C302" s="23">
        <f t="shared" ca="1" si="41"/>
        <v>300</v>
      </c>
      <c r="D302" s="23">
        <f t="shared" ca="1" si="36"/>
        <v>21000</v>
      </c>
      <c r="E302" s="23">
        <f t="shared" ca="1" si="37"/>
        <v>53</v>
      </c>
      <c r="F302" s="23">
        <f t="shared" si="42"/>
        <v>168</v>
      </c>
      <c r="G302" s="23">
        <f t="shared" ca="1" si="43"/>
        <v>53</v>
      </c>
      <c r="H302" s="23">
        <f t="shared" ca="1" si="38"/>
        <v>353</v>
      </c>
      <c r="I302" s="23">
        <f t="shared" ca="1" si="39"/>
        <v>23120</v>
      </c>
    </row>
    <row r="303" spans="2:9">
      <c r="B303" s="23">
        <f t="shared" ca="1" si="40"/>
        <v>151</v>
      </c>
      <c r="C303" s="23">
        <f t="shared" ca="1" si="41"/>
        <v>151</v>
      </c>
      <c r="D303" s="23">
        <f t="shared" ca="1" si="36"/>
        <v>885</v>
      </c>
      <c r="E303" s="23">
        <f t="shared" ca="1" si="37"/>
        <v>0</v>
      </c>
      <c r="F303" s="23">
        <f t="shared" si="42"/>
        <v>168</v>
      </c>
      <c r="G303" s="23">
        <f t="shared" ca="1" si="43"/>
        <v>0</v>
      </c>
      <c r="H303" s="23">
        <f t="shared" ca="1" si="38"/>
        <v>151</v>
      </c>
      <c r="I303" s="23">
        <f t="shared" ca="1" si="39"/>
        <v>885</v>
      </c>
    </row>
    <row r="304" spans="2:9">
      <c r="B304" s="23">
        <f t="shared" ca="1" si="40"/>
        <v>320</v>
      </c>
      <c r="C304" s="23">
        <f t="shared" ca="1" si="41"/>
        <v>300</v>
      </c>
      <c r="D304" s="23">
        <f t="shared" ca="1" si="36"/>
        <v>21000</v>
      </c>
      <c r="E304" s="23">
        <f t="shared" ca="1" si="37"/>
        <v>20</v>
      </c>
      <c r="F304" s="23">
        <f t="shared" si="42"/>
        <v>168</v>
      </c>
      <c r="G304" s="23">
        <f t="shared" ca="1" si="43"/>
        <v>20</v>
      </c>
      <c r="H304" s="23">
        <f t="shared" ca="1" si="38"/>
        <v>320</v>
      </c>
      <c r="I304" s="23">
        <f t="shared" ca="1" si="39"/>
        <v>21800</v>
      </c>
    </row>
    <row r="305" spans="2:9">
      <c r="B305" s="23">
        <f t="shared" ca="1" si="40"/>
        <v>348</v>
      </c>
      <c r="C305" s="23">
        <f t="shared" ca="1" si="41"/>
        <v>300</v>
      </c>
      <c r="D305" s="23">
        <f t="shared" ca="1" si="36"/>
        <v>21000</v>
      </c>
      <c r="E305" s="23">
        <f t="shared" ca="1" si="37"/>
        <v>48</v>
      </c>
      <c r="F305" s="23">
        <f t="shared" si="42"/>
        <v>168</v>
      </c>
      <c r="G305" s="23">
        <f t="shared" ca="1" si="43"/>
        <v>48</v>
      </c>
      <c r="H305" s="23">
        <f t="shared" ca="1" si="38"/>
        <v>348</v>
      </c>
      <c r="I305" s="23">
        <f t="shared" ca="1" si="39"/>
        <v>22920</v>
      </c>
    </row>
    <row r="306" spans="2:9">
      <c r="B306" s="23">
        <f t="shared" ca="1" si="40"/>
        <v>114</v>
      </c>
      <c r="C306" s="23">
        <f t="shared" ca="1" si="41"/>
        <v>114</v>
      </c>
      <c r="D306" s="23">
        <f t="shared" ca="1" si="36"/>
        <v>-4110</v>
      </c>
      <c r="E306" s="23">
        <f t="shared" ca="1" si="37"/>
        <v>0</v>
      </c>
      <c r="F306" s="23">
        <f t="shared" si="42"/>
        <v>168</v>
      </c>
      <c r="G306" s="23">
        <f t="shared" ca="1" si="43"/>
        <v>0</v>
      </c>
      <c r="H306" s="23">
        <f t="shared" ca="1" si="38"/>
        <v>114</v>
      </c>
      <c r="I306" s="23">
        <f t="shared" ca="1" si="39"/>
        <v>-4110</v>
      </c>
    </row>
    <row r="307" spans="2:9">
      <c r="B307" s="23">
        <f t="shared" ca="1" si="40"/>
        <v>188</v>
      </c>
      <c r="C307" s="23">
        <f t="shared" ca="1" si="41"/>
        <v>188</v>
      </c>
      <c r="D307" s="23">
        <f t="shared" ca="1" si="36"/>
        <v>5880</v>
      </c>
      <c r="E307" s="23">
        <f t="shared" ca="1" si="37"/>
        <v>0</v>
      </c>
      <c r="F307" s="23">
        <f t="shared" si="42"/>
        <v>168</v>
      </c>
      <c r="G307" s="23">
        <f t="shared" ca="1" si="43"/>
        <v>0</v>
      </c>
      <c r="H307" s="23">
        <f t="shared" ca="1" si="38"/>
        <v>188</v>
      </c>
      <c r="I307" s="23">
        <f t="shared" ca="1" si="39"/>
        <v>5880</v>
      </c>
    </row>
    <row r="308" spans="2:9">
      <c r="B308" s="23">
        <f t="shared" ca="1" si="40"/>
        <v>234</v>
      </c>
      <c r="C308" s="23">
        <f t="shared" ca="1" si="41"/>
        <v>234</v>
      </c>
      <c r="D308" s="23">
        <f t="shared" ca="1" si="36"/>
        <v>12090</v>
      </c>
      <c r="E308" s="23">
        <f t="shared" ca="1" si="37"/>
        <v>0</v>
      </c>
      <c r="F308" s="23">
        <f t="shared" si="42"/>
        <v>168</v>
      </c>
      <c r="G308" s="23">
        <f t="shared" ca="1" si="43"/>
        <v>0</v>
      </c>
      <c r="H308" s="23">
        <f t="shared" ca="1" si="38"/>
        <v>234</v>
      </c>
      <c r="I308" s="23">
        <f t="shared" ca="1" si="39"/>
        <v>12090</v>
      </c>
    </row>
    <row r="309" spans="2:9">
      <c r="B309" s="23">
        <f t="shared" ca="1" si="40"/>
        <v>253</v>
      </c>
      <c r="C309" s="23">
        <f t="shared" ca="1" si="41"/>
        <v>253</v>
      </c>
      <c r="D309" s="23">
        <f t="shared" ca="1" si="36"/>
        <v>14655</v>
      </c>
      <c r="E309" s="23">
        <f t="shared" ca="1" si="37"/>
        <v>0</v>
      </c>
      <c r="F309" s="23">
        <f t="shared" si="42"/>
        <v>168</v>
      </c>
      <c r="G309" s="23">
        <f t="shared" ca="1" si="43"/>
        <v>0</v>
      </c>
      <c r="H309" s="23">
        <f t="shared" ca="1" si="38"/>
        <v>253</v>
      </c>
      <c r="I309" s="23">
        <f t="shared" ca="1" si="39"/>
        <v>14655</v>
      </c>
    </row>
    <row r="310" spans="2:9">
      <c r="B310" s="23">
        <f t="shared" ca="1" si="40"/>
        <v>238</v>
      </c>
      <c r="C310" s="23">
        <f t="shared" ca="1" si="41"/>
        <v>238</v>
      </c>
      <c r="D310" s="23">
        <f t="shared" ca="1" si="36"/>
        <v>12630</v>
      </c>
      <c r="E310" s="23">
        <f t="shared" ca="1" si="37"/>
        <v>0</v>
      </c>
      <c r="F310" s="23">
        <f t="shared" si="42"/>
        <v>168</v>
      </c>
      <c r="G310" s="23">
        <f t="shared" ca="1" si="43"/>
        <v>0</v>
      </c>
      <c r="H310" s="23">
        <f t="shared" ca="1" si="38"/>
        <v>238</v>
      </c>
      <c r="I310" s="23">
        <f t="shared" ca="1" si="39"/>
        <v>12630</v>
      </c>
    </row>
    <row r="311" spans="2:9">
      <c r="B311" s="23">
        <f t="shared" ca="1" si="40"/>
        <v>140</v>
      </c>
      <c r="C311" s="23">
        <f t="shared" ca="1" si="41"/>
        <v>140</v>
      </c>
      <c r="D311" s="23">
        <f t="shared" ca="1" si="36"/>
        <v>-600</v>
      </c>
      <c r="E311" s="23">
        <f t="shared" ca="1" si="37"/>
        <v>0</v>
      </c>
      <c r="F311" s="23">
        <f t="shared" si="42"/>
        <v>168</v>
      </c>
      <c r="G311" s="23">
        <f t="shared" ca="1" si="43"/>
        <v>0</v>
      </c>
      <c r="H311" s="23">
        <f t="shared" ca="1" si="38"/>
        <v>140</v>
      </c>
      <c r="I311" s="23">
        <f t="shared" ca="1" si="39"/>
        <v>-600</v>
      </c>
    </row>
    <row r="312" spans="2:9">
      <c r="B312" s="23">
        <f t="shared" ca="1" si="40"/>
        <v>180</v>
      </c>
      <c r="C312" s="23">
        <f t="shared" ca="1" si="41"/>
        <v>180</v>
      </c>
      <c r="D312" s="23">
        <f t="shared" ca="1" si="36"/>
        <v>4800</v>
      </c>
      <c r="E312" s="23">
        <f t="shared" ca="1" si="37"/>
        <v>0</v>
      </c>
      <c r="F312" s="23">
        <f t="shared" si="42"/>
        <v>168</v>
      </c>
      <c r="G312" s="23">
        <f t="shared" ca="1" si="43"/>
        <v>0</v>
      </c>
      <c r="H312" s="23">
        <f t="shared" ca="1" si="38"/>
        <v>180</v>
      </c>
      <c r="I312" s="23">
        <f t="shared" ca="1" si="39"/>
        <v>4800</v>
      </c>
    </row>
    <row r="313" spans="2:9">
      <c r="B313" s="23">
        <f t="shared" ca="1" si="40"/>
        <v>213</v>
      </c>
      <c r="C313" s="23">
        <f t="shared" ca="1" si="41"/>
        <v>213</v>
      </c>
      <c r="D313" s="23">
        <f t="shared" ca="1" si="36"/>
        <v>9255</v>
      </c>
      <c r="E313" s="23">
        <f t="shared" ca="1" si="37"/>
        <v>0</v>
      </c>
      <c r="F313" s="23">
        <f t="shared" si="42"/>
        <v>168</v>
      </c>
      <c r="G313" s="23">
        <f t="shared" ca="1" si="43"/>
        <v>0</v>
      </c>
      <c r="H313" s="23">
        <f t="shared" ca="1" si="38"/>
        <v>213</v>
      </c>
      <c r="I313" s="23">
        <f t="shared" ca="1" si="39"/>
        <v>9255</v>
      </c>
    </row>
    <row r="314" spans="2:9">
      <c r="B314" s="23">
        <f t="shared" ca="1" si="40"/>
        <v>157</v>
      </c>
      <c r="C314" s="23">
        <f t="shared" ca="1" si="41"/>
        <v>157</v>
      </c>
      <c r="D314" s="23">
        <f t="shared" ca="1" si="36"/>
        <v>1695</v>
      </c>
      <c r="E314" s="23">
        <f t="shared" ca="1" si="37"/>
        <v>0</v>
      </c>
      <c r="F314" s="23">
        <f t="shared" si="42"/>
        <v>168</v>
      </c>
      <c r="G314" s="23">
        <f t="shared" ca="1" si="43"/>
        <v>0</v>
      </c>
      <c r="H314" s="23">
        <f t="shared" ca="1" si="38"/>
        <v>157</v>
      </c>
      <c r="I314" s="23">
        <f t="shared" ca="1" si="39"/>
        <v>1695</v>
      </c>
    </row>
    <row r="315" spans="2:9">
      <c r="B315" s="23">
        <f t="shared" ca="1" si="40"/>
        <v>178</v>
      </c>
      <c r="C315" s="23">
        <f t="shared" ca="1" si="41"/>
        <v>178</v>
      </c>
      <c r="D315" s="23">
        <f t="shared" ca="1" si="36"/>
        <v>4530</v>
      </c>
      <c r="E315" s="23">
        <f t="shared" ca="1" si="37"/>
        <v>0</v>
      </c>
      <c r="F315" s="23">
        <f t="shared" si="42"/>
        <v>168</v>
      </c>
      <c r="G315" s="23">
        <f t="shared" ca="1" si="43"/>
        <v>0</v>
      </c>
      <c r="H315" s="23">
        <f t="shared" ca="1" si="38"/>
        <v>178</v>
      </c>
      <c r="I315" s="23">
        <f t="shared" ca="1" si="39"/>
        <v>4530</v>
      </c>
    </row>
    <row r="316" spans="2:9">
      <c r="B316" s="23">
        <f t="shared" ca="1" si="40"/>
        <v>332</v>
      </c>
      <c r="C316" s="23">
        <f t="shared" ca="1" si="41"/>
        <v>300</v>
      </c>
      <c r="D316" s="23">
        <f t="shared" ca="1" si="36"/>
        <v>21000</v>
      </c>
      <c r="E316" s="23">
        <f t="shared" ca="1" si="37"/>
        <v>32</v>
      </c>
      <c r="F316" s="23">
        <f t="shared" si="42"/>
        <v>168</v>
      </c>
      <c r="G316" s="23">
        <f t="shared" ca="1" si="43"/>
        <v>32</v>
      </c>
      <c r="H316" s="23">
        <f t="shared" ca="1" si="38"/>
        <v>332</v>
      </c>
      <c r="I316" s="23">
        <f t="shared" ca="1" si="39"/>
        <v>22280</v>
      </c>
    </row>
    <row r="317" spans="2:9">
      <c r="B317" s="23">
        <f t="shared" ca="1" si="40"/>
        <v>292</v>
      </c>
      <c r="C317" s="23">
        <f t="shared" ca="1" si="41"/>
        <v>292</v>
      </c>
      <c r="D317" s="23">
        <f t="shared" ca="1" si="36"/>
        <v>19920</v>
      </c>
      <c r="E317" s="23">
        <f t="shared" ca="1" si="37"/>
        <v>0</v>
      </c>
      <c r="F317" s="23">
        <f t="shared" si="42"/>
        <v>168</v>
      </c>
      <c r="G317" s="23">
        <f t="shared" ca="1" si="43"/>
        <v>0</v>
      </c>
      <c r="H317" s="23">
        <f t="shared" ca="1" si="38"/>
        <v>292</v>
      </c>
      <c r="I317" s="23">
        <f t="shared" ca="1" si="39"/>
        <v>19920</v>
      </c>
    </row>
    <row r="318" spans="2:9">
      <c r="B318" s="23">
        <f t="shared" ca="1" si="40"/>
        <v>414</v>
      </c>
      <c r="C318" s="23">
        <f t="shared" ca="1" si="41"/>
        <v>300</v>
      </c>
      <c r="D318" s="23">
        <f t="shared" ca="1" si="36"/>
        <v>21000</v>
      </c>
      <c r="E318" s="23">
        <f t="shared" ca="1" si="37"/>
        <v>114</v>
      </c>
      <c r="F318" s="23">
        <f t="shared" si="42"/>
        <v>168</v>
      </c>
      <c r="G318" s="23">
        <f t="shared" ca="1" si="43"/>
        <v>114</v>
      </c>
      <c r="H318" s="23">
        <f t="shared" ca="1" si="38"/>
        <v>414</v>
      </c>
      <c r="I318" s="23">
        <f t="shared" ca="1" si="39"/>
        <v>25560</v>
      </c>
    </row>
    <row r="319" spans="2:9">
      <c r="B319" s="23">
        <f t="shared" ca="1" si="40"/>
        <v>357</v>
      </c>
      <c r="C319" s="23">
        <f t="shared" ca="1" si="41"/>
        <v>300</v>
      </c>
      <c r="D319" s="23">
        <f t="shared" ca="1" si="36"/>
        <v>21000</v>
      </c>
      <c r="E319" s="23">
        <f t="shared" ca="1" si="37"/>
        <v>57</v>
      </c>
      <c r="F319" s="23">
        <f t="shared" si="42"/>
        <v>168</v>
      </c>
      <c r="G319" s="23">
        <f t="shared" ca="1" si="43"/>
        <v>57</v>
      </c>
      <c r="H319" s="23">
        <f t="shared" ca="1" si="38"/>
        <v>357</v>
      </c>
      <c r="I319" s="23">
        <f t="shared" ca="1" si="39"/>
        <v>23280</v>
      </c>
    </row>
    <row r="320" spans="2:9">
      <c r="B320" s="23">
        <f t="shared" ca="1" si="40"/>
        <v>292</v>
      </c>
      <c r="C320" s="23">
        <f t="shared" ca="1" si="41"/>
        <v>292</v>
      </c>
      <c r="D320" s="23">
        <f t="shared" ca="1" si="36"/>
        <v>19920</v>
      </c>
      <c r="E320" s="23">
        <f t="shared" ca="1" si="37"/>
        <v>0</v>
      </c>
      <c r="F320" s="23">
        <f t="shared" si="42"/>
        <v>168</v>
      </c>
      <c r="G320" s="23">
        <f t="shared" ca="1" si="43"/>
        <v>0</v>
      </c>
      <c r="H320" s="23">
        <f t="shared" ca="1" si="38"/>
        <v>292</v>
      </c>
      <c r="I320" s="23">
        <f t="shared" ca="1" si="39"/>
        <v>19920</v>
      </c>
    </row>
    <row r="321" spans="2:9">
      <c r="B321" s="23">
        <f t="shared" ca="1" si="40"/>
        <v>337</v>
      </c>
      <c r="C321" s="23">
        <f t="shared" ca="1" si="41"/>
        <v>300</v>
      </c>
      <c r="D321" s="23">
        <f t="shared" ca="1" si="36"/>
        <v>21000</v>
      </c>
      <c r="E321" s="23">
        <f t="shared" ca="1" si="37"/>
        <v>37</v>
      </c>
      <c r="F321" s="23">
        <f t="shared" si="42"/>
        <v>168</v>
      </c>
      <c r="G321" s="23">
        <f t="shared" ca="1" si="43"/>
        <v>37</v>
      </c>
      <c r="H321" s="23">
        <f t="shared" ca="1" si="38"/>
        <v>337</v>
      </c>
      <c r="I321" s="23">
        <f t="shared" ca="1" si="39"/>
        <v>22480</v>
      </c>
    </row>
    <row r="322" spans="2:9">
      <c r="B322" s="23">
        <f t="shared" ca="1" si="40"/>
        <v>252</v>
      </c>
      <c r="C322" s="23">
        <f t="shared" ca="1" si="41"/>
        <v>252</v>
      </c>
      <c r="D322" s="23">
        <f t="shared" ca="1" si="36"/>
        <v>14520</v>
      </c>
      <c r="E322" s="23">
        <f t="shared" ca="1" si="37"/>
        <v>0</v>
      </c>
      <c r="F322" s="23">
        <f t="shared" si="42"/>
        <v>168</v>
      </c>
      <c r="G322" s="23">
        <f t="shared" ca="1" si="43"/>
        <v>0</v>
      </c>
      <c r="H322" s="23">
        <f t="shared" ca="1" si="38"/>
        <v>252</v>
      </c>
      <c r="I322" s="23">
        <f t="shared" ca="1" si="39"/>
        <v>14520</v>
      </c>
    </row>
    <row r="323" spans="2:9">
      <c r="B323" s="23">
        <f t="shared" ca="1" si="40"/>
        <v>215</v>
      </c>
      <c r="C323" s="23">
        <f t="shared" ca="1" si="41"/>
        <v>215</v>
      </c>
      <c r="D323" s="23">
        <f t="shared" ca="1" si="36"/>
        <v>9525</v>
      </c>
      <c r="E323" s="23">
        <f t="shared" ca="1" si="37"/>
        <v>0</v>
      </c>
      <c r="F323" s="23">
        <f t="shared" si="42"/>
        <v>168</v>
      </c>
      <c r="G323" s="23">
        <f t="shared" ca="1" si="43"/>
        <v>0</v>
      </c>
      <c r="H323" s="23">
        <f t="shared" ca="1" si="38"/>
        <v>215</v>
      </c>
      <c r="I323" s="23">
        <f t="shared" ca="1" si="39"/>
        <v>9525</v>
      </c>
    </row>
    <row r="324" spans="2:9">
      <c r="B324" s="23">
        <f t="shared" ca="1" si="40"/>
        <v>519</v>
      </c>
      <c r="C324" s="23">
        <f t="shared" ca="1" si="41"/>
        <v>300</v>
      </c>
      <c r="D324" s="23">
        <f t="shared" ca="1" si="36"/>
        <v>21000</v>
      </c>
      <c r="E324" s="23">
        <f t="shared" ca="1" si="37"/>
        <v>219</v>
      </c>
      <c r="F324" s="23">
        <f t="shared" si="42"/>
        <v>168</v>
      </c>
      <c r="G324" s="23">
        <f t="shared" ca="1" si="43"/>
        <v>168</v>
      </c>
      <c r="H324" s="23">
        <f t="shared" ca="1" si="38"/>
        <v>468</v>
      </c>
      <c r="I324" s="23">
        <f t="shared" ca="1" si="39"/>
        <v>27720</v>
      </c>
    </row>
    <row r="325" spans="2:9">
      <c r="B325" s="23">
        <f t="shared" ca="1" si="40"/>
        <v>194</v>
      </c>
      <c r="C325" s="23">
        <f t="shared" ca="1" si="41"/>
        <v>194</v>
      </c>
      <c r="D325" s="23">
        <f t="shared" ca="1" si="36"/>
        <v>6690</v>
      </c>
      <c r="E325" s="23">
        <f t="shared" ca="1" si="37"/>
        <v>0</v>
      </c>
      <c r="F325" s="23">
        <f t="shared" si="42"/>
        <v>168</v>
      </c>
      <c r="G325" s="23">
        <f t="shared" ca="1" si="43"/>
        <v>0</v>
      </c>
      <c r="H325" s="23">
        <f t="shared" ca="1" si="38"/>
        <v>194</v>
      </c>
      <c r="I325" s="23">
        <f t="shared" ca="1" si="39"/>
        <v>6690</v>
      </c>
    </row>
    <row r="326" spans="2:9">
      <c r="B326" s="23">
        <f t="shared" ca="1" si="40"/>
        <v>221</v>
      </c>
      <c r="C326" s="23">
        <f t="shared" ca="1" si="41"/>
        <v>221</v>
      </c>
      <c r="D326" s="23">
        <f t="shared" ca="1" si="36"/>
        <v>10335</v>
      </c>
      <c r="E326" s="23">
        <f t="shared" ca="1" si="37"/>
        <v>0</v>
      </c>
      <c r="F326" s="23">
        <f t="shared" si="42"/>
        <v>168</v>
      </c>
      <c r="G326" s="23">
        <f t="shared" ca="1" si="43"/>
        <v>0</v>
      </c>
      <c r="H326" s="23">
        <f t="shared" ca="1" si="38"/>
        <v>221</v>
      </c>
      <c r="I326" s="23">
        <f t="shared" ca="1" si="39"/>
        <v>10335</v>
      </c>
    </row>
    <row r="327" spans="2:9">
      <c r="B327" s="23">
        <f t="shared" ca="1" si="40"/>
        <v>394</v>
      </c>
      <c r="C327" s="23">
        <f t="shared" ca="1" si="41"/>
        <v>300</v>
      </c>
      <c r="D327" s="23">
        <f t="shared" ca="1" si="36"/>
        <v>21000</v>
      </c>
      <c r="E327" s="23">
        <f t="shared" ca="1" si="37"/>
        <v>94</v>
      </c>
      <c r="F327" s="23">
        <f t="shared" si="42"/>
        <v>168</v>
      </c>
      <c r="G327" s="23">
        <f t="shared" ca="1" si="43"/>
        <v>94</v>
      </c>
      <c r="H327" s="23">
        <f t="shared" ca="1" si="38"/>
        <v>394</v>
      </c>
      <c r="I327" s="23">
        <f t="shared" ca="1" si="39"/>
        <v>24760</v>
      </c>
    </row>
    <row r="328" spans="2:9">
      <c r="B328" s="23">
        <f t="shared" ca="1" si="40"/>
        <v>428</v>
      </c>
      <c r="C328" s="23">
        <f t="shared" ca="1" si="41"/>
        <v>300</v>
      </c>
      <c r="D328" s="23">
        <f t="shared" ca="1" si="36"/>
        <v>21000</v>
      </c>
      <c r="E328" s="23">
        <f t="shared" ca="1" si="37"/>
        <v>128</v>
      </c>
      <c r="F328" s="23">
        <f t="shared" si="42"/>
        <v>168</v>
      </c>
      <c r="G328" s="23">
        <f t="shared" ca="1" si="43"/>
        <v>128</v>
      </c>
      <c r="H328" s="23">
        <f t="shared" ca="1" si="38"/>
        <v>428</v>
      </c>
      <c r="I328" s="23">
        <f t="shared" ca="1" si="39"/>
        <v>26120</v>
      </c>
    </row>
    <row r="329" spans="2:9">
      <c r="B329" s="23">
        <f t="shared" ca="1" si="40"/>
        <v>458</v>
      </c>
      <c r="C329" s="23">
        <f t="shared" ca="1" si="41"/>
        <v>300</v>
      </c>
      <c r="D329" s="23">
        <f t="shared" ca="1" si="36"/>
        <v>21000</v>
      </c>
      <c r="E329" s="23">
        <f t="shared" ca="1" si="37"/>
        <v>158</v>
      </c>
      <c r="F329" s="23">
        <f t="shared" si="42"/>
        <v>168</v>
      </c>
      <c r="G329" s="23">
        <f t="shared" ca="1" si="43"/>
        <v>158</v>
      </c>
      <c r="H329" s="23">
        <f t="shared" ca="1" si="38"/>
        <v>458</v>
      </c>
      <c r="I329" s="23">
        <f t="shared" ca="1" si="39"/>
        <v>27320</v>
      </c>
    </row>
    <row r="330" spans="2:9">
      <c r="B330" s="23">
        <f t="shared" ca="1" si="40"/>
        <v>340</v>
      </c>
      <c r="C330" s="23">
        <f t="shared" ca="1" si="41"/>
        <v>300</v>
      </c>
      <c r="D330" s="23">
        <f t="shared" ca="1" si="36"/>
        <v>21000</v>
      </c>
      <c r="E330" s="23">
        <f t="shared" ca="1" si="37"/>
        <v>40</v>
      </c>
      <c r="F330" s="23">
        <f t="shared" si="42"/>
        <v>168</v>
      </c>
      <c r="G330" s="23">
        <f t="shared" ca="1" si="43"/>
        <v>40</v>
      </c>
      <c r="H330" s="23">
        <f t="shared" ca="1" si="38"/>
        <v>340</v>
      </c>
      <c r="I330" s="23">
        <f t="shared" ca="1" si="39"/>
        <v>22600</v>
      </c>
    </row>
    <row r="331" spans="2:9">
      <c r="B331" s="23">
        <f t="shared" ca="1" si="40"/>
        <v>554</v>
      </c>
      <c r="C331" s="23">
        <f t="shared" ca="1" si="41"/>
        <v>300</v>
      </c>
      <c r="D331" s="23">
        <f t="shared" ca="1" si="36"/>
        <v>21000</v>
      </c>
      <c r="E331" s="23">
        <f t="shared" ca="1" si="37"/>
        <v>254</v>
      </c>
      <c r="F331" s="23">
        <f t="shared" si="42"/>
        <v>168</v>
      </c>
      <c r="G331" s="23">
        <f t="shared" ca="1" si="43"/>
        <v>168</v>
      </c>
      <c r="H331" s="23">
        <f t="shared" ca="1" si="38"/>
        <v>468</v>
      </c>
      <c r="I331" s="23">
        <f t="shared" ca="1" si="39"/>
        <v>27720</v>
      </c>
    </row>
    <row r="332" spans="2:9">
      <c r="B332" s="23">
        <f t="shared" ca="1" si="40"/>
        <v>264</v>
      </c>
      <c r="C332" s="23">
        <f t="shared" ca="1" si="41"/>
        <v>264</v>
      </c>
      <c r="D332" s="23">
        <f t="shared" ref="D332:D395" ca="1" si="44">C332*$B$3-$D$8*$B$2</f>
        <v>16140</v>
      </c>
      <c r="E332" s="23">
        <f t="shared" ref="E332:E395" ca="1" si="45">MAX(0, B332-$D$8)</f>
        <v>0</v>
      </c>
      <c r="F332" s="23">
        <f t="shared" si="42"/>
        <v>168</v>
      </c>
      <c r="G332" s="23">
        <f t="shared" ca="1" si="43"/>
        <v>0</v>
      </c>
      <c r="H332" s="23">
        <f t="shared" ref="H332:H395" ca="1" si="46">MIN(B332, $D$8+G332)</f>
        <v>264</v>
      </c>
      <c r="I332" s="23">
        <f t="shared" ref="I332:I395" ca="1" si="47">H332*$B$3-$D$8*$B$2-$B$1*G332</f>
        <v>16140</v>
      </c>
    </row>
    <row r="333" spans="2:9">
      <c r="B333" s="23">
        <f t="shared" ref="B333:B396" ca="1" si="48">_xlfn.FLOOR.MATH(_xlfn.NORM.INV(RAND(),$B$4,$B$5))</f>
        <v>381</v>
      </c>
      <c r="C333" s="23">
        <f t="shared" ref="C333:C396" ca="1" si="49">MIN(B333,$D$8)</f>
        <v>300</v>
      </c>
      <c r="D333" s="23">
        <f t="shared" ca="1" si="44"/>
        <v>21000</v>
      </c>
      <c r="E333" s="23">
        <f t="shared" ca="1" si="45"/>
        <v>81</v>
      </c>
      <c r="F333" s="23">
        <f t="shared" ref="F333:F396" si="50">12*(21-7)</f>
        <v>168</v>
      </c>
      <c r="G333" s="23">
        <f t="shared" ca="1" si="43"/>
        <v>81</v>
      </c>
      <c r="H333" s="23">
        <f t="shared" ca="1" si="46"/>
        <v>381</v>
      </c>
      <c r="I333" s="23">
        <f t="shared" ca="1" si="47"/>
        <v>24240</v>
      </c>
    </row>
    <row r="334" spans="2:9">
      <c r="B334" s="23">
        <f t="shared" ca="1" si="48"/>
        <v>373</v>
      </c>
      <c r="C334" s="23">
        <f t="shared" ca="1" si="49"/>
        <v>300</v>
      </c>
      <c r="D334" s="23">
        <f t="shared" ca="1" si="44"/>
        <v>21000</v>
      </c>
      <c r="E334" s="23">
        <f t="shared" ca="1" si="45"/>
        <v>73</v>
      </c>
      <c r="F334" s="23">
        <f t="shared" si="50"/>
        <v>168</v>
      </c>
      <c r="G334" s="23">
        <f t="shared" ca="1" si="43"/>
        <v>73</v>
      </c>
      <c r="H334" s="23">
        <f t="shared" ca="1" si="46"/>
        <v>373</v>
      </c>
      <c r="I334" s="23">
        <f t="shared" ca="1" si="47"/>
        <v>23920</v>
      </c>
    </row>
    <row r="335" spans="2:9">
      <c r="B335" s="23">
        <f t="shared" ca="1" si="48"/>
        <v>252</v>
      </c>
      <c r="C335" s="23">
        <f t="shared" ca="1" si="49"/>
        <v>252</v>
      </c>
      <c r="D335" s="23">
        <f t="shared" ca="1" si="44"/>
        <v>14520</v>
      </c>
      <c r="E335" s="23">
        <f t="shared" ca="1" si="45"/>
        <v>0</v>
      </c>
      <c r="F335" s="23">
        <f t="shared" si="50"/>
        <v>168</v>
      </c>
      <c r="G335" s="23">
        <f t="shared" ca="1" si="43"/>
        <v>0</v>
      </c>
      <c r="H335" s="23">
        <f t="shared" ca="1" si="46"/>
        <v>252</v>
      </c>
      <c r="I335" s="23">
        <f t="shared" ca="1" si="47"/>
        <v>14520</v>
      </c>
    </row>
    <row r="336" spans="2:9">
      <c r="B336" s="23">
        <f t="shared" ca="1" si="48"/>
        <v>192</v>
      </c>
      <c r="C336" s="23">
        <f t="shared" ca="1" si="49"/>
        <v>192</v>
      </c>
      <c r="D336" s="23">
        <f t="shared" ca="1" si="44"/>
        <v>6420</v>
      </c>
      <c r="E336" s="23">
        <f t="shared" ca="1" si="45"/>
        <v>0</v>
      </c>
      <c r="F336" s="23">
        <f t="shared" si="50"/>
        <v>168</v>
      </c>
      <c r="G336" s="23">
        <f t="shared" ref="G336:G399" ca="1" si="51">MIN(E336,F336)</f>
        <v>0</v>
      </c>
      <c r="H336" s="23">
        <f t="shared" ca="1" si="46"/>
        <v>192</v>
      </c>
      <c r="I336" s="23">
        <f t="shared" ca="1" si="47"/>
        <v>6420</v>
      </c>
    </row>
    <row r="337" spans="2:9">
      <c r="B337" s="23">
        <f t="shared" ca="1" si="48"/>
        <v>194</v>
      </c>
      <c r="C337" s="23">
        <f t="shared" ca="1" si="49"/>
        <v>194</v>
      </c>
      <c r="D337" s="23">
        <f t="shared" ca="1" si="44"/>
        <v>6690</v>
      </c>
      <c r="E337" s="23">
        <f t="shared" ca="1" si="45"/>
        <v>0</v>
      </c>
      <c r="F337" s="23">
        <f t="shared" si="50"/>
        <v>168</v>
      </c>
      <c r="G337" s="23">
        <f t="shared" ca="1" si="51"/>
        <v>0</v>
      </c>
      <c r="H337" s="23">
        <f t="shared" ca="1" si="46"/>
        <v>194</v>
      </c>
      <c r="I337" s="23">
        <f t="shared" ca="1" si="47"/>
        <v>6690</v>
      </c>
    </row>
    <row r="338" spans="2:9">
      <c r="B338" s="23">
        <f t="shared" ca="1" si="48"/>
        <v>256</v>
      </c>
      <c r="C338" s="23">
        <f t="shared" ca="1" si="49"/>
        <v>256</v>
      </c>
      <c r="D338" s="23">
        <f t="shared" ca="1" si="44"/>
        <v>15060</v>
      </c>
      <c r="E338" s="23">
        <f t="shared" ca="1" si="45"/>
        <v>0</v>
      </c>
      <c r="F338" s="23">
        <f t="shared" si="50"/>
        <v>168</v>
      </c>
      <c r="G338" s="23">
        <f t="shared" ca="1" si="51"/>
        <v>0</v>
      </c>
      <c r="H338" s="23">
        <f t="shared" ca="1" si="46"/>
        <v>256</v>
      </c>
      <c r="I338" s="23">
        <f t="shared" ca="1" si="47"/>
        <v>15060</v>
      </c>
    </row>
    <row r="339" spans="2:9">
      <c r="B339" s="23">
        <f t="shared" ca="1" si="48"/>
        <v>264</v>
      </c>
      <c r="C339" s="23">
        <f t="shared" ca="1" si="49"/>
        <v>264</v>
      </c>
      <c r="D339" s="23">
        <f t="shared" ca="1" si="44"/>
        <v>16140</v>
      </c>
      <c r="E339" s="23">
        <f t="shared" ca="1" si="45"/>
        <v>0</v>
      </c>
      <c r="F339" s="23">
        <f t="shared" si="50"/>
        <v>168</v>
      </c>
      <c r="G339" s="23">
        <f t="shared" ca="1" si="51"/>
        <v>0</v>
      </c>
      <c r="H339" s="23">
        <f t="shared" ca="1" si="46"/>
        <v>264</v>
      </c>
      <c r="I339" s="23">
        <f t="shared" ca="1" si="47"/>
        <v>16140</v>
      </c>
    </row>
    <row r="340" spans="2:9">
      <c r="B340" s="23">
        <f t="shared" ca="1" si="48"/>
        <v>376</v>
      </c>
      <c r="C340" s="23">
        <f t="shared" ca="1" si="49"/>
        <v>300</v>
      </c>
      <c r="D340" s="23">
        <f t="shared" ca="1" si="44"/>
        <v>21000</v>
      </c>
      <c r="E340" s="23">
        <f t="shared" ca="1" si="45"/>
        <v>76</v>
      </c>
      <c r="F340" s="23">
        <f t="shared" si="50"/>
        <v>168</v>
      </c>
      <c r="G340" s="23">
        <f t="shared" ca="1" si="51"/>
        <v>76</v>
      </c>
      <c r="H340" s="23">
        <f t="shared" ca="1" si="46"/>
        <v>376</v>
      </c>
      <c r="I340" s="23">
        <f t="shared" ca="1" si="47"/>
        <v>24040</v>
      </c>
    </row>
    <row r="341" spans="2:9">
      <c r="B341" s="23">
        <f t="shared" ca="1" si="48"/>
        <v>203</v>
      </c>
      <c r="C341" s="23">
        <f t="shared" ca="1" si="49"/>
        <v>203</v>
      </c>
      <c r="D341" s="23">
        <f t="shared" ca="1" si="44"/>
        <v>7905</v>
      </c>
      <c r="E341" s="23">
        <f t="shared" ca="1" si="45"/>
        <v>0</v>
      </c>
      <c r="F341" s="23">
        <f t="shared" si="50"/>
        <v>168</v>
      </c>
      <c r="G341" s="23">
        <f t="shared" ca="1" si="51"/>
        <v>0</v>
      </c>
      <c r="H341" s="23">
        <f t="shared" ca="1" si="46"/>
        <v>203</v>
      </c>
      <c r="I341" s="23">
        <f t="shared" ca="1" si="47"/>
        <v>7905</v>
      </c>
    </row>
    <row r="342" spans="2:9">
      <c r="B342" s="23">
        <f t="shared" ca="1" si="48"/>
        <v>241</v>
      </c>
      <c r="C342" s="23">
        <f t="shared" ca="1" si="49"/>
        <v>241</v>
      </c>
      <c r="D342" s="23">
        <f t="shared" ca="1" si="44"/>
        <v>13035</v>
      </c>
      <c r="E342" s="23">
        <f t="shared" ca="1" si="45"/>
        <v>0</v>
      </c>
      <c r="F342" s="23">
        <f t="shared" si="50"/>
        <v>168</v>
      </c>
      <c r="G342" s="23">
        <f t="shared" ca="1" si="51"/>
        <v>0</v>
      </c>
      <c r="H342" s="23">
        <f t="shared" ca="1" si="46"/>
        <v>241</v>
      </c>
      <c r="I342" s="23">
        <f t="shared" ca="1" si="47"/>
        <v>13035</v>
      </c>
    </row>
    <row r="343" spans="2:9">
      <c r="B343" s="23">
        <f t="shared" ca="1" si="48"/>
        <v>262</v>
      </c>
      <c r="C343" s="23">
        <f t="shared" ca="1" si="49"/>
        <v>262</v>
      </c>
      <c r="D343" s="23">
        <f t="shared" ca="1" si="44"/>
        <v>15870</v>
      </c>
      <c r="E343" s="23">
        <f t="shared" ca="1" si="45"/>
        <v>0</v>
      </c>
      <c r="F343" s="23">
        <f t="shared" si="50"/>
        <v>168</v>
      </c>
      <c r="G343" s="23">
        <f t="shared" ca="1" si="51"/>
        <v>0</v>
      </c>
      <c r="H343" s="23">
        <f t="shared" ca="1" si="46"/>
        <v>262</v>
      </c>
      <c r="I343" s="23">
        <f t="shared" ca="1" si="47"/>
        <v>15870</v>
      </c>
    </row>
    <row r="344" spans="2:9">
      <c r="B344" s="23">
        <f t="shared" ca="1" si="48"/>
        <v>411</v>
      </c>
      <c r="C344" s="23">
        <f t="shared" ca="1" si="49"/>
        <v>300</v>
      </c>
      <c r="D344" s="23">
        <f t="shared" ca="1" si="44"/>
        <v>21000</v>
      </c>
      <c r="E344" s="23">
        <f t="shared" ca="1" si="45"/>
        <v>111</v>
      </c>
      <c r="F344" s="23">
        <f t="shared" si="50"/>
        <v>168</v>
      </c>
      <c r="G344" s="23">
        <f t="shared" ca="1" si="51"/>
        <v>111</v>
      </c>
      <c r="H344" s="23">
        <f t="shared" ca="1" si="46"/>
        <v>411</v>
      </c>
      <c r="I344" s="23">
        <f t="shared" ca="1" si="47"/>
        <v>25440</v>
      </c>
    </row>
    <row r="345" spans="2:9">
      <c r="B345" s="23">
        <f t="shared" ca="1" si="48"/>
        <v>240</v>
      </c>
      <c r="C345" s="23">
        <f t="shared" ca="1" si="49"/>
        <v>240</v>
      </c>
      <c r="D345" s="23">
        <f t="shared" ca="1" si="44"/>
        <v>12900</v>
      </c>
      <c r="E345" s="23">
        <f t="shared" ca="1" si="45"/>
        <v>0</v>
      </c>
      <c r="F345" s="23">
        <f t="shared" si="50"/>
        <v>168</v>
      </c>
      <c r="G345" s="23">
        <f t="shared" ca="1" si="51"/>
        <v>0</v>
      </c>
      <c r="H345" s="23">
        <f t="shared" ca="1" si="46"/>
        <v>240</v>
      </c>
      <c r="I345" s="23">
        <f t="shared" ca="1" si="47"/>
        <v>12900</v>
      </c>
    </row>
    <row r="346" spans="2:9">
      <c r="B346" s="23">
        <f t="shared" ca="1" si="48"/>
        <v>571</v>
      </c>
      <c r="C346" s="23">
        <f t="shared" ca="1" si="49"/>
        <v>300</v>
      </c>
      <c r="D346" s="23">
        <f t="shared" ca="1" si="44"/>
        <v>21000</v>
      </c>
      <c r="E346" s="23">
        <f t="shared" ca="1" si="45"/>
        <v>271</v>
      </c>
      <c r="F346" s="23">
        <f t="shared" si="50"/>
        <v>168</v>
      </c>
      <c r="G346" s="23">
        <f t="shared" ca="1" si="51"/>
        <v>168</v>
      </c>
      <c r="H346" s="23">
        <f t="shared" ca="1" si="46"/>
        <v>468</v>
      </c>
      <c r="I346" s="23">
        <f t="shared" ca="1" si="47"/>
        <v>27720</v>
      </c>
    </row>
    <row r="347" spans="2:9">
      <c r="B347" s="23">
        <f t="shared" ca="1" si="48"/>
        <v>220</v>
      </c>
      <c r="C347" s="23">
        <f t="shared" ca="1" si="49"/>
        <v>220</v>
      </c>
      <c r="D347" s="23">
        <f t="shared" ca="1" si="44"/>
        <v>10200</v>
      </c>
      <c r="E347" s="23">
        <f t="shared" ca="1" si="45"/>
        <v>0</v>
      </c>
      <c r="F347" s="23">
        <f t="shared" si="50"/>
        <v>168</v>
      </c>
      <c r="G347" s="23">
        <f t="shared" ca="1" si="51"/>
        <v>0</v>
      </c>
      <c r="H347" s="23">
        <f t="shared" ca="1" si="46"/>
        <v>220</v>
      </c>
      <c r="I347" s="23">
        <f t="shared" ca="1" si="47"/>
        <v>10200</v>
      </c>
    </row>
    <row r="348" spans="2:9">
      <c r="B348" s="23">
        <f t="shared" ca="1" si="48"/>
        <v>406</v>
      </c>
      <c r="C348" s="23">
        <f t="shared" ca="1" si="49"/>
        <v>300</v>
      </c>
      <c r="D348" s="23">
        <f t="shared" ca="1" si="44"/>
        <v>21000</v>
      </c>
      <c r="E348" s="23">
        <f t="shared" ca="1" si="45"/>
        <v>106</v>
      </c>
      <c r="F348" s="23">
        <f t="shared" si="50"/>
        <v>168</v>
      </c>
      <c r="G348" s="23">
        <f t="shared" ca="1" si="51"/>
        <v>106</v>
      </c>
      <c r="H348" s="23">
        <f t="shared" ca="1" si="46"/>
        <v>406</v>
      </c>
      <c r="I348" s="23">
        <f t="shared" ca="1" si="47"/>
        <v>25240</v>
      </c>
    </row>
    <row r="349" spans="2:9">
      <c r="B349" s="23">
        <f t="shared" ca="1" si="48"/>
        <v>242</v>
      </c>
      <c r="C349" s="23">
        <f t="shared" ca="1" si="49"/>
        <v>242</v>
      </c>
      <c r="D349" s="23">
        <f t="shared" ca="1" si="44"/>
        <v>13170</v>
      </c>
      <c r="E349" s="23">
        <f t="shared" ca="1" si="45"/>
        <v>0</v>
      </c>
      <c r="F349" s="23">
        <f t="shared" si="50"/>
        <v>168</v>
      </c>
      <c r="G349" s="23">
        <f t="shared" ca="1" si="51"/>
        <v>0</v>
      </c>
      <c r="H349" s="23">
        <f t="shared" ca="1" si="46"/>
        <v>242</v>
      </c>
      <c r="I349" s="23">
        <f t="shared" ca="1" si="47"/>
        <v>13170</v>
      </c>
    </row>
    <row r="350" spans="2:9">
      <c r="B350" s="23">
        <f t="shared" ca="1" si="48"/>
        <v>227</v>
      </c>
      <c r="C350" s="23">
        <f t="shared" ca="1" si="49"/>
        <v>227</v>
      </c>
      <c r="D350" s="23">
        <f t="shared" ca="1" si="44"/>
        <v>11145</v>
      </c>
      <c r="E350" s="23">
        <f t="shared" ca="1" si="45"/>
        <v>0</v>
      </c>
      <c r="F350" s="23">
        <f t="shared" si="50"/>
        <v>168</v>
      </c>
      <c r="G350" s="23">
        <f t="shared" ca="1" si="51"/>
        <v>0</v>
      </c>
      <c r="H350" s="23">
        <f t="shared" ca="1" si="46"/>
        <v>227</v>
      </c>
      <c r="I350" s="23">
        <f t="shared" ca="1" si="47"/>
        <v>11145</v>
      </c>
    </row>
    <row r="351" spans="2:9">
      <c r="B351" s="23">
        <f t="shared" ca="1" si="48"/>
        <v>176</v>
      </c>
      <c r="C351" s="23">
        <f t="shared" ca="1" si="49"/>
        <v>176</v>
      </c>
      <c r="D351" s="23">
        <f t="shared" ca="1" si="44"/>
        <v>4260</v>
      </c>
      <c r="E351" s="23">
        <f t="shared" ca="1" si="45"/>
        <v>0</v>
      </c>
      <c r="F351" s="23">
        <f t="shared" si="50"/>
        <v>168</v>
      </c>
      <c r="G351" s="23">
        <f t="shared" ca="1" si="51"/>
        <v>0</v>
      </c>
      <c r="H351" s="23">
        <f t="shared" ca="1" si="46"/>
        <v>176</v>
      </c>
      <c r="I351" s="23">
        <f t="shared" ca="1" si="47"/>
        <v>4260</v>
      </c>
    </row>
    <row r="352" spans="2:9">
      <c r="B352" s="23">
        <f t="shared" ca="1" si="48"/>
        <v>27</v>
      </c>
      <c r="C352" s="23">
        <f t="shared" ca="1" si="49"/>
        <v>27</v>
      </c>
      <c r="D352" s="23">
        <f t="shared" ca="1" si="44"/>
        <v>-15855</v>
      </c>
      <c r="E352" s="23">
        <f t="shared" ca="1" si="45"/>
        <v>0</v>
      </c>
      <c r="F352" s="23">
        <f t="shared" si="50"/>
        <v>168</v>
      </c>
      <c r="G352" s="23">
        <f t="shared" ca="1" si="51"/>
        <v>0</v>
      </c>
      <c r="H352" s="23">
        <f t="shared" ca="1" si="46"/>
        <v>27</v>
      </c>
      <c r="I352" s="23">
        <f t="shared" ca="1" si="47"/>
        <v>-15855</v>
      </c>
    </row>
    <row r="353" spans="2:9">
      <c r="B353" s="23">
        <f t="shared" ca="1" si="48"/>
        <v>303</v>
      </c>
      <c r="C353" s="23">
        <f t="shared" ca="1" si="49"/>
        <v>300</v>
      </c>
      <c r="D353" s="23">
        <f t="shared" ca="1" si="44"/>
        <v>21000</v>
      </c>
      <c r="E353" s="23">
        <f t="shared" ca="1" si="45"/>
        <v>3</v>
      </c>
      <c r="F353" s="23">
        <f t="shared" si="50"/>
        <v>168</v>
      </c>
      <c r="G353" s="23">
        <f t="shared" ca="1" si="51"/>
        <v>3</v>
      </c>
      <c r="H353" s="23">
        <f t="shared" ca="1" si="46"/>
        <v>303</v>
      </c>
      <c r="I353" s="23">
        <f t="shared" ca="1" si="47"/>
        <v>21120</v>
      </c>
    </row>
    <row r="354" spans="2:9">
      <c r="B354" s="23">
        <f t="shared" ca="1" si="48"/>
        <v>281</v>
      </c>
      <c r="C354" s="23">
        <f t="shared" ca="1" si="49"/>
        <v>281</v>
      </c>
      <c r="D354" s="23">
        <f t="shared" ca="1" si="44"/>
        <v>18435</v>
      </c>
      <c r="E354" s="23">
        <f t="shared" ca="1" si="45"/>
        <v>0</v>
      </c>
      <c r="F354" s="23">
        <f t="shared" si="50"/>
        <v>168</v>
      </c>
      <c r="G354" s="23">
        <f t="shared" ca="1" si="51"/>
        <v>0</v>
      </c>
      <c r="H354" s="23">
        <f t="shared" ca="1" si="46"/>
        <v>281</v>
      </c>
      <c r="I354" s="23">
        <f t="shared" ca="1" si="47"/>
        <v>18435</v>
      </c>
    </row>
    <row r="355" spans="2:9">
      <c r="B355" s="23">
        <f t="shared" ca="1" si="48"/>
        <v>397</v>
      </c>
      <c r="C355" s="23">
        <f t="shared" ca="1" si="49"/>
        <v>300</v>
      </c>
      <c r="D355" s="23">
        <f t="shared" ca="1" si="44"/>
        <v>21000</v>
      </c>
      <c r="E355" s="23">
        <f t="shared" ca="1" si="45"/>
        <v>97</v>
      </c>
      <c r="F355" s="23">
        <f t="shared" si="50"/>
        <v>168</v>
      </c>
      <c r="G355" s="23">
        <f t="shared" ca="1" si="51"/>
        <v>97</v>
      </c>
      <c r="H355" s="23">
        <f t="shared" ca="1" si="46"/>
        <v>397</v>
      </c>
      <c r="I355" s="23">
        <f t="shared" ca="1" si="47"/>
        <v>24880</v>
      </c>
    </row>
    <row r="356" spans="2:9">
      <c r="B356" s="23">
        <f t="shared" ca="1" si="48"/>
        <v>298</v>
      </c>
      <c r="C356" s="23">
        <f t="shared" ca="1" si="49"/>
        <v>298</v>
      </c>
      <c r="D356" s="23">
        <f t="shared" ca="1" si="44"/>
        <v>20730</v>
      </c>
      <c r="E356" s="23">
        <f t="shared" ca="1" si="45"/>
        <v>0</v>
      </c>
      <c r="F356" s="23">
        <f t="shared" si="50"/>
        <v>168</v>
      </c>
      <c r="G356" s="23">
        <f t="shared" ca="1" si="51"/>
        <v>0</v>
      </c>
      <c r="H356" s="23">
        <f t="shared" ca="1" si="46"/>
        <v>298</v>
      </c>
      <c r="I356" s="23">
        <f t="shared" ca="1" si="47"/>
        <v>20730</v>
      </c>
    </row>
    <row r="357" spans="2:9">
      <c r="B357" s="23">
        <f t="shared" ca="1" si="48"/>
        <v>259</v>
      </c>
      <c r="C357" s="23">
        <f t="shared" ca="1" si="49"/>
        <v>259</v>
      </c>
      <c r="D357" s="23">
        <f t="shared" ca="1" si="44"/>
        <v>15465</v>
      </c>
      <c r="E357" s="23">
        <f t="shared" ca="1" si="45"/>
        <v>0</v>
      </c>
      <c r="F357" s="23">
        <f t="shared" si="50"/>
        <v>168</v>
      </c>
      <c r="G357" s="23">
        <f t="shared" ca="1" si="51"/>
        <v>0</v>
      </c>
      <c r="H357" s="23">
        <f t="shared" ca="1" si="46"/>
        <v>259</v>
      </c>
      <c r="I357" s="23">
        <f t="shared" ca="1" si="47"/>
        <v>15465</v>
      </c>
    </row>
    <row r="358" spans="2:9">
      <c r="B358" s="23">
        <f t="shared" ca="1" si="48"/>
        <v>219</v>
      </c>
      <c r="C358" s="23">
        <f t="shared" ca="1" si="49"/>
        <v>219</v>
      </c>
      <c r="D358" s="23">
        <f t="shared" ca="1" si="44"/>
        <v>10065</v>
      </c>
      <c r="E358" s="23">
        <f t="shared" ca="1" si="45"/>
        <v>0</v>
      </c>
      <c r="F358" s="23">
        <f t="shared" si="50"/>
        <v>168</v>
      </c>
      <c r="G358" s="23">
        <f t="shared" ca="1" si="51"/>
        <v>0</v>
      </c>
      <c r="H358" s="23">
        <f t="shared" ca="1" si="46"/>
        <v>219</v>
      </c>
      <c r="I358" s="23">
        <f t="shared" ca="1" si="47"/>
        <v>10065</v>
      </c>
    </row>
    <row r="359" spans="2:9">
      <c r="B359" s="23">
        <f t="shared" ca="1" si="48"/>
        <v>422</v>
      </c>
      <c r="C359" s="23">
        <f t="shared" ca="1" si="49"/>
        <v>300</v>
      </c>
      <c r="D359" s="23">
        <f t="shared" ca="1" si="44"/>
        <v>21000</v>
      </c>
      <c r="E359" s="23">
        <f t="shared" ca="1" si="45"/>
        <v>122</v>
      </c>
      <c r="F359" s="23">
        <f t="shared" si="50"/>
        <v>168</v>
      </c>
      <c r="G359" s="23">
        <f t="shared" ca="1" si="51"/>
        <v>122</v>
      </c>
      <c r="H359" s="23">
        <f t="shared" ca="1" si="46"/>
        <v>422</v>
      </c>
      <c r="I359" s="23">
        <f t="shared" ca="1" si="47"/>
        <v>25880</v>
      </c>
    </row>
    <row r="360" spans="2:9">
      <c r="B360" s="23">
        <f t="shared" ca="1" si="48"/>
        <v>354</v>
      </c>
      <c r="C360" s="23">
        <f t="shared" ca="1" si="49"/>
        <v>300</v>
      </c>
      <c r="D360" s="23">
        <f t="shared" ca="1" si="44"/>
        <v>21000</v>
      </c>
      <c r="E360" s="23">
        <f t="shared" ca="1" si="45"/>
        <v>54</v>
      </c>
      <c r="F360" s="23">
        <f t="shared" si="50"/>
        <v>168</v>
      </c>
      <c r="G360" s="23">
        <f t="shared" ca="1" si="51"/>
        <v>54</v>
      </c>
      <c r="H360" s="23">
        <f t="shared" ca="1" si="46"/>
        <v>354</v>
      </c>
      <c r="I360" s="23">
        <f t="shared" ca="1" si="47"/>
        <v>23160</v>
      </c>
    </row>
    <row r="361" spans="2:9">
      <c r="B361" s="23">
        <f t="shared" ca="1" si="48"/>
        <v>257</v>
      </c>
      <c r="C361" s="23">
        <f t="shared" ca="1" si="49"/>
        <v>257</v>
      </c>
      <c r="D361" s="23">
        <f t="shared" ca="1" si="44"/>
        <v>15195</v>
      </c>
      <c r="E361" s="23">
        <f t="shared" ca="1" si="45"/>
        <v>0</v>
      </c>
      <c r="F361" s="23">
        <f t="shared" si="50"/>
        <v>168</v>
      </c>
      <c r="G361" s="23">
        <f t="shared" ca="1" si="51"/>
        <v>0</v>
      </c>
      <c r="H361" s="23">
        <f t="shared" ca="1" si="46"/>
        <v>257</v>
      </c>
      <c r="I361" s="23">
        <f t="shared" ca="1" si="47"/>
        <v>15195</v>
      </c>
    </row>
    <row r="362" spans="2:9">
      <c r="B362" s="23">
        <f t="shared" ca="1" si="48"/>
        <v>193</v>
      </c>
      <c r="C362" s="23">
        <f t="shared" ca="1" si="49"/>
        <v>193</v>
      </c>
      <c r="D362" s="23">
        <f t="shared" ca="1" si="44"/>
        <v>6555</v>
      </c>
      <c r="E362" s="23">
        <f t="shared" ca="1" si="45"/>
        <v>0</v>
      </c>
      <c r="F362" s="23">
        <f t="shared" si="50"/>
        <v>168</v>
      </c>
      <c r="G362" s="23">
        <f t="shared" ca="1" si="51"/>
        <v>0</v>
      </c>
      <c r="H362" s="23">
        <f t="shared" ca="1" si="46"/>
        <v>193</v>
      </c>
      <c r="I362" s="23">
        <f t="shared" ca="1" si="47"/>
        <v>6555</v>
      </c>
    </row>
    <row r="363" spans="2:9">
      <c r="B363" s="23">
        <f t="shared" ca="1" si="48"/>
        <v>396</v>
      </c>
      <c r="C363" s="23">
        <f t="shared" ca="1" si="49"/>
        <v>300</v>
      </c>
      <c r="D363" s="23">
        <f t="shared" ca="1" si="44"/>
        <v>21000</v>
      </c>
      <c r="E363" s="23">
        <f t="shared" ca="1" si="45"/>
        <v>96</v>
      </c>
      <c r="F363" s="23">
        <f t="shared" si="50"/>
        <v>168</v>
      </c>
      <c r="G363" s="23">
        <f t="shared" ca="1" si="51"/>
        <v>96</v>
      </c>
      <c r="H363" s="23">
        <f t="shared" ca="1" si="46"/>
        <v>396</v>
      </c>
      <c r="I363" s="23">
        <f t="shared" ca="1" si="47"/>
        <v>24840</v>
      </c>
    </row>
    <row r="364" spans="2:9">
      <c r="B364" s="23">
        <f t="shared" ca="1" si="48"/>
        <v>150</v>
      </c>
      <c r="C364" s="23">
        <f t="shared" ca="1" si="49"/>
        <v>150</v>
      </c>
      <c r="D364" s="23">
        <f t="shared" ca="1" si="44"/>
        <v>750</v>
      </c>
      <c r="E364" s="23">
        <f t="shared" ca="1" si="45"/>
        <v>0</v>
      </c>
      <c r="F364" s="23">
        <f t="shared" si="50"/>
        <v>168</v>
      </c>
      <c r="G364" s="23">
        <f t="shared" ca="1" si="51"/>
        <v>0</v>
      </c>
      <c r="H364" s="23">
        <f t="shared" ca="1" si="46"/>
        <v>150</v>
      </c>
      <c r="I364" s="23">
        <f t="shared" ca="1" si="47"/>
        <v>750</v>
      </c>
    </row>
    <row r="365" spans="2:9">
      <c r="B365" s="23">
        <f t="shared" ca="1" si="48"/>
        <v>177</v>
      </c>
      <c r="C365" s="23">
        <f t="shared" ca="1" si="49"/>
        <v>177</v>
      </c>
      <c r="D365" s="23">
        <f t="shared" ca="1" si="44"/>
        <v>4395</v>
      </c>
      <c r="E365" s="23">
        <f t="shared" ca="1" si="45"/>
        <v>0</v>
      </c>
      <c r="F365" s="23">
        <f t="shared" si="50"/>
        <v>168</v>
      </c>
      <c r="G365" s="23">
        <f t="shared" ca="1" si="51"/>
        <v>0</v>
      </c>
      <c r="H365" s="23">
        <f t="shared" ca="1" si="46"/>
        <v>177</v>
      </c>
      <c r="I365" s="23">
        <f t="shared" ca="1" si="47"/>
        <v>4395</v>
      </c>
    </row>
    <row r="366" spans="2:9">
      <c r="B366" s="23">
        <f t="shared" ca="1" si="48"/>
        <v>156</v>
      </c>
      <c r="C366" s="23">
        <f t="shared" ca="1" si="49"/>
        <v>156</v>
      </c>
      <c r="D366" s="23">
        <f t="shared" ca="1" si="44"/>
        <v>1560</v>
      </c>
      <c r="E366" s="23">
        <f t="shared" ca="1" si="45"/>
        <v>0</v>
      </c>
      <c r="F366" s="23">
        <f t="shared" si="50"/>
        <v>168</v>
      </c>
      <c r="G366" s="23">
        <f t="shared" ca="1" si="51"/>
        <v>0</v>
      </c>
      <c r="H366" s="23">
        <f t="shared" ca="1" si="46"/>
        <v>156</v>
      </c>
      <c r="I366" s="23">
        <f t="shared" ca="1" si="47"/>
        <v>1560</v>
      </c>
    </row>
    <row r="367" spans="2:9">
      <c r="B367" s="23">
        <f t="shared" ca="1" si="48"/>
        <v>176</v>
      </c>
      <c r="C367" s="23">
        <f t="shared" ca="1" si="49"/>
        <v>176</v>
      </c>
      <c r="D367" s="23">
        <f t="shared" ca="1" si="44"/>
        <v>4260</v>
      </c>
      <c r="E367" s="23">
        <f t="shared" ca="1" si="45"/>
        <v>0</v>
      </c>
      <c r="F367" s="23">
        <f t="shared" si="50"/>
        <v>168</v>
      </c>
      <c r="G367" s="23">
        <f t="shared" ca="1" si="51"/>
        <v>0</v>
      </c>
      <c r="H367" s="23">
        <f t="shared" ca="1" si="46"/>
        <v>176</v>
      </c>
      <c r="I367" s="23">
        <f t="shared" ca="1" si="47"/>
        <v>4260</v>
      </c>
    </row>
    <row r="368" spans="2:9">
      <c r="B368" s="23">
        <f t="shared" ca="1" si="48"/>
        <v>139</v>
      </c>
      <c r="C368" s="23">
        <f t="shared" ca="1" si="49"/>
        <v>139</v>
      </c>
      <c r="D368" s="23">
        <f t="shared" ca="1" si="44"/>
        <v>-735</v>
      </c>
      <c r="E368" s="23">
        <f t="shared" ca="1" si="45"/>
        <v>0</v>
      </c>
      <c r="F368" s="23">
        <f t="shared" si="50"/>
        <v>168</v>
      </c>
      <c r="G368" s="23">
        <f t="shared" ca="1" si="51"/>
        <v>0</v>
      </c>
      <c r="H368" s="23">
        <f t="shared" ca="1" si="46"/>
        <v>139</v>
      </c>
      <c r="I368" s="23">
        <f t="shared" ca="1" si="47"/>
        <v>-735</v>
      </c>
    </row>
    <row r="369" spans="2:9">
      <c r="B369" s="23">
        <f t="shared" ca="1" si="48"/>
        <v>444</v>
      </c>
      <c r="C369" s="23">
        <f t="shared" ca="1" si="49"/>
        <v>300</v>
      </c>
      <c r="D369" s="23">
        <f t="shared" ca="1" si="44"/>
        <v>21000</v>
      </c>
      <c r="E369" s="23">
        <f t="shared" ca="1" si="45"/>
        <v>144</v>
      </c>
      <c r="F369" s="23">
        <f t="shared" si="50"/>
        <v>168</v>
      </c>
      <c r="G369" s="23">
        <f t="shared" ca="1" si="51"/>
        <v>144</v>
      </c>
      <c r="H369" s="23">
        <f t="shared" ca="1" si="46"/>
        <v>444</v>
      </c>
      <c r="I369" s="23">
        <f t="shared" ca="1" si="47"/>
        <v>26760</v>
      </c>
    </row>
    <row r="370" spans="2:9">
      <c r="B370" s="23">
        <f t="shared" ca="1" si="48"/>
        <v>337</v>
      </c>
      <c r="C370" s="23">
        <f t="shared" ca="1" si="49"/>
        <v>300</v>
      </c>
      <c r="D370" s="23">
        <f t="shared" ca="1" si="44"/>
        <v>21000</v>
      </c>
      <c r="E370" s="23">
        <f t="shared" ca="1" si="45"/>
        <v>37</v>
      </c>
      <c r="F370" s="23">
        <f t="shared" si="50"/>
        <v>168</v>
      </c>
      <c r="G370" s="23">
        <f t="shared" ca="1" si="51"/>
        <v>37</v>
      </c>
      <c r="H370" s="23">
        <f t="shared" ca="1" si="46"/>
        <v>337</v>
      </c>
      <c r="I370" s="23">
        <f t="shared" ca="1" si="47"/>
        <v>22480</v>
      </c>
    </row>
    <row r="371" spans="2:9">
      <c r="B371" s="23">
        <f t="shared" ca="1" si="48"/>
        <v>85</v>
      </c>
      <c r="C371" s="23">
        <f t="shared" ca="1" si="49"/>
        <v>85</v>
      </c>
      <c r="D371" s="23">
        <f t="shared" ca="1" si="44"/>
        <v>-8025</v>
      </c>
      <c r="E371" s="23">
        <f t="shared" ca="1" si="45"/>
        <v>0</v>
      </c>
      <c r="F371" s="23">
        <f t="shared" si="50"/>
        <v>168</v>
      </c>
      <c r="G371" s="23">
        <f t="shared" ca="1" si="51"/>
        <v>0</v>
      </c>
      <c r="H371" s="23">
        <f t="shared" ca="1" si="46"/>
        <v>85</v>
      </c>
      <c r="I371" s="23">
        <f t="shared" ca="1" si="47"/>
        <v>-8025</v>
      </c>
    </row>
    <row r="372" spans="2:9">
      <c r="B372" s="23">
        <f t="shared" ca="1" si="48"/>
        <v>528</v>
      </c>
      <c r="C372" s="23">
        <f t="shared" ca="1" si="49"/>
        <v>300</v>
      </c>
      <c r="D372" s="23">
        <f t="shared" ca="1" si="44"/>
        <v>21000</v>
      </c>
      <c r="E372" s="23">
        <f t="shared" ca="1" si="45"/>
        <v>228</v>
      </c>
      <c r="F372" s="23">
        <f t="shared" si="50"/>
        <v>168</v>
      </c>
      <c r="G372" s="23">
        <f t="shared" ca="1" si="51"/>
        <v>168</v>
      </c>
      <c r="H372" s="23">
        <f t="shared" ca="1" si="46"/>
        <v>468</v>
      </c>
      <c r="I372" s="23">
        <f t="shared" ca="1" si="47"/>
        <v>27720</v>
      </c>
    </row>
    <row r="373" spans="2:9">
      <c r="B373" s="23">
        <f t="shared" ca="1" si="48"/>
        <v>286</v>
      </c>
      <c r="C373" s="23">
        <f t="shared" ca="1" si="49"/>
        <v>286</v>
      </c>
      <c r="D373" s="23">
        <f t="shared" ca="1" si="44"/>
        <v>19110</v>
      </c>
      <c r="E373" s="23">
        <f t="shared" ca="1" si="45"/>
        <v>0</v>
      </c>
      <c r="F373" s="23">
        <f t="shared" si="50"/>
        <v>168</v>
      </c>
      <c r="G373" s="23">
        <f t="shared" ca="1" si="51"/>
        <v>0</v>
      </c>
      <c r="H373" s="23">
        <f t="shared" ca="1" si="46"/>
        <v>286</v>
      </c>
      <c r="I373" s="23">
        <f t="shared" ca="1" si="47"/>
        <v>19110</v>
      </c>
    </row>
    <row r="374" spans="2:9">
      <c r="B374" s="23">
        <f t="shared" ca="1" si="48"/>
        <v>279</v>
      </c>
      <c r="C374" s="23">
        <f t="shared" ca="1" si="49"/>
        <v>279</v>
      </c>
      <c r="D374" s="23">
        <f t="shared" ca="1" si="44"/>
        <v>18165</v>
      </c>
      <c r="E374" s="23">
        <f t="shared" ca="1" si="45"/>
        <v>0</v>
      </c>
      <c r="F374" s="23">
        <f t="shared" si="50"/>
        <v>168</v>
      </c>
      <c r="G374" s="23">
        <f t="shared" ca="1" si="51"/>
        <v>0</v>
      </c>
      <c r="H374" s="23">
        <f t="shared" ca="1" si="46"/>
        <v>279</v>
      </c>
      <c r="I374" s="23">
        <f t="shared" ca="1" si="47"/>
        <v>18165</v>
      </c>
    </row>
    <row r="375" spans="2:9">
      <c r="B375" s="23">
        <f t="shared" ca="1" si="48"/>
        <v>91</v>
      </c>
      <c r="C375" s="23">
        <f t="shared" ca="1" si="49"/>
        <v>91</v>
      </c>
      <c r="D375" s="23">
        <f t="shared" ca="1" si="44"/>
        <v>-7215</v>
      </c>
      <c r="E375" s="23">
        <f t="shared" ca="1" si="45"/>
        <v>0</v>
      </c>
      <c r="F375" s="23">
        <f t="shared" si="50"/>
        <v>168</v>
      </c>
      <c r="G375" s="23">
        <f t="shared" ca="1" si="51"/>
        <v>0</v>
      </c>
      <c r="H375" s="23">
        <f t="shared" ca="1" si="46"/>
        <v>91</v>
      </c>
      <c r="I375" s="23">
        <f t="shared" ca="1" si="47"/>
        <v>-7215</v>
      </c>
    </row>
    <row r="376" spans="2:9">
      <c r="B376" s="23">
        <f t="shared" ca="1" si="48"/>
        <v>232</v>
      </c>
      <c r="C376" s="23">
        <f t="shared" ca="1" si="49"/>
        <v>232</v>
      </c>
      <c r="D376" s="23">
        <f t="shared" ca="1" si="44"/>
        <v>11820</v>
      </c>
      <c r="E376" s="23">
        <f t="shared" ca="1" si="45"/>
        <v>0</v>
      </c>
      <c r="F376" s="23">
        <f t="shared" si="50"/>
        <v>168</v>
      </c>
      <c r="G376" s="23">
        <f t="shared" ca="1" si="51"/>
        <v>0</v>
      </c>
      <c r="H376" s="23">
        <f t="shared" ca="1" si="46"/>
        <v>232</v>
      </c>
      <c r="I376" s="23">
        <f t="shared" ca="1" si="47"/>
        <v>11820</v>
      </c>
    </row>
    <row r="377" spans="2:9">
      <c r="B377" s="23">
        <f t="shared" ca="1" si="48"/>
        <v>420</v>
      </c>
      <c r="C377" s="23">
        <f t="shared" ca="1" si="49"/>
        <v>300</v>
      </c>
      <c r="D377" s="23">
        <f t="shared" ca="1" si="44"/>
        <v>21000</v>
      </c>
      <c r="E377" s="23">
        <f t="shared" ca="1" si="45"/>
        <v>120</v>
      </c>
      <c r="F377" s="23">
        <f t="shared" si="50"/>
        <v>168</v>
      </c>
      <c r="G377" s="23">
        <f t="shared" ca="1" si="51"/>
        <v>120</v>
      </c>
      <c r="H377" s="23">
        <f t="shared" ca="1" si="46"/>
        <v>420</v>
      </c>
      <c r="I377" s="23">
        <f t="shared" ca="1" si="47"/>
        <v>25800</v>
      </c>
    </row>
    <row r="378" spans="2:9">
      <c r="B378" s="23">
        <f t="shared" ca="1" si="48"/>
        <v>206</v>
      </c>
      <c r="C378" s="23">
        <f t="shared" ca="1" si="49"/>
        <v>206</v>
      </c>
      <c r="D378" s="23">
        <f t="shared" ca="1" si="44"/>
        <v>8310</v>
      </c>
      <c r="E378" s="23">
        <f t="shared" ca="1" si="45"/>
        <v>0</v>
      </c>
      <c r="F378" s="23">
        <f t="shared" si="50"/>
        <v>168</v>
      </c>
      <c r="G378" s="23">
        <f t="shared" ca="1" si="51"/>
        <v>0</v>
      </c>
      <c r="H378" s="23">
        <f t="shared" ca="1" si="46"/>
        <v>206</v>
      </c>
      <c r="I378" s="23">
        <f t="shared" ca="1" si="47"/>
        <v>8310</v>
      </c>
    </row>
    <row r="379" spans="2:9">
      <c r="B379" s="23">
        <f t="shared" ca="1" si="48"/>
        <v>234</v>
      </c>
      <c r="C379" s="23">
        <f t="shared" ca="1" si="49"/>
        <v>234</v>
      </c>
      <c r="D379" s="23">
        <f t="shared" ca="1" si="44"/>
        <v>12090</v>
      </c>
      <c r="E379" s="23">
        <f t="shared" ca="1" si="45"/>
        <v>0</v>
      </c>
      <c r="F379" s="23">
        <f t="shared" si="50"/>
        <v>168</v>
      </c>
      <c r="G379" s="23">
        <f t="shared" ca="1" si="51"/>
        <v>0</v>
      </c>
      <c r="H379" s="23">
        <f t="shared" ca="1" si="46"/>
        <v>234</v>
      </c>
      <c r="I379" s="23">
        <f t="shared" ca="1" si="47"/>
        <v>12090</v>
      </c>
    </row>
    <row r="380" spans="2:9">
      <c r="B380" s="23">
        <f t="shared" ca="1" si="48"/>
        <v>366</v>
      </c>
      <c r="C380" s="23">
        <f t="shared" ca="1" si="49"/>
        <v>300</v>
      </c>
      <c r="D380" s="23">
        <f t="shared" ca="1" si="44"/>
        <v>21000</v>
      </c>
      <c r="E380" s="23">
        <f t="shared" ca="1" si="45"/>
        <v>66</v>
      </c>
      <c r="F380" s="23">
        <f t="shared" si="50"/>
        <v>168</v>
      </c>
      <c r="G380" s="23">
        <f t="shared" ca="1" si="51"/>
        <v>66</v>
      </c>
      <c r="H380" s="23">
        <f t="shared" ca="1" si="46"/>
        <v>366</v>
      </c>
      <c r="I380" s="23">
        <f t="shared" ca="1" si="47"/>
        <v>23640</v>
      </c>
    </row>
    <row r="381" spans="2:9">
      <c r="B381" s="23">
        <f t="shared" ca="1" si="48"/>
        <v>354</v>
      </c>
      <c r="C381" s="23">
        <f t="shared" ca="1" si="49"/>
        <v>300</v>
      </c>
      <c r="D381" s="23">
        <f t="shared" ca="1" si="44"/>
        <v>21000</v>
      </c>
      <c r="E381" s="23">
        <f t="shared" ca="1" si="45"/>
        <v>54</v>
      </c>
      <c r="F381" s="23">
        <f t="shared" si="50"/>
        <v>168</v>
      </c>
      <c r="G381" s="23">
        <f t="shared" ca="1" si="51"/>
        <v>54</v>
      </c>
      <c r="H381" s="23">
        <f t="shared" ca="1" si="46"/>
        <v>354</v>
      </c>
      <c r="I381" s="23">
        <f t="shared" ca="1" si="47"/>
        <v>23160</v>
      </c>
    </row>
    <row r="382" spans="2:9">
      <c r="B382" s="23">
        <f t="shared" ca="1" si="48"/>
        <v>345</v>
      </c>
      <c r="C382" s="23">
        <f t="shared" ca="1" si="49"/>
        <v>300</v>
      </c>
      <c r="D382" s="23">
        <f t="shared" ca="1" si="44"/>
        <v>21000</v>
      </c>
      <c r="E382" s="23">
        <f t="shared" ca="1" si="45"/>
        <v>45</v>
      </c>
      <c r="F382" s="23">
        <f t="shared" si="50"/>
        <v>168</v>
      </c>
      <c r="G382" s="23">
        <f t="shared" ca="1" si="51"/>
        <v>45</v>
      </c>
      <c r="H382" s="23">
        <f t="shared" ca="1" si="46"/>
        <v>345</v>
      </c>
      <c r="I382" s="23">
        <f t="shared" ca="1" si="47"/>
        <v>22800</v>
      </c>
    </row>
    <row r="383" spans="2:9">
      <c r="B383" s="23">
        <f t="shared" ca="1" si="48"/>
        <v>213</v>
      </c>
      <c r="C383" s="23">
        <f t="shared" ca="1" si="49"/>
        <v>213</v>
      </c>
      <c r="D383" s="23">
        <f t="shared" ca="1" si="44"/>
        <v>9255</v>
      </c>
      <c r="E383" s="23">
        <f t="shared" ca="1" si="45"/>
        <v>0</v>
      </c>
      <c r="F383" s="23">
        <f t="shared" si="50"/>
        <v>168</v>
      </c>
      <c r="G383" s="23">
        <f t="shared" ca="1" si="51"/>
        <v>0</v>
      </c>
      <c r="H383" s="23">
        <f t="shared" ca="1" si="46"/>
        <v>213</v>
      </c>
      <c r="I383" s="23">
        <f t="shared" ca="1" si="47"/>
        <v>9255</v>
      </c>
    </row>
    <row r="384" spans="2:9">
      <c r="B384" s="23">
        <f t="shared" ca="1" si="48"/>
        <v>392</v>
      </c>
      <c r="C384" s="23">
        <f t="shared" ca="1" si="49"/>
        <v>300</v>
      </c>
      <c r="D384" s="23">
        <f t="shared" ca="1" si="44"/>
        <v>21000</v>
      </c>
      <c r="E384" s="23">
        <f t="shared" ca="1" si="45"/>
        <v>92</v>
      </c>
      <c r="F384" s="23">
        <f t="shared" si="50"/>
        <v>168</v>
      </c>
      <c r="G384" s="23">
        <f t="shared" ca="1" si="51"/>
        <v>92</v>
      </c>
      <c r="H384" s="23">
        <f t="shared" ca="1" si="46"/>
        <v>392</v>
      </c>
      <c r="I384" s="23">
        <f t="shared" ca="1" si="47"/>
        <v>24680</v>
      </c>
    </row>
    <row r="385" spans="2:9">
      <c r="B385" s="23">
        <f t="shared" ca="1" si="48"/>
        <v>235</v>
      </c>
      <c r="C385" s="23">
        <f t="shared" ca="1" si="49"/>
        <v>235</v>
      </c>
      <c r="D385" s="23">
        <f t="shared" ca="1" si="44"/>
        <v>12225</v>
      </c>
      <c r="E385" s="23">
        <f t="shared" ca="1" si="45"/>
        <v>0</v>
      </c>
      <c r="F385" s="23">
        <f t="shared" si="50"/>
        <v>168</v>
      </c>
      <c r="G385" s="23">
        <f t="shared" ca="1" si="51"/>
        <v>0</v>
      </c>
      <c r="H385" s="23">
        <f t="shared" ca="1" si="46"/>
        <v>235</v>
      </c>
      <c r="I385" s="23">
        <f t="shared" ca="1" si="47"/>
        <v>12225</v>
      </c>
    </row>
    <row r="386" spans="2:9">
      <c r="B386" s="23">
        <f t="shared" ca="1" si="48"/>
        <v>334</v>
      </c>
      <c r="C386" s="23">
        <f t="shared" ca="1" si="49"/>
        <v>300</v>
      </c>
      <c r="D386" s="23">
        <f t="shared" ca="1" si="44"/>
        <v>21000</v>
      </c>
      <c r="E386" s="23">
        <f t="shared" ca="1" si="45"/>
        <v>34</v>
      </c>
      <c r="F386" s="23">
        <f t="shared" si="50"/>
        <v>168</v>
      </c>
      <c r="G386" s="23">
        <f t="shared" ca="1" si="51"/>
        <v>34</v>
      </c>
      <c r="H386" s="23">
        <f t="shared" ca="1" si="46"/>
        <v>334</v>
      </c>
      <c r="I386" s="23">
        <f t="shared" ca="1" si="47"/>
        <v>22360</v>
      </c>
    </row>
    <row r="387" spans="2:9">
      <c r="B387" s="23">
        <f t="shared" ca="1" si="48"/>
        <v>340</v>
      </c>
      <c r="C387" s="23">
        <f t="shared" ca="1" si="49"/>
        <v>300</v>
      </c>
      <c r="D387" s="23">
        <f t="shared" ca="1" si="44"/>
        <v>21000</v>
      </c>
      <c r="E387" s="23">
        <f t="shared" ca="1" si="45"/>
        <v>40</v>
      </c>
      <c r="F387" s="23">
        <f t="shared" si="50"/>
        <v>168</v>
      </c>
      <c r="G387" s="23">
        <f t="shared" ca="1" si="51"/>
        <v>40</v>
      </c>
      <c r="H387" s="23">
        <f t="shared" ca="1" si="46"/>
        <v>340</v>
      </c>
      <c r="I387" s="23">
        <f t="shared" ca="1" si="47"/>
        <v>22600</v>
      </c>
    </row>
    <row r="388" spans="2:9">
      <c r="B388" s="23">
        <f t="shared" ca="1" si="48"/>
        <v>294</v>
      </c>
      <c r="C388" s="23">
        <f t="shared" ca="1" si="49"/>
        <v>294</v>
      </c>
      <c r="D388" s="23">
        <f t="shared" ca="1" si="44"/>
        <v>20190</v>
      </c>
      <c r="E388" s="23">
        <f t="shared" ca="1" si="45"/>
        <v>0</v>
      </c>
      <c r="F388" s="23">
        <f t="shared" si="50"/>
        <v>168</v>
      </c>
      <c r="G388" s="23">
        <f t="shared" ca="1" si="51"/>
        <v>0</v>
      </c>
      <c r="H388" s="23">
        <f t="shared" ca="1" si="46"/>
        <v>294</v>
      </c>
      <c r="I388" s="23">
        <f t="shared" ca="1" si="47"/>
        <v>20190</v>
      </c>
    </row>
    <row r="389" spans="2:9">
      <c r="B389" s="23">
        <f t="shared" ca="1" si="48"/>
        <v>213</v>
      </c>
      <c r="C389" s="23">
        <f t="shared" ca="1" si="49"/>
        <v>213</v>
      </c>
      <c r="D389" s="23">
        <f t="shared" ca="1" si="44"/>
        <v>9255</v>
      </c>
      <c r="E389" s="23">
        <f t="shared" ca="1" si="45"/>
        <v>0</v>
      </c>
      <c r="F389" s="23">
        <f t="shared" si="50"/>
        <v>168</v>
      </c>
      <c r="G389" s="23">
        <f t="shared" ca="1" si="51"/>
        <v>0</v>
      </c>
      <c r="H389" s="23">
        <f t="shared" ca="1" si="46"/>
        <v>213</v>
      </c>
      <c r="I389" s="23">
        <f t="shared" ca="1" si="47"/>
        <v>9255</v>
      </c>
    </row>
    <row r="390" spans="2:9">
      <c r="B390" s="23">
        <f t="shared" ca="1" si="48"/>
        <v>351</v>
      </c>
      <c r="C390" s="23">
        <f t="shared" ca="1" si="49"/>
        <v>300</v>
      </c>
      <c r="D390" s="23">
        <f t="shared" ca="1" si="44"/>
        <v>21000</v>
      </c>
      <c r="E390" s="23">
        <f t="shared" ca="1" si="45"/>
        <v>51</v>
      </c>
      <c r="F390" s="23">
        <f t="shared" si="50"/>
        <v>168</v>
      </c>
      <c r="G390" s="23">
        <f t="shared" ca="1" si="51"/>
        <v>51</v>
      </c>
      <c r="H390" s="23">
        <f t="shared" ca="1" si="46"/>
        <v>351</v>
      </c>
      <c r="I390" s="23">
        <f t="shared" ca="1" si="47"/>
        <v>23040</v>
      </c>
    </row>
    <row r="391" spans="2:9">
      <c r="B391" s="23">
        <f t="shared" ca="1" si="48"/>
        <v>255</v>
      </c>
      <c r="C391" s="23">
        <f t="shared" ca="1" si="49"/>
        <v>255</v>
      </c>
      <c r="D391" s="23">
        <f t="shared" ca="1" si="44"/>
        <v>14925</v>
      </c>
      <c r="E391" s="23">
        <f t="shared" ca="1" si="45"/>
        <v>0</v>
      </c>
      <c r="F391" s="23">
        <f t="shared" si="50"/>
        <v>168</v>
      </c>
      <c r="G391" s="23">
        <f t="shared" ca="1" si="51"/>
        <v>0</v>
      </c>
      <c r="H391" s="23">
        <f t="shared" ca="1" si="46"/>
        <v>255</v>
      </c>
      <c r="I391" s="23">
        <f t="shared" ca="1" si="47"/>
        <v>14925</v>
      </c>
    </row>
    <row r="392" spans="2:9">
      <c r="B392" s="23">
        <f t="shared" ca="1" si="48"/>
        <v>146</v>
      </c>
      <c r="C392" s="23">
        <f t="shared" ca="1" si="49"/>
        <v>146</v>
      </c>
      <c r="D392" s="23">
        <f t="shared" ca="1" si="44"/>
        <v>210</v>
      </c>
      <c r="E392" s="23">
        <f t="shared" ca="1" si="45"/>
        <v>0</v>
      </c>
      <c r="F392" s="23">
        <f t="shared" si="50"/>
        <v>168</v>
      </c>
      <c r="G392" s="23">
        <f t="shared" ca="1" si="51"/>
        <v>0</v>
      </c>
      <c r="H392" s="23">
        <f t="shared" ca="1" si="46"/>
        <v>146</v>
      </c>
      <c r="I392" s="23">
        <f t="shared" ca="1" si="47"/>
        <v>210</v>
      </c>
    </row>
    <row r="393" spans="2:9">
      <c r="B393" s="23">
        <f t="shared" ca="1" si="48"/>
        <v>24</v>
      </c>
      <c r="C393" s="23">
        <f t="shared" ca="1" si="49"/>
        <v>24</v>
      </c>
      <c r="D393" s="23">
        <f t="shared" ca="1" si="44"/>
        <v>-16260</v>
      </c>
      <c r="E393" s="23">
        <f t="shared" ca="1" si="45"/>
        <v>0</v>
      </c>
      <c r="F393" s="23">
        <f t="shared" si="50"/>
        <v>168</v>
      </c>
      <c r="G393" s="23">
        <f t="shared" ca="1" si="51"/>
        <v>0</v>
      </c>
      <c r="H393" s="23">
        <f t="shared" ca="1" si="46"/>
        <v>24</v>
      </c>
      <c r="I393" s="23">
        <f t="shared" ca="1" si="47"/>
        <v>-16260</v>
      </c>
    </row>
    <row r="394" spans="2:9">
      <c r="B394" s="23">
        <f t="shared" ca="1" si="48"/>
        <v>214</v>
      </c>
      <c r="C394" s="23">
        <f t="shared" ca="1" si="49"/>
        <v>214</v>
      </c>
      <c r="D394" s="23">
        <f t="shared" ca="1" si="44"/>
        <v>9390</v>
      </c>
      <c r="E394" s="23">
        <f t="shared" ca="1" si="45"/>
        <v>0</v>
      </c>
      <c r="F394" s="23">
        <f t="shared" si="50"/>
        <v>168</v>
      </c>
      <c r="G394" s="23">
        <f t="shared" ca="1" si="51"/>
        <v>0</v>
      </c>
      <c r="H394" s="23">
        <f t="shared" ca="1" si="46"/>
        <v>214</v>
      </c>
      <c r="I394" s="23">
        <f t="shared" ca="1" si="47"/>
        <v>9390</v>
      </c>
    </row>
    <row r="395" spans="2:9">
      <c r="B395" s="23">
        <f t="shared" ca="1" si="48"/>
        <v>294</v>
      </c>
      <c r="C395" s="23">
        <f t="shared" ca="1" si="49"/>
        <v>294</v>
      </c>
      <c r="D395" s="23">
        <f t="shared" ca="1" si="44"/>
        <v>20190</v>
      </c>
      <c r="E395" s="23">
        <f t="shared" ca="1" si="45"/>
        <v>0</v>
      </c>
      <c r="F395" s="23">
        <f t="shared" si="50"/>
        <v>168</v>
      </c>
      <c r="G395" s="23">
        <f t="shared" ca="1" si="51"/>
        <v>0</v>
      </c>
      <c r="H395" s="23">
        <f t="shared" ca="1" si="46"/>
        <v>294</v>
      </c>
      <c r="I395" s="23">
        <f t="shared" ca="1" si="47"/>
        <v>20190</v>
      </c>
    </row>
    <row r="396" spans="2:9">
      <c r="B396" s="23">
        <f t="shared" ca="1" si="48"/>
        <v>168</v>
      </c>
      <c r="C396" s="23">
        <f t="shared" ca="1" si="49"/>
        <v>168</v>
      </c>
      <c r="D396" s="23">
        <f t="shared" ref="D396:D459" ca="1" si="52">C396*$B$3-$D$8*$B$2</f>
        <v>3180</v>
      </c>
      <c r="E396" s="23">
        <f t="shared" ref="E396:E459" ca="1" si="53">MAX(0, B396-$D$8)</f>
        <v>0</v>
      </c>
      <c r="F396" s="23">
        <f t="shared" si="50"/>
        <v>168</v>
      </c>
      <c r="G396" s="23">
        <f t="shared" ca="1" si="51"/>
        <v>0</v>
      </c>
      <c r="H396" s="23">
        <f t="shared" ref="H396:H459" ca="1" si="54">MIN(B396, $D$8+G396)</f>
        <v>168</v>
      </c>
      <c r="I396" s="23">
        <f t="shared" ref="I396:I459" ca="1" si="55">H396*$B$3-$D$8*$B$2-$B$1*G396</f>
        <v>3180</v>
      </c>
    </row>
    <row r="397" spans="2:9">
      <c r="B397" s="23">
        <f t="shared" ref="B397:B460" ca="1" si="56">_xlfn.FLOOR.MATH(_xlfn.NORM.INV(RAND(),$B$4,$B$5))</f>
        <v>309</v>
      </c>
      <c r="C397" s="23">
        <f t="shared" ref="C397:C460" ca="1" si="57">MIN(B397,$D$8)</f>
        <v>300</v>
      </c>
      <c r="D397" s="23">
        <f t="shared" ca="1" si="52"/>
        <v>21000</v>
      </c>
      <c r="E397" s="23">
        <f t="shared" ca="1" si="53"/>
        <v>9</v>
      </c>
      <c r="F397" s="23">
        <f t="shared" ref="F397:F460" si="58">12*(21-7)</f>
        <v>168</v>
      </c>
      <c r="G397" s="23">
        <f t="shared" ca="1" si="51"/>
        <v>9</v>
      </c>
      <c r="H397" s="23">
        <f t="shared" ca="1" si="54"/>
        <v>309</v>
      </c>
      <c r="I397" s="23">
        <f t="shared" ca="1" si="55"/>
        <v>21360</v>
      </c>
    </row>
    <row r="398" spans="2:9">
      <c r="B398" s="23">
        <f t="shared" ca="1" si="56"/>
        <v>-1</v>
      </c>
      <c r="C398" s="23">
        <f t="shared" ca="1" si="57"/>
        <v>-1</v>
      </c>
      <c r="D398" s="23">
        <f t="shared" ca="1" si="52"/>
        <v>-19635</v>
      </c>
      <c r="E398" s="23">
        <f t="shared" ca="1" si="53"/>
        <v>0</v>
      </c>
      <c r="F398" s="23">
        <f t="shared" si="58"/>
        <v>168</v>
      </c>
      <c r="G398" s="23">
        <f t="shared" ca="1" si="51"/>
        <v>0</v>
      </c>
      <c r="H398" s="23">
        <f t="shared" ca="1" si="54"/>
        <v>-1</v>
      </c>
      <c r="I398" s="23">
        <f t="shared" ca="1" si="55"/>
        <v>-19635</v>
      </c>
    </row>
    <row r="399" spans="2:9">
      <c r="B399" s="23">
        <f t="shared" ca="1" si="56"/>
        <v>429</v>
      </c>
      <c r="C399" s="23">
        <f t="shared" ca="1" si="57"/>
        <v>300</v>
      </c>
      <c r="D399" s="23">
        <f t="shared" ca="1" si="52"/>
        <v>21000</v>
      </c>
      <c r="E399" s="23">
        <f t="shared" ca="1" si="53"/>
        <v>129</v>
      </c>
      <c r="F399" s="23">
        <f t="shared" si="58"/>
        <v>168</v>
      </c>
      <c r="G399" s="23">
        <f t="shared" ca="1" si="51"/>
        <v>129</v>
      </c>
      <c r="H399" s="23">
        <f t="shared" ca="1" si="54"/>
        <v>429</v>
      </c>
      <c r="I399" s="23">
        <f t="shared" ca="1" si="55"/>
        <v>26160</v>
      </c>
    </row>
    <row r="400" spans="2:9">
      <c r="B400" s="23">
        <f t="shared" ca="1" si="56"/>
        <v>207</v>
      </c>
      <c r="C400" s="23">
        <f t="shared" ca="1" si="57"/>
        <v>207</v>
      </c>
      <c r="D400" s="23">
        <f t="shared" ca="1" si="52"/>
        <v>8445</v>
      </c>
      <c r="E400" s="23">
        <f t="shared" ca="1" si="53"/>
        <v>0</v>
      </c>
      <c r="F400" s="23">
        <f t="shared" si="58"/>
        <v>168</v>
      </c>
      <c r="G400" s="23">
        <f t="shared" ref="G400:G463" ca="1" si="59">MIN(E400,F400)</f>
        <v>0</v>
      </c>
      <c r="H400" s="23">
        <f t="shared" ca="1" si="54"/>
        <v>207</v>
      </c>
      <c r="I400" s="23">
        <f t="shared" ca="1" si="55"/>
        <v>8445</v>
      </c>
    </row>
    <row r="401" spans="2:9">
      <c r="B401" s="23">
        <f t="shared" ca="1" si="56"/>
        <v>273</v>
      </c>
      <c r="C401" s="23">
        <f t="shared" ca="1" si="57"/>
        <v>273</v>
      </c>
      <c r="D401" s="23">
        <f t="shared" ca="1" si="52"/>
        <v>17355</v>
      </c>
      <c r="E401" s="23">
        <f t="shared" ca="1" si="53"/>
        <v>0</v>
      </c>
      <c r="F401" s="23">
        <f t="shared" si="58"/>
        <v>168</v>
      </c>
      <c r="G401" s="23">
        <f t="shared" ca="1" si="59"/>
        <v>0</v>
      </c>
      <c r="H401" s="23">
        <f t="shared" ca="1" si="54"/>
        <v>273</v>
      </c>
      <c r="I401" s="23">
        <f t="shared" ca="1" si="55"/>
        <v>17355</v>
      </c>
    </row>
    <row r="402" spans="2:9">
      <c r="B402" s="23">
        <f t="shared" ca="1" si="56"/>
        <v>279</v>
      </c>
      <c r="C402" s="23">
        <f t="shared" ca="1" si="57"/>
        <v>279</v>
      </c>
      <c r="D402" s="23">
        <f t="shared" ca="1" si="52"/>
        <v>18165</v>
      </c>
      <c r="E402" s="23">
        <f t="shared" ca="1" si="53"/>
        <v>0</v>
      </c>
      <c r="F402" s="23">
        <f t="shared" si="58"/>
        <v>168</v>
      </c>
      <c r="G402" s="23">
        <f t="shared" ca="1" si="59"/>
        <v>0</v>
      </c>
      <c r="H402" s="23">
        <f t="shared" ca="1" si="54"/>
        <v>279</v>
      </c>
      <c r="I402" s="23">
        <f t="shared" ca="1" si="55"/>
        <v>18165</v>
      </c>
    </row>
    <row r="403" spans="2:9">
      <c r="B403" s="23">
        <f t="shared" ca="1" si="56"/>
        <v>363</v>
      </c>
      <c r="C403" s="23">
        <f t="shared" ca="1" si="57"/>
        <v>300</v>
      </c>
      <c r="D403" s="23">
        <f t="shared" ca="1" si="52"/>
        <v>21000</v>
      </c>
      <c r="E403" s="23">
        <f t="shared" ca="1" si="53"/>
        <v>63</v>
      </c>
      <c r="F403" s="23">
        <f t="shared" si="58"/>
        <v>168</v>
      </c>
      <c r="G403" s="23">
        <f t="shared" ca="1" si="59"/>
        <v>63</v>
      </c>
      <c r="H403" s="23">
        <f t="shared" ca="1" si="54"/>
        <v>363</v>
      </c>
      <c r="I403" s="23">
        <f t="shared" ca="1" si="55"/>
        <v>23520</v>
      </c>
    </row>
    <row r="404" spans="2:9">
      <c r="B404" s="23">
        <f t="shared" ca="1" si="56"/>
        <v>108</v>
      </c>
      <c r="C404" s="23">
        <f t="shared" ca="1" si="57"/>
        <v>108</v>
      </c>
      <c r="D404" s="23">
        <f t="shared" ca="1" si="52"/>
        <v>-4920</v>
      </c>
      <c r="E404" s="23">
        <f t="shared" ca="1" si="53"/>
        <v>0</v>
      </c>
      <c r="F404" s="23">
        <f t="shared" si="58"/>
        <v>168</v>
      </c>
      <c r="G404" s="23">
        <f t="shared" ca="1" si="59"/>
        <v>0</v>
      </c>
      <c r="H404" s="23">
        <f t="shared" ca="1" si="54"/>
        <v>108</v>
      </c>
      <c r="I404" s="23">
        <f t="shared" ca="1" si="55"/>
        <v>-4920</v>
      </c>
    </row>
    <row r="405" spans="2:9">
      <c r="B405" s="23">
        <f t="shared" ca="1" si="56"/>
        <v>272</v>
      </c>
      <c r="C405" s="23">
        <f t="shared" ca="1" si="57"/>
        <v>272</v>
      </c>
      <c r="D405" s="23">
        <f t="shared" ca="1" si="52"/>
        <v>17220</v>
      </c>
      <c r="E405" s="23">
        <f t="shared" ca="1" si="53"/>
        <v>0</v>
      </c>
      <c r="F405" s="23">
        <f t="shared" si="58"/>
        <v>168</v>
      </c>
      <c r="G405" s="23">
        <f t="shared" ca="1" si="59"/>
        <v>0</v>
      </c>
      <c r="H405" s="23">
        <f t="shared" ca="1" si="54"/>
        <v>272</v>
      </c>
      <c r="I405" s="23">
        <f t="shared" ca="1" si="55"/>
        <v>17220</v>
      </c>
    </row>
    <row r="406" spans="2:9">
      <c r="B406" s="23">
        <f t="shared" ca="1" si="56"/>
        <v>209</v>
      </c>
      <c r="C406" s="23">
        <f t="shared" ca="1" si="57"/>
        <v>209</v>
      </c>
      <c r="D406" s="23">
        <f t="shared" ca="1" si="52"/>
        <v>8715</v>
      </c>
      <c r="E406" s="23">
        <f t="shared" ca="1" si="53"/>
        <v>0</v>
      </c>
      <c r="F406" s="23">
        <f t="shared" si="58"/>
        <v>168</v>
      </c>
      <c r="G406" s="23">
        <f t="shared" ca="1" si="59"/>
        <v>0</v>
      </c>
      <c r="H406" s="23">
        <f t="shared" ca="1" si="54"/>
        <v>209</v>
      </c>
      <c r="I406" s="23">
        <f t="shared" ca="1" si="55"/>
        <v>8715</v>
      </c>
    </row>
    <row r="407" spans="2:9">
      <c r="B407" s="23">
        <f t="shared" ca="1" si="56"/>
        <v>137</v>
      </c>
      <c r="C407" s="23">
        <f t="shared" ca="1" si="57"/>
        <v>137</v>
      </c>
      <c r="D407" s="23">
        <f t="shared" ca="1" si="52"/>
        <v>-1005</v>
      </c>
      <c r="E407" s="23">
        <f t="shared" ca="1" si="53"/>
        <v>0</v>
      </c>
      <c r="F407" s="23">
        <f t="shared" si="58"/>
        <v>168</v>
      </c>
      <c r="G407" s="23">
        <f t="shared" ca="1" si="59"/>
        <v>0</v>
      </c>
      <c r="H407" s="23">
        <f t="shared" ca="1" si="54"/>
        <v>137</v>
      </c>
      <c r="I407" s="23">
        <f t="shared" ca="1" si="55"/>
        <v>-1005</v>
      </c>
    </row>
    <row r="408" spans="2:9">
      <c r="B408" s="23">
        <f t="shared" ca="1" si="56"/>
        <v>406</v>
      </c>
      <c r="C408" s="23">
        <f t="shared" ca="1" si="57"/>
        <v>300</v>
      </c>
      <c r="D408" s="23">
        <f t="shared" ca="1" si="52"/>
        <v>21000</v>
      </c>
      <c r="E408" s="23">
        <f t="shared" ca="1" si="53"/>
        <v>106</v>
      </c>
      <c r="F408" s="23">
        <f t="shared" si="58"/>
        <v>168</v>
      </c>
      <c r="G408" s="23">
        <f t="shared" ca="1" si="59"/>
        <v>106</v>
      </c>
      <c r="H408" s="23">
        <f t="shared" ca="1" si="54"/>
        <v>406</v>
      </c>
      <c r="I408" s="23">
        <f t="shared" ca="1" si="55"/>
        <v>25240</v>
      </c>
    </row>
    <row r="409" spans="2:9">
      <c r="B409" s="23">
        <f t="shared" ca="1" si="56"/>
        <v>529</v>
      </c>
      <c r="C409" s="23">
        <f t="shared" ca="1" si="57"/>
        <v>300</v>
      </c>
      <c r="D409" s="23">
        <f t="shared" ca="1" si="52"/>
        <v>21000</v>
      </c>
      <c r="E409" s="23">
        <f t="shared" ca="1" si="53"/>
        <v>229</v>
      </c>
      <c r="F409" s="23">
        <f t="shared" si="58"/>
        <v>168</v>
      </c>
      <c r="G409" s="23">
        <f t="shared" ca="1" si="59"/>
        <v>168</v>
      </c>
      <c r="H409" s="23">
        <f t="shared" ca="1" si="54"/>
        <v>468</v>
      </c>
      <c r="I409" s="23">
        <f t="shared" ca="1" si="55"/>
        <v>27720</v>
      </c>
    </row>
    <row r="410" spans="2:9">
      <c r="B410" s="23">
        <f t="shared" ca="1" si="56"/>
        <v>367</v>
      </c>
      <c r="C410" s="23">
        <f t="shared" ca="1" si="57"/>
        <v>300</v>
      </c>
      <c r="D410" s="23">
        <f t="shared" ca="1" si="52"/>
        <v>21000</v>
      </c>
      <c r="E410" s="23">
        <f t="shared" ca="1" si="53"/>
        <v>67</v>
      </c>
      <c r="F410" s="23">
        <f t="shared" si="58"/>
        <v>168</v>
      </c>
      <c r="G410" s="23">
        <f t="shared" ca="1" si="59"/>
        <v>67</v>
      </c>
      <c r="H410" s="23">
        <f t="shared" ca="1" si="54"/>
        <v>367</v>
      </c>
      <c r="I410" s="23">
        <f t="shared" ca="1" si="55"/>
        <v>23680</v>
      </c>
    </row>
    <row r="411" spans="2:9">
      <c r="B411" s="23">
        <f t="shared" ca="1" si="56"/>
        <v>312</v>
      </c>
      <c r="C411" s="23">
        <f t="shared" ca="1" si="57"/>
        <v>300</v>
      </c>
      <c r="D411" s="23">
        <f t="shared" ca="1" si="52"/>
        <v>21000</v>
      </c>
      <c r="E411" s="23">
        <f t="shared" ca="1" si="53"/>
        <v>12</v>
      </c>
      <c r="F411" s="23">
        <f t="shared" si="58"/>
        <v>168</v>
      </c>
      <c r="G411" s="23">
        <f t="shared" ca="1" si="59"/>
        <v>12</v>
      </c>
      <c r="H411" s="23">
        <f t="shared" ca="1" si="54"/>
        <v>312</v>
      </c>
      <c r="I411" s="23">
        <f t="shared" ca="1" si="55"/>
        <v>21480</v>
      </c>
    </row>
    <row r="412" spans="2:9">
      <c r="B412" s="23">
        <f t="shared" ca="1" si="56"/>
        <v>284</v>
      </c>
      <c r="C412" s="23">
        <f t="shared" ca="1" si="57"/>
        <v>284</v>
      </c>
      <c r="D412" s="23">
        <f t="shared" ca="1" si="52"/>
        <v>18840</v>
      </c>
      <c r="E412" s="23">
        <f t="shared" ca="1" si="53"/>
        <v>0</v>
      </c>
      <c r="F412" s="23">
        <f t="shared" si="58"/>
        <v>168</v>
      </c>
      <c r="G412" s="23">
        <f t="shared" ca="1" si="59"/>
        <v>0</v>
      </c>
      <c r="H412" s="23">
        <f t="shared" ca="1" si="54"/>
        <v>284</v>
      </c>
      <c r="I412" s="23">
        <f t="shared" ca="1" si="55"/>
        <v>18840</v>
      </c>
    </row>
    <row r="413" spans="2:9">
      <c r="B413" s="23">
        <f t="shared" ca="1" si="56"/>
        <v>343</v>
      </c>
      <c r="C413" s="23">
        <f t="shared" ca="1" si="57"/>
        <v>300</v>
      </c>
      <c r="D413" s="23">
        <f t="shared" ca="1" si="52"/>
        <v>21000</v>
      </c>
      <c r="E413" s="23">
        <f t="shared" ca="1" si="53"/>
        <v>43</v>
      </c>
      <c r="F413" s="23">
        <f t="shared" si="58"/>
        <v>168</v>
      </c>
      <c r="G413" s="23">
        <f t="shared" ca="1" si="59"/>
        <v>43</v>
      </c>
      <c r="H413" s="23">
        <f t="shared" ca="1" si="54"/>
        <v>343</v>
      </c>
      <c r="I413" s="23">
        <f t="shared" ca="1" si="55"/>
        <v>22720</v>
      </c>
    </row>
    <row r="414" spans="2:9">
      <c r="B414" s="23">
        <f t="shared" ca="1" si="56"/>
        <v>185</v>
      </c>
      <c r="C414" s="23">
        <f t="shared" ca="1" si="57"/>
        <v>185</v>
      </c>
      <c r="D414" s="23">
        <f t="shared" ca="1" si="52"/>
        <v>5475</v>
      </c>
      <c r="E414" s="23">
        <f t="shared" ca="1" si="53"/>
        <v>0</v>
      </c>
      <c r="F414" s="23">
        <f t="shared" si="58"/>
        <v>168</v>
      </c>
      <c r="G414" s="23">
        <f t="shared" ca="1" si="59"/>
        <v>0</v>
      </c>
      <c r="H414" s="23">
        <f t="shared" ca="1" si="54"/>
        <v>185</v>
      </c>
      <c r="I414" s="23">
        <f t="shared" ca="1" si="55"/>
        <v>5475</v>
      </c>
    </row>
    <row r="415" spans="2:9">
      <c r="B415" s="23">
        <f t="shared" ca="1" si="56"/>
        <v>294</v>
      </c>
      <c r="C415" s="23">
        <f t="shared" ca="1" si="57"/>
        <v>294</v>
      </c>
      <c r="D415" s="23">
        <f t="shared" ca="1" si="52"/>
        <v>20190</v>
      </c>
      <c r="E415" s="23">
        <f t="shared" ca="1" si="53"/>
        <v>0</v>
      </c>
      <c r="F415" s="23">
        <f t="shared" si="58"/>
        <v>168</v>
      </c>
      <c r="G415" s="23">
        <f t="shared" ca="1" si="59"/>
        <v>0</v>
      </c>
      <c r="H415" s="23">
        <f t="shared" ca="1" si="54"/>
        <v>294</v>
      </c>
      <c r="I415" s="23">
        <f t="shared" ca="1" si="55"/>
        <v>20190</v>
      </c>
    </row>
    <row r="416" spans="2:9">
      <c r="B416" s="23">
        <f t="shared" ca="1" si="56"/>
        <v>283</v>
      </c>
      <c r="C416" s="23">
        <f t="shared" ca="1" si="57"/>
        <v>283</v>
      </c>
      <c r="D416" s="23">
        <f t="shared" ca="1" si="52"/>
        <v>18705</v>
      </c>
      <c r="E416" s="23">
        <f t="shared" ca="1" si="53"/>
        <v>0</v>
      </c>
      <c r="F416" s="23">
        <f t="shared" si="58"/>
        <v>168</v>
      </c>
      <c r="G416" s="23">
        <f t="shared" ca="1" si="59"/>
        <v>0</v>
      </c>
      <c r="H416" s="23">
        <f t="shared" ca="1" si="54"/>
        <v>283</v>
      </c>
      <c r="I416" s="23">
        <f t="shared" ca="1" si="55"/>
        <v>18705</v>
      </c>
    </row>
    <row r="417" spans="2:9">
      <c r="B417" s="23">
        <f t="shared" ca="1" si="56"/>
        <v>307</v>
      </c>
      <c r="C417" s="23">
        <f t="shared" ca="1" si="57"/>
        <v>300</v>
      </c>
      <c r="D417" s="23">
        <f t="shared" ca="1" si="52"/>
        <v>21000</v>
      </c>
      <c r="E417" s="23">
        <f t="shared" ca="1" si="53"/>
        <v>7</v>
      </c>
      <c r="F417" s="23">
        <f t="shared" si="58"/>
        <v>168</v>
      </c>
      <c r="G417" s="23">
        <f t="shared" ca="1" si="59"/>
        <v>7</v>
      </c>
      <c r="H417" s="23">
        <f t="shared" ca="1" si="54"/>
        <v>307</v>
      </c>
      <c r="I417" s="23">
        <f t="shared" ca="1" si="55"/>
        <v>21280</v>
      </c>
    </row>
    <row r="418" spans="2:9">
      <c r="B418" s="23">
        <f t="shared" ca="1" si="56"/>
        <v>394</v>
      </c>
      <c r="C418" s="23">
        <f t="shared" ca="1" si="57"/>
        <v>300</v>
      </c>
      <c r="D418" s="23">
        <f t="shared" ca="1" si="52"/>
        <v>21000</v>
      </c>
      <c r="E418" s="23">
        <f t="shared" ca="1" si="53"/>
        <v>94</v>
      </c>
      <c r="F418" s="23">
        <f t="shared" si="58"/>
        <v>168</v>
      </c>
      <c r="G418" s="23">
        <f t="shared" ca="1" si="59"/>
        <v>94</v>
      </c>
      <c r="H418" s="23">
        <f t="shared" ca="1" si="54"/>
        <v>394</v>
      </c>
      <c r="I418" s="23">
        <f t="shared" ca="1" si="55"/>
        <v>24760</v>
      </c>
    </row>
    <row r="419" spans="2:9">
      <c r="B419" s="23">
        <f t="shared" ca="1" si="56"/>
        <v>274</v>
      </c>
      <c r="C419" s="23">
        <f t="shared" ca="1" si="57"/>
        <v>274</v>
      </c>
      <c r="D419" s="23">
        <f t="shared" ca="1" si="52"/>
        <v>17490</v>
      </c>
      <c r="E419" s="23">
        <f t="shared" ca="1" si="53"/>
        <v>0</v>
      </c>
      <c r="F419" s="23">
        <f t="shared" si="58"/>
        <v>168</v>
      </c>
      <c r="G419" s="23">
        <f t="shared" ca="1" si="59"/>
        <v>0</v>
      </c>
      <c r="H419" s="23">
        <f t="shared" ca="1" si="54"/>
        <v>274</v>
      </c>
      <c r="I419" s="23">
        <f t="shared" ca="1" si="55"/>
        <v>17490</v>
      </c>
    </row>
    <row r="420" spans="2:9">
      <c r="B420" s="23">
        <f t="shared" ca="1" si="56"/>
        <v>132</v>
      </c>
      <c r="C420" s="23">
        <f t="shared" ca="1" si="57"/>
        <v>132</v>
      </c>
      <c r="D420" s="23">
        <f t="shared" ca="1" si="52"/>
        <v>-1680</v>
      </c>
      <c r="E420" s="23">
        <f t="shared" ca="1" si="53"/>
        <v>0</v>
      </c>
      <c r="F420" s="23">
        <f t="shared" si="58"/>
        <v>168</v>
      </c>
      <c r="G420" s="23">
        <f t="shared" ca="1" si="59"/>
        <v>0</v>
      </c>
      <c r="H420" s="23">
        <f t="shared" ca="1" si="54"/>
        <v>132</v>
      </c>
      <c r="I420" s="23">
        <f t="shared" ca="1" si="55"/>
        <v>-1680</v>
      </c>
    </row>
    <row r="421" spans="2:9">
      <c r="B421" s="23">
        <f t="shared" ca="1" si="56"/>
        <v>272</v>
      </c>
      <c r="C421" s="23">
        <f t="shared" ca="1" si="57"/>
        <v>272</v>
      </c>
      <c r="D421" s="23">
        <f t="shared" ca="1" si="52"/>
        <v>17220</v>
      </c>
      <c r="E421" s="23">
        <f t="shared" ca="1" si="53"/>
        <v>0</v>
      </c>
      <c r="F421" s="23">
        <f t="shared" si="58"/>
        <v>168</v>
      </c>
      <c r="G421" s="23">
        <f t="shared" ca="1" si="59"/>
        <v>0</v>
      </c>
      <c r="H421" s="23">
        <f t="shared" ca="1" si="54"/>
        <v>272</v>
      </c>
      <c r="I421" s="23">
        <f t="shared" ca="1" si="55"/>
        <v>17220</v>
      </c>
    </row>
    <row r="422" spans="2:9">
      <c r="B422" s="23">
        <f t="shared" ca="1" si="56"/>
        <v>376</v>
      </c>
      <c r="C422" s="23">
        <f t="shared" ca="1" si="57"/>
        <v>300</v>
      </c>
      <c r="D422" s="23">
        <f t="shared" ca="1" si="52"/>
        <v>21000</v>
      </c>
      <c r="E422" s="23">
        <f t="shared" ca="1" si="53"/>
        <v>76</v>
      </c>
      <c r="F422" s="23">
        <f t="shared" si="58"/>
        <v>168</v>
      </c>
      <c r="G422" s="23">
        <f t="shared" ca="1" si="59"/>
        <v>76</v>
      </c>
      <c r="H422" s="23">
        <f t="shared" ca="1" si="54"/>
        <v>376</v>
      </c>
      <c r="I422" s="23">
        <f t="shared" ca="1" si="55"/>
        <v>24040</v>
      </c>
    </row>
    <row r="423" spans="2:9">
      <c r="B423" s="23">
        <f t="shared" ca="1" si="56"/>
        <v>-5</v>
      </c>
      <c r="C423" s="23">
        <f t="shared" ca="1" si="57"/>
        <v>-5</v>
      </c>
      <c r="D423" s="23">
        <f t="shared" ca="1" si="52"/>
        <v>-20175</v>
      </c>
      <c r="E423" s="23">
        <f t="shared" ca="1" si="53"/>
        <v>0</v>
      </c>
      <c r="F423" s="23">
        <f t="shared" si="58"/>
        <v>168</v>
      </c>
      <c r="G423" s="23">
        <f t="shared" ca="1" si="59"/>
        <v>0</v>
      </c>
      <c r="H423" s="23">
        <f t="shared" ca="1" si="54"/>
        <v>-5</v>
      </c>
      <c r="I423" s="23">
        <f t="shared" ca="1" si="55"/>
        <v>-20175</v>
      </c>
    </row>
    <row r="424" spans="2:9">
      <c r="B424" s="23">
        <f t="shared" ca="1" si="56"/>
        <v>352</v>
      </c>
      <c r="C424" s="23">
        <f t="shared" ca="1" si="57"/>
        <v>300</v>
      </c>
      <c r="D424" s="23">
        <f t="shared" ca="1" si="52"/>
        <v>21000</v>
      </c>
      <c r="E424" s="23">
        <f t="shared" ca="1" si="53"/>
        <v>52</v>
      </c>
      <c r="F424" s="23">
        <f t="shared" si="58"/>
        <v>168</v>
      </c>
      <c r="G424" s="23">
        <f t="shared" ca="1" si="59"/>
        <v>52</v>
      </c>
      <c r="H424" s="23">
        <f t="shared" ca="1" si="54"/>
        <v>352</v>
      </c>
      <c r="I424" s="23">
        <f t="shared" ca="1" si="55"/>
        <v>23080</v>
      </c>
    </row>
    <row r="425" spans="2:9">
      <c r="B425" s="23">
        <f t="shared" ca="1" si="56"/>
        <v>375</v>
      </c>
      <c r="C425" s="23">
        <f t="shared" ca="1" si="57"/>
        <v>300</v>
      </c>
      <c r="D425" s="23">
        <f t="shared" ca="1" si="52"/>
        <v>21000</v>
      </c>
      <c r="E425" s="23">
        <f t="shared" ca="1" si="53"/>
        <v>75</v>
      </c>
      <c r="F425" s="23">
        <f t="shared" si="58"/>
        <v>168</v>
      </c>
      <c r="G425" s="23">
        <f t="shared" ca="1" si="59"/>
        <v>75</v>
      </c>
      <c r="H425" s="23">
        <f t="shared" ca="1" si="54"/>
        <v>375</v>
      </c>
      <c r="I425" s="23">
        <f t="shared" ca="1" si="55"/>
        <v>24000</v>
      </c>
    </row>
    <row r="426" spans="2:9">
      <c r="B426" s="23">
        <f t="shared" ca="1" si="56"/>
        <v>439</v>
      </c>
      <c r="C426" s="23">
        <f t="shared" ca="1" si="57"/>
        <v>300</v>
      </c>
      <c r="D426" s="23">
        <f t="shared" ca="1" si="52"/>
        <v>21000</v>
      </c>
      <c r="E426" s="23">
        <f t="shared" ca="1" si="53"/>
        <v>139</v>
      </c>
      <c r="F426" s="23">
        <f t="shared" si="58"/>
        <v>168</v>
      </c>
      <c r="G426" s="23">
        <f t="shared" ca="1" si="59"/>
        <v>139</v>
      </c>
      <c r="H426" s="23">
        <f t="shared" ca="1" si="54"/>
        <v>439</v>
      </c>
      <c r="I426" s="23">
        <f t="shared" ca="1" si="55"/>
        <v>26560</v>
      </c>
    </row>
    <row r="427" spans="2:9">
      <c r="B427" s="23">
        <f t="shared" ca="1" si="56"/>
        <v>411</v>
      </c>
      <c r="C427" s="23">
        <f t="shared" ca="1" si="57"/>
        <v>300</v>
      </c>
      <c r="D427" s="23">
        <f t="shared" ca="1" si="52"/>
        <v>21000</v>
      </c>
      <c r="E427" s="23">
        <f t="shared" ca="1" si="53"/>
        <v>111</v>
      </c>
      <c r="F427" s="23">
        <f t="shared" si="58"/>
        <v>168</v>
      </c>
      <c r="G427" s="23">
        <f t="shared" ca="1" si="59"/>
        <v>111</v>
      </c>
      <c r="H427" s="23">
        <f t="shared" ca="1" si="54"/>
        <v>411</v>
      </c>
      <c r="I427" s="23">
        <f t="shared" ca="1" si="55"/>
        <v>25440</v>
      </c>
    </row>
    <row r="428" spans="2:9">
      <c r="B428" s="23">
        <f t="shared" ca="1" si="56"/>
        <v>417</v>
      </c>
      <c r="C428" s="23">
        <f t="shared" ca="1" si="57"/>
        <v>300</v>
      </c>
      <c r="D428" s="23">
        <f t="shared" ca="1" si="52"/>
        <v>21000</v>
      </c>
      <c r="E428" s="23">
        <f t="shared" ca="1" si="53"/>
        <v>117</v>
      </c>
      <c r="F428" s="23">
        <f t="shared" si="58"/>
        <v>168</v>
      </c>
      <c r="G428" s="23">
        <f t="shared" ca="1" si="59"/>
        <v>117</v>
      </c>
      <c r="H428" s="23">
        <f t="shared" ca="1" si="54"/>
        <v>417</v>
      </c>
      <c r="I428" s="23">
        <f t="shared" ca="1" si="55"/>
        <v>25680</v>
      </c>
    </row>
    <row r="429" spans="2:9">
      <c r="B429" s="23">
        <f t="shared" ca="1" si="56"/>
        <v>269</v>
      </c>
      <c r="C429" s="23">
        <f t="shared" ca="1" si="57"/>
        <v>269</v>
      </c>
      <c r="D429" s="23">
        <f t="shared" ca="1" si="52"/>
        <v>16815</v>
      </c>
      <c r="E429" s="23">
        <f t="shared" ca="1" si="53"/>
        <v>0</v>
      </c>
      <c r="F429" s="23">
        <f t="shared" si="58"/>
        <v>168</v>
      </c>
      <c r="G429" s="23">
        <f t="shared" ca="1" si="59"/>
        <v>0</v>
      </c>
      <c r="H429" s="23">
        <f t="shared" ca="1" si="54"/>
        <v>269</v>
      </c>
      <c r="I429" s="23">
        <f t="shared" ca="1" si="55"/>
        <v>16815</v>
      </c>
    </row>
    <row r="430" spans="2:9">
      <c r="B430" s="23">
        <f t="shared" ca="1" si="56"/>
        <v>218</v>
      </c>
      <c r="C430" s="23">
        <f t="shared" ca="1" si="57"/>
        <v>218</v>
      </c>
      <c r="D430" s="23">
        <f t="shared" ca="1" si="52"/>
        <v>9930</v>
      </c>
      <c r="E430" s="23">
        <f t="shared" ca="1" si="53"/>
        <v>0</v>
      </c>
      <c r="F430" s="23">
        <f t="shared" si="58"/>
        <v>168</v>
      </c>
      <c r="G430" s="23">
        <f t="shared" ca="1" si="59"/>
        <v>0</v>
      </c>
      <c r="H430" s="23">
        <f t="shared" ca="1" si="54"/>
        <v>218</v>
      </c>
      <c r="I430" s="23">
        <f t="shared" ca="1" si="55"/>
        <v>9930</v>
      </c>
    </row>
    <row r="431" spans="2:9">
      <c r="B431" s="23">
        <f t="shared" ca="1" si="56"/>
        <v>469</v>
      </c>
      <c r="C431" s="23">
        <f t="shared" ca="1" si="57"/>
        <v>300</v>
      </c>
      <c r="D431" s="23">
        <f t="shared" ca="1" si="52"/>
        <v>21000</v>
      </c>
      <c r="E431" s="23">
        <f t="shared" ca="1" si="53"/>
        <v>169</v>
      </c>
      <c r="F431" s="23">
        <f t="shared" si="58"/>
        <v>168</v>
      </c>
      <c r="G431" s="23">
        <f t="shared" ca="1" si="59"/>
        <v>168</v>
      </c>
      <c r="H431" s="23">
        <f t="shared" ca="1" si="54"/>
        <v>468</v>
      </c>
      <c r="I431" s="23">
        <f t="shared" ca="1" si="55"/>
        <v>27720</v>
      </c>
    </row>
    <row r="432" spans="2:9">
      <c r="B432" s="23">
        <f t="shared" ca="1" si="56"/>
        <v>251</v>
      </c>
      <c r="C432" s="23">
        <f t="shared" ca="1" si="57"/>
        <v>251</v>
      </c>
      <c r="D432" s="23">
        <f t="shared" ca="1" si="52"/>
        <v>14385</v>
      </c>
      <c r="E432" s="23">
        <f t="shared" ca="1" si="53"/>
        <v>0</v>
      </c>
      <c r="F432" s="23">
        <f t="shared" si="58"/>
        <v>168</v>
      </c>
      <c r="G432" s="23">
        <f t="shared" ca="1" si="59"/>
        <v>0</v>
      </c>
      <c r="H432" s="23">
        <f t="shared" ca="1" si="54"/>
        <v>251</v>
      </c>
      <c r="I432" s="23">
        <f t="shared" ca="1" si="55"/>
        <v>14385</v>
      </c>
    </row>
    <row r="433" spans="2:9">
      <c r="B433" s="23">
        <f t="shared" ca="1" si="56"/>
        <v>380</v>
      </c>
      <c r="C433" s="23">
        <f t="shared" ca="1" si="57"/>
        <v>300</v>
      </c>
      <c r="D433" s="23">
        <f t="shared" ca="1" si="52"/>
        <v>21000</v>
      </c>
      <c r="E433" s="23">
        <f t="shared" ca="1" si="53"/>
        <v>80</v>
      </c>
      <c r="F433" s="23">
        <f t="shared" si="58"/>
        <v>168</v>
      </c>
      <c r="G433" s="23">
        <f t="shared" ca="1" si="59"/>
        <v>80</v>
      </c>
      <c r="H433" s="23">
        <f t="shared" ca="1" si="54"/>
        <v>380</v>
      </c>
      <c r="I433" s="23">
        <f t="shared" ca="1" si="55"/>
        <v>24200</v>
      </c>
    </row>
    <row r="434" spans="2:9">
      <c r="B434" s="23">
        <f t="shared" ca="1" si="56"/>
        <v>365</v>
      </c>
      <c r="C434" s="23">
        <f t="shared" ca="1" si="57"/>
        <v>300</v>
      </c>
      <c r="D434" s="23">
        <f t="shared" ca="1" si="52"/>
        <v>21000</v>
      </c>
      <c r="E434" s="23">
        <f t="shared" ca="1" si="53"/>
        <v>65</v>
      </c>
      <c r="F434" s="23">
        <f t="shared" si="58"/>
        <v>168</v>
      </c>
      <c r="G434" s="23">
        <f t="shared" ca="1" si="59"/>
        <v>65</v>
      </c>
      <c r="H434" s="23">
        <f t="shared" ca="1" si="54"/>
        <v>365</v>
      </c>
      <c r="I434" s="23">
        <f t="shared" ca="1" si="55"/>
        <v>23600</v>
      </c>
    </row>
    <row r="435" spans="2:9">
      <c r="B435" s="23">
        <f t="shared" ca="1" si="56"/>
        <v>188</v>
      </c>
      <c r="C435" s="23">
        <f t="shared" ca="1" si="57"/>
        <v>188</v>
      </c>
      <c r="D435" s="23">
        <f t="shared" ca="1" si="52"/>
        <v>5880</v>
      </c>
      <c r="E435" s="23">
        <f t="shared" ca="1" si="53"/>
        <v>0</v>
      </c>
      <c r="F435" s="23">
        <f t="shared" si="58"/>
        <v>168</v>
      </c>
      <c r="G435" s="23">
        <f t="shared" ca="1" si="59"/>
        <v>0</v>
      </c>
      <c r="H435" s="23">
        <f t="shared" ca="1" si="54"/>
        <v>188</v>
      </c>
      <c r="I435" s="23">
        <f t="shared" ca="1" si="55"/>
        <v>5880</v>
      </c>
    </row>
    <row r="436" spans="2:9">
      <c r="B436" s="23">
        <f t="shared" ca="1" si="56"/>
        <v>266</v>
      </c>
      <c r="C436" s="23">
        <f t="shared" ca="1" si="57"/>
        <v>266</v>
      </c>
      <c r="D436" s="23">
        <f t="shared" ca="1" si="52"/>
        <v>16410</v>
      </c>
      <c r="E436" s="23">
        <f t="shared" ca="1" si="53"/>
        <v>0</v>
      </c>
      <c r="F436" s="23">
        <f t="shared" si="58"/>
        <v>168</v>
      </c>
      <c r="G436" s="23">
        <f t="shared" ca="1" si="59"/>
        <v>0</v>
      </c>
      <c r="H436" s="23">
        <f t="shared" ca="1" si="54"/>
        <v>266</v>
      </c>
      <c r="I436" s="23">
        <f t="shared" ca="1" si="55"/>
        <v>16410</v>
      </c>
    </row>
    <row r="437" spans="2:9">
      <c r="B437" s="23">
        <f t="shared" ca="1" si="56"/>
        <v>211</v>
      </c>
      <c r="C437" s="23">
        <f t="shared" ca="1" si="57"/>
        <v>211</v>
      </c>
      <c r="D437" s="23">
        <f t="shared" ca="1" si="52"/>
        <v>8985</v>
      </c>
      <c r="E437" s="23">
        <f t="shared" ca="1" si="53"/>
        <v>0</v>
      </c>
      <c r="F437" s="23">
        <f t="shared" si="58"/>
        <v>168</v>
      </c>
      <c r="G437" s="23">
        <f t="shared" ca="1" si="59"/>
        <v>0</v>
      </c>
      <c r="H437" s="23">
        <f t="shared" ca="1" si="54"/>
        <v>211</v>
      </c>
      <c r="I437" s="23">
        <f t="shared" ca="1" si="55"/>
        <v>8985</v>
      </c>
    </row>
    <row r="438" spans="2:9">
      <c r="B438" s="23">
        <f t="shared" ca="1" si="56"/>
        <v>411</v>
      </c>
      <c r="C438" s="23">
        <f t="shared" ca="1" si="57"/>
        <v>300</v>
      </c>
      <c r="D438" s="23">
        <f t="shared" ca="1" si="52"/>
        <v>21000</v>
      </c>
      <c r="E438" s="23">
        <f t="shared" ca="1" si="53"/>
        <v>111</v>
      </c>
      <c r="F438" s="23">
        <f t="shared" si="58"/>
        <v>168</v>
      </c>
      <c r="G438" s="23">
        <f t="shared" ca="1" si="59"/>
        <v>111</v>
      </c>
      <c r="H438" s="23">
        <f t="shared" ca="1" si="54"/>
        <v>411</v>
      </c>
      <c r="I438" s="23">
        <f t="shared" ca="1" si="55"/>
        <v>25440</v>
      </c>
    </row>
    <row r="439" spans="2:9">
      <c r="B439" s="23">
        <f t="shared" ca="1" si="56"/>
        <v>271</v>
      </c>
      <c r="C439" s="23">
        <f t="shared" ca="1" si="57"/>
        <v>271</v>
      </c>
      <c r="D439" s="23">
        <f t="shared" ca="1" si="52"/>
        <v>17085</v>
      </c>
      <c r="E439" s="23">
        <f t="shared" ca="1" si="53"/>
        <v>0</v>
      </c>
      <c r="F439" s="23">
        <f t="shared" si="58"/>
        <v>168</v>
      </c>
      <c r="G439" s="23">
        <f t="shared" ca="1" si="59"/>
        <v>0</v>
      </c>
      <c r="H439" s="23">
        <f t="shared" ca="1" si="54"/>
        <v>271</v>
      </c>
      <c r="I439" s="23">
        <f t="shared" ca="1" si="55"/>
        <v>17085</v>
      </c>
    </row>
    <row r="440" spans="2:9">
      <c r="B440" s="23">
        <f t="shared" ca="1" si="56"/>
        <v>425</v>
      </c>
      <c r="C440" s="23">
        <f t="shared" ca="1" si="57"/>
        <v>300</v>
      </c>
      <c r="D440" s="23">
        <f t="shared" ca="1" si="52"/>
        <v>21000</v>
      </c>
      <c r="E440" s="23">
        <f t="shared" ca="1" si="53"/>
        <v>125</v>
      </c>
      <c r="F440" s="23">
        <f t="shared" si="58"/>
        <v>168</v>
      </c>
      <c r="G440" s="23">
        <f t="shared" ca="1" si="59"/>
        <v>125</v>
      </c>
      <c r="H440" s="23">
        <f t="shared" ca="1" si="54"/>
        <v>425</v>
      </c>
      <c r="I440" s="23">
        <f t="shared" ca="1" si="55"/>
        <v>26000</v>
      </c>
    </row>
    <row r="441" spans="2:9">
      <c r="B441" s="23">
        <f t="shared" ca="1" si="56"/>
        <v>291</v>
      </c>
      <c r="C441" s="23">
        <f t="shared" ca="1" si="57"/>
        <v>291</v>
      </c>
      <c r="D441" s="23">
        <f t="shared" ca="1" si="52"/>
        <v>19785</v>
      </c>
      <c r="E441" s="23">
        <f t="shared" ca="1" si="53"/>
        <v>0</v>
      </c>
      <c r="F441" s="23">
        <f t="shared" si="58"/>
        <v>168</v>
      </c>
      <c r="G441" s="23">
        <f t="shared" ca="1" si="59"/>
        <v>0</v>
      </c>
      <c r="H441" s="23">
        <f t="shared" ca="1" si="54"/>
        <v>291</v>
      </c>
      <c r="I441" s="23">
        <f t="shared" ca="1" si="55"/>
        <v>19785</v>
      </c>
    </row>
    <row r="442" spans="2:9">
      <c r="B442" s="23">
        <f t="shared" ca="1" si="56"/>
        <v>309</v>
      </c>
      <c r="C442" s="23">
        <f t="shared" ca="1" si="57"/>
        <v>300</v>
      </c>
      <c r="D442" s="23">
        <f t="shared" ca="1" si="52"/>
        <v>21000</v>
      </c>
      <c r="E442" s="23">
        <f t="shared" ca="1" si="53"/>
        <v>9</v>
      </c>
      <c r="F442" s="23">
        <f t="shared" si="58"/>
        <v>168</v>
      </c>
      <c r="G442" s="23">
        <f t="shared" ca="1" si="59"/>
        <v>9</v>
      </c>
      <c r="H442" s="23">
        <f t="shared" ca="1" si="54"/>
        <v>309</v>
      </c>
      <c r="I442" s="23">
        <f t="shared" ca="1" si="55"/>
        <v>21360</v>
      </c>
    </row>
    <row r="443" spans="2:9">
      <c r="B443" s="23">
        <f t="shared" ca="1" si="56"/>
        <v>314</v>
      </c>
      <c r="C443" s="23">
        <f t="shared" ca="1" si="57"/>
        <v>300</v>
      </c>
      <c r="D443" s="23">
        <f t="shared" ca="1" si="52"/>
        <v>21000</v>
      </c>
      <c r="E443" s="23">
        <f t="shared" ca="1" si="53"/>
        <v>14</v>
      </c>
      <c r="F443" s="23">
        <f t="shared" si="58"/>
        <v>168</v>
      </c>
      <c r="G443" s="23">
        <f t="shared" ca="1" si="59"/>
        <v>14</v>
      </c>
      <c r="H443" s="23">
        <f t="shared" ca="1" si="54"/>
        <v>314</v>
      </c>
      <c r="I443" s="23">
        <f t="shared" ca="1" si="55"/>
        <v>21560</v>
      </c>
    </row>
    <row r="444" spans="2:9">
      <c r="B444" s="23">
        <f t="shared" ca="1" si="56"/>
        <v>439</v>
      </c>
      <c r="C444" s="23">
        <f t="shared" ca="1" si="57"/>
        <v>300</v>
      </c>
      <c r="D444" s="23">
        <f t="shared" ca="1" si="52"/>
        <v>21000</v>
      </c>
      <c r="E444" s="23">
        <f t="shared" ca="1" si="53"/>
        <v>139</v>
      </c>
      <c r="F444" s="23">
        <f t="shared" si="58"/>
        <v>168</v>
      </c>
      <c r="G444" s="23">
        <f t="shared" ca="1" si="59"/>
        <v>139</v>
      </c>
      <c r="H444" s="23">
        <f t="shared" ca="1" si="54"/>
        <v>439</v>
      </c>
      <c r="I444" s="23">
        <f t="shared" ca="1" si="55"/>
        <v>26560</v>
      </c>
    </row>
    <row r="445" spans="2:9">
      <c r="B445" s="23">
        <f t="shared" ca="1" si="56"/>
        <v>266</v>
      </c>
      <c r="C445" s="23">
        <f t="shared" ca="1" si="57"/>
        <v>266</v>
      </c>
      <c r="D445" s="23">
        <f t="shared" ca="1" si="52"/>
        <v>16410</v>
      </c>
      <c r="E445" s="23">
        <f t="shared" ca="1" si="53"/>
        <v>0</v>
      </c>
      <c r="F445" s="23">
        <f t="shared" si="58"/>
        <v>168</v>
      </c>
      <c r="G445" s="23">
        <f t="shared" ca="1" si="59"/>
        <v>0</v>
      </c>
      <c r="H445" s="23">
        <f t="shared" ca="1" si="54"/>
        <v>266</v>
      </c>
      <c r="I445" s="23">
        <f t="shared" ca="1" si="55"/>
        <v>16410</v>
      </c>
    </row>
    <row r="446" spans="2:9">
      <c r="B446" s="23">
        <f t="shared" ca="1" si="56"/>
        <v>399</v>
      </c>
      <c r="C446" s="23">
        <f t="shared" ca="1" si="57"/>
        <v>300</v>
      </c>
      <c r="D446" s="23">
        <f t="shared" ca="1" si="52"/>
        <v>21000</v>
      </c>
      <c r="E446" s="23">
        <f t="shared" ca="1" si="53"/>
        <v>99</v>
      </c>
      <c r="F446" s="23">
        <f t="shared" si="58"/>
        <v>168</v>
      </c>
      <c r="G446" s="23">
        <f t="shared" ca="1" si="59"/>
        <v>99</v>
      </c>
      <c r="H446" s="23">
        <f t="shared" ca="1" si="54"/>
        <v>399</v>
      </c>
      <c r="I446" s="23">
        <f t="shared" ca="1" si="55"/>
        <v>24960</v>
      </c>
    </row>
    <row r="447" spans="2:9">
      <c r="B447" s="23">
        <f t="shared" ca="1" si="56"/>
        <v>201</v>
      </c>
      <c r="C447" s="23">
        <f t="shared" ca="1" si="57"/>
        <v>201</v>
      </c>
      <c r="D447" s="23">
        <f t="shared" ca="1" si="52"/>
        <v>7635</v>
      </c>
      <c r="E447" s="23">
        <f t="shared" ca="1" si="53"/>
        <v>0</v>
      </c>
      <c r="F447" s="23">
        <f t="shared" si="58"/>
        <v>168</v>
      </c>
      <c r="G447" s="23">
        <f t="shared" ca="1" si="59"/>
        <v>0</v>
      </c>
      <c r="H447" s="23">
        <f t="shared" ca="1" si="54"/>
        <v>201</v>
      </c>
      <c r="I447" s="23">
        <f t="shared" ca="1" si="55"/>
        <v>7635</v>
      </c>
    </row>
    <row r="448" spans="2:9">
      <c r="B448" s="23">
        <f t="shared" ca="1" si="56"/>
        <v>263</v>
      </c>
      <c r="C448" s="23">
        <f t="shared" ca="1" si="57"/>
        <v>263</v>
      </c>
      <c r="D448" s="23">
        <f t="shared" ca="1" si="52"/>
        <v>16005</v>
      </c>
      <c r="E448" s="23">
        <f t="shared" ca="1" si="53"/>
        <v>0</v>
      </c>
      <c r="F448" s="23">
        <f t="shared" si="58"/>
        <v>168</v>
      </c>
      <c r="G448" s="23">
        <f t="shared" ca="1" si="59"/>
        <v>0</v>
      </c>
      <c r="H448" s="23">
        <f t="shared" ca="1" si="54"/>
        <v>263</v>
      </c>
      <c r="I448" s="23">
        <f t="shared" ca="1" si="55"/>
        <v>16005</v>
      </c>
    </row>
    <row r="449" spans="2:9">
      <c r="B449" s="23">
        <f t="shared" ca="1" si="56"/>
        <v>159</v>
      </c>
      <c r="C449" s="23">
        <f t="shared" ca="1" si="57"/>
        <v>159</v>
      </c>
      <c r="D449" s="23">
        <f t="shared" ca="1" si="52"/>
        <v>1965</v>
      </c>
      <c r="E449" s="23">
        <f t="shared" ca="1" si="53"/>
        <v>0</v>
      </c>
      <c r="F449" s="23">
        <f t="shared" si="58"/>
        <v>168</v>
      </c>
      <c r="G449" s="23">
        <f t="shared" ca="1" si="59"/>
        <v>0</v>
      </c>
      <c r="H449" s="23">
        <f t="shared" ca="1" si="54"/>
        <v>159</v>
      </c>
      <c r="I449" s="23">
        <f t="shared" ca="1" si="55"/>
        <v>1965</v>
      </c>
    </row>
    <row r="450" spans="2:9">
      <c r="B450" s="23">
        <f t="shared" ca="1" si="56"/>
        <v>293</v>
      </c>
      <c r="C450" s="23">
        <f t="shared" ca="1" si="57"/>
        <v>293</v>
      </c>
      <c r="D450" s="23">
        <f t="shared" ca="1" si="52"/>
        <v>20055</v>
      </c>
      <c r="E450" s="23">
        <f t="shared" ca="1" si="53"/>
        <v>0</v>
      </c>
      <c r="F450" s="23">
        <f t="shared" si="58"/>
        <v>168</v>
      </c>
      <c r="G450" s="23">
        <f t="shared" ca="1" si="59"/>
        <v>0</v>
      </c>
      <c r="H450" s="23">
        <f t="shared" ca="1" si="54"/>
        <v>293</v>
      </c>
      <c r="I450" s="23">
        <f t="shared" ca="1" si="55"/>
        <v>20055</v>
      </c>
    </row>
    <row r="451" spans="2:9">
      <c r="B451" s="23">
        <f t="shared" ca="1" si="56"/>
        <v>326</v>
      </c>
      <c r="C451" s="23">
        <f t="shared" ca="1" si="57"/>
        <v>300</v>
      </c>
      <c r="D451" s="23">
        <f t="shared" ca="1" si="52"/>
        <v>21000</v>
      </c>
      <c r="E451" s="23">
        <f t="shared" ca="1" si="53"/>
        <v>26</v>
      </c>
      <c r="F451" s="23">
        <f t="shared" si="58"/>
        <v>168</v>
      </c>
      <c r="G451" s="23">
        <f t="shared" ca="1" si="59"/>
        <v>26</v>
      </c>
      <c r="H451" s="23">
        <f t="shared" ca="1" si="54"/>
        <v>326</v>
      </c>
      <c r="I451" s="23">
        <f t="shared" ca="1" si="55"/>
        <v>22040</v>
      </c>
    </row>
    <row r="452" spans="2:9">
      <c r="B452" s="23">
        <f t="shared" ca="1" si="56"/>
        <v>447</v>
      </c>
      <c r="C452" s="23">
        <f t="shared" ca="1" si="57"/>
        <v>300</v>
      </c>
      <c r="D452" s="23">
        <f t="shared" ca="1" si="52"/>
        <v>21000</v>
      </c>
      <c r="E452" s="23">
        <f t="shared" ca="1" si="53"/>
        <v>147</v>
      </c>
      <c r="F452" s="23">
        <f t="shared" si="58"/>
        <v>168</v>
      </c>
      <c r="G452" s="23">
        <f t="shared" ca="1" si="59"/>
        <v>147</v>
      </c>
      <c r="H452" s="23">
        <f t="shared" ca="1" si="54"/>
        <v>447</v>
      </c>
      <c r="I452" s="23">
        <f t="shared" ca="1" si="55"/>
        <v>26880</v>
      </c>
    </row>
    <row r="453" spans="2:9">
      <c r="B453" s="23">
        <f t="shared" ca="1" si="56"/>
        <v>162</v>
      </c>
      <c r="C453" s="23">
        <f t="shared" ca="1" si="57"/>
        <v>162</v>
      </c>
      <c r="D453" s="23">
        <f t="shared" ca="1" si="52"/>
        <v>2370</v>
      </c>
      <c r="E453" s="23">
        <f t="shared" ca="1" si="53"/>
        <v>0</v>
      </c>
      <c r="F453" s="23">
        <f t="shared" si="58"/>
        <v>168</v>
      </c>
      <c r="G453" s="23">
        <f t="shared" ca="1" si="59"/>
        <v>0</v>
      </c>
      <c r="H453" s="23">
        <f t="shared" ca="1" si="54"/>
        <v>162</v>
      </c>
      <c r="I453" s="23">
        <f t="shared" ca="1" si="55"/>
        <v>2370</v>
      </c>
    </row>
    <row r="454" spans="2:9">
      <c r="B454" s="23">
        <f t="shared" ca="1" si="56"/>
        <v>27</v>
      </c>
      <c r="C454" s="23">
        <f t="shared" ca="1" si="57"/>
        <v>27</v>
      </c>
      <c r="D454" s="23">
        <f t="shared" ca="1" si="52"/>
        <v>-15855</v>
      </c>
      <c r="E454" s="23">
        <f t="shared" ca="1" si="53"/>
        <v>0</v>
      </c>
      <c r="F454" s="23">
        <f t="shared" si="58"/>
        <v>168</v>
      </c>
      <c r="G454" s="23">
        <f t="shared" ca="1" si="59"/>
        <v>0</v>
      </c>
      <c r="H454" s="23">
        <f t="shared" ca="1" si="54"/>
        <v>27</v>
      </c>
      <c r="I454" s="23">
        <f t="shared" ca="1" si="55"/>
        <v>-15855</v>
      </c>
    </row>
    <row r="455" spans="2:9">
      <c r="B455" s="23">
        <f t="shared" ca="1" si="56"/>
        <v>126</v>
      </c>
      <c r="C455" s="23">
        <f t="shared" ca="1" si="57"/>
        <v>126</v>
      </c>
      <c r="D455" s="23">
        <f t="shared" ca="1" si="52"/>
        <v>-2490</v>
      </c>
      <c r="E455" s="23">
        <f t="shared" ca="1" si="53"/>
        <v>0</v>
      </c>
      <c r="F455" s="23">
        <f t="shared" si="58"/>
        <v>168</v>
      </c>
      <c r="G455" s="23">
        <f t="shared" ca="1" si="59"/>
        <v>0</v>
      </c>
      <c r="H455" s="23">
        <f t="shared" ca="1" si="54"/>
        <v>126</v>
      </c>
      <c r="I455" s="23">
        <f t="shared" ca="1" si="55"/>
        <v>-2490</v>
      </c>
    </row>
    <row r="456" spans="2:9">
      <c r="B456" s="23">
        <f t="shared" ca="1" si="56"/>
        <v>53</v>
      </c>
      <c r="C456" s="23">
        <f t="shared" ca="1" si="57"/>
        <v>53</v>
      </c>
      <c r="D456" s="23">
        <f t="shared" ca="1" si="52"/>
        <v>-12345</v>
      </c>
      <c r="E456" s="23">
        <f t="shared" ca="1" si="53"/>
        <v>0</v>
      </c>
      <c r="F456" s="23">
        <f t="shared" si="58"/>
        <v>168</v>
      </c>
      <c r="G456" s="23">
        <f t="shared" ca="1" si="59"/>
        <v>0</v>
      </c>
      <c r="H456" s="23">
        <f t="shared" ca="1" si="54"/>
        <v>53</v>
      </c>
      <c r="I456" s="23">
        <f t="shared" ca="1" si="55"/>
        <v>-12345</v>
      </c>
    </row>
    <row r="457" spans="2:9">
      <c r="B457" s="23">
        <f t="shared" ca="1" si="56"/>
        <v>291</v>
      </c>
      <c r="C457" s="23">
        <f t="shared" ca="1" si="57"/>
        <v>291</v>
      </c>
      <c r="D457" s="23">
        <f t="shared" ca="1" si="52"/>
        <v>19785</v>
      </c>
      <c r="E457" s="23">
        <f t="shared" ca="1" si="53"/>
        <v>0</v>
      </c>
      <c r="F457" s="23">
        <f t="shared" si="58"/>
        <v>168</v>
      </c>
      <c r="G457" s="23">
        <f t="shared" ca="1" si="59"/>
        <v>0</v>
      </c>
      <c r="H457" s="23">
        <f t="shared" ca="1" si="54"/>
        <v>291</v>
      </c>
      <c r="I457" s="23">
        <f t="shared" ca="1" si="55"/>
        <v>19785</v>
      </c>
    </row>
    <row r="458" spans="2:9">
      <c r="B458" s="23">
        <f t="shared" ca="1" si="56"/>
        <v>272</v>
      </c>
      <c r="C458" s="23">
        <f t="shared" ca="1" si="57"/>
        <v>272</v>
      </c>
      <c r="D458" s="23">
        <f t="shared" ca="1" si="52"/>
        <v>17220</v>
      </c>
      <c r="E458" s="23">
        <f t="shared" ca="1" si="53"/>
        <v>0</v>
      </c>
      <c r="F458" s="23">
        <f t="shared" si="58"/>
        <v>168</v>
      </c>
      <c r="G458" s="23">
        <f t="shared" ca="1" si="59"/>
        <v>0</v>
      </c>
      <c r="H458" s="23">
        <f t="shared" ca="1" si="54"/>
        <v>272</v>
      </c>
      <c r="I458" s="23">
        <f t="shared" ca="1" si="55"/>
        <v>17220</v>
      </c>
    </row>
    <row r="459" spans="2:9">
      <c r="B459" s="23">
        <f t="shared" ca="1" si="56"/>
        <v>409</v>
      </c>
      <c r="C459" s="23">
        <f t="shared" ca="1" si="57"/>
        <v>300</v>
      </c>
      <c r="D459" s="23">
        <f t="shared" ca="1" si="52"/>
        <v>21000</v>
      </c>
      <c r="E459" s="23">
        <f t="shared" ca="1" si="53"/>
        <v>109</v>
      </c>
      <c r="F459" s="23">
        <f t="shared" si="58"/>
        <v>168</v>
      </c>
      <c r="G459" s="23">
        <f t="shared" ca="1" si="59"/>
        <v>109</v>
      </c>
      <c r="H459" s="23">
        <f t="shared" ca="1" si="54"/>
        <v>409</v>
      </c>
      <c r="I459" s="23">
        <f t="shared" ca="1" si="55"/>
        <v>25360</v>
      </c>
    </row>
    <row r="460" spans="2:9">
      <c r="B460" s="23">
        <f t="shared" ca="1" si="56"/>
        <v>315</v>
      </c>
      <c r="C460" s="23">
        <f t="shared" ca="1" si="57"/>
        <v>300</v>
      </c>
      <c r="D460" s="23">
        <f t="shared" ref="D460:D523" ca="1" si="60">C460*$B$3-$D$8*$B$2</f>
        <v>21000</v>
      </c>
      <c r="E460" s="23">
        <f t="shared" ref="E460:E523" ca="1" si="61">MAX(0, B460-$D$8)</f>
        <v>15</v>
      </c>
      <c r="F460" s="23">
        <f t="shared" si="58"/>
        <v>168</v>
      </c>
      <c r="G460" s="23">
        <f t="shared" ca="1" si="59"/>
        <v>15</v>
      </c>
      <c r="H460" s="23">
        <f t="shared" ref="H460:H523" ca="1" si="62">MIN(B460, $D$8+G460)</f>
        <v>315</v>
      </c>
      <c r="I460" s="23">
        <f t="shared" ref="I460:I523" ca="1" si="63">H460*$B$3-$D$8*$B$2-$B$1*G460</f>
        <v>21600</v>
      </c>
    </row>
    <row r="461" spans="2:9">
      <c r="B461" s="23">
        <f t="shared" ref="B461:B524" ca="1" si="64">_xlfn.FLOOR.MATH(_xlfn.NORM.INV(RAND(),$B$4,$B$5))</f>
        <v>531</v>
      </c>
      <c r="C461" s="23">
        <f t="shared" ref="C461:C524" ca="1" si="65">MIN(B461,$D$8)</f>
        <v>300</v>
      </c>
      <c r="D461" s="23">
        <f t="shared" ca="1" si="60"/>
        <v>21000</v>
      </c>
      <c r="E461" s="23">
        <f t="shared" ca="1" si="61"/>
        <v>231</v>
      </c>
      <c r="F461" s="23">
        <f t="shared" ref="F461:F524" si="66">12*(21-7)</f>
        <v>168</v>
      </c>
      <c r="G461" s="23">
        <f t="shared" ca="1" si="59"/>
        <v>168</v>
      </c>
      <c r="H461" s="23">
        <f t="shared" ca="1" si="62"/>
        <v>468</v>
      </c>
      <c r="I461" s="23">
        <f t="shared" ca="1" si="63"/>
        <v>27720</v>
      </c>
    </row>
    <row r="462" spans="2:9">
      <c r="B462" s="23">
        <f t="shared" ca="1" si="64"/>
        <v>290</v>
      </c>
      <c r="C462" s="23">
        <f t="shared" ca="1" si="65"/>
        <v>290</v>
      </c>
      <c r="D462" s="23">
        <f t="shared" ca="1" si="60"/>
        <v>19650</v>
      </c>
      <c r="E462" s="23">
        <f t="shared" ca="1" si="61"/>
        <v>0</v>
      </c>
      <c r="F462" s="23">
        <f t="shared" si="66"/>
        <v>168</v>
      </c>
      <c r="G462" s="23">
        <f t="shared" ca="1" si="59"/>
        <v>0</v>
      </c>
      <c r="H462" s="23">
        <f t="shared" ca="1" si="62"/>
        <v>290</v>
      </c>
      <c r="I462" s="23">
        <f t="shared" ca="1" si="63"/>
        <v>19650</v>
      </c>
    </row>
    <row r="463" spans="2:9">
      <c r="B463" s="23">
        <f t="shared" ca="1" si="64"/>
        <v>371</v>
      </c>
      <c r="C463" s="23">
        <f t="shared" ca="1" si="65"/>
        <v>300</v>
      </c>
      <c r="D463" s="23">
        <f t="shared" ca="1" si="60"/>
        <v>21000</v>
      </c>
      <c r="E463" s="23">
        <f t="shared" ca="1" si="61"/>
        <v>71</v>
      </c>
      <c r="F463" s="23">
        <f t="shared" si="66"/>
        <v>168</v>
      </c>
      <c r="G463" s="23">
        <f t="shared" ca="1" si="59"/>
        <v>71</v>
      </c>
      <c r="H463" s="23">
        <f t="shared" ca="1" si="62"/>
        <v>371</v>
      </c>
      <c r="I463" s="23">
        <f t="shared" ca="1" si="63"/>
        <v>23840</v>
      </c>
    </row>
    <row r="464" spans="2:9">
      <c r="B464" s="23">
        <f t="shared" ca="1" si="64"/>
        <v>548</v>
      </c>
      <c r="C464" s="23">
        <f t="shared" ca="1" si="65"/>
        <v>300</v>
      </c>
      <c r="D464" s="23">
        <f t="shared" ca="1" si="60"/>
        <v>21000</v>
      </c>
      <c r="E464" s="23">
        <f t="shared" ca="1" si="61"/>
        <v>248</v>
      </c>
      <c r="F464" s="23">
        <f t="shared" si="66"/>
        <v>168</v>
      </c>
      <c r="G464" s="23">
        <f t="shared" ref="G464:G527" ca="1" si="67">MIN(E464,F464)</f>
        <v>168</v>
      </c>
      <c r="H464" s="23">
        <f t="shared" ca="1" si="62"/>
        <v>468</v>
      </c>
      <c r="I464" s="23">
        <f t="shared" ca="1" si="63"/>
        <v>27720</v>
      </c>
    </row>
    <row r="465" spans="2:9">
      <c r="B465" s="23">
        <f t="shared" ca="1" si="64"/>
        <v>236</v>
      </c>
      <c r="C465" s="23">
        <f t="shared" ca="1" si="65"/>
        <v>236</v>
      </c>
      <c r="D465" s="23">
        <f t="shared" ca="1" si="60"/>
        <v>12360</v>
      </c>
      <c r="E465" s="23">
        <f t="shared" ca="1" si="61"/>
        <v>0</v>
      </c>
      <c r="F465" s="23">
        <f t="shared" si="66"/>
        <v>168</v>
      </c>
      <c r="G465" s="23">
        <f t="shared" ca="1" si="67"/>
        <v>0</v>
      </c>
      <c r="H465" s="23">
        <f t="shared" ca="1" si="62"/>
        <v>236</v>
      </c>
      <c r="I465" s="23">
        <f t="shared" ca="1" si="63"/>
        <v>12360</v>
      </c>
    </row>
    <row r="466" spans="2:9">
      <c r="B466" s="23">
        <f t="shared" ca="1" si="64"/>
        <v>324</v>
      </c>
      <c r="C466" s="23">
        <f t="shared" ca="1" si="65"/>
        <v>300</v>
      </c>
      <c r="D466" s="23">
        <f t="shared" ca="1" si="60"/>
        <v>21000</v>
      </c>
      <c r="E466" s="23">
        <f t="shared" ca="1" si="61"/>
        <v>24</v>
      </c>
      <c r="F466" s="23">
        <f t="shared" si="66"/>
        <v>168</v>
      </c>
      <c r="G466" s="23">
        <f t="shared" ca="1" si="67"/>
        <v>24</v>
      </c>
      <c r="H466" s="23">
        <f t="shared" ca="1" si="62"/>
        <v>324</v>
      </c>
      <c r="I466" s="23">
        <f t="shared" ca="1" si="63"/>
        <v>21960</v>
      </c>
    </row>
    <row r="467" spans="2:9">
      <c r="B467" s="23">
        <f t="shared" ca="1" si="64"/>
        <v>100</v>
      </c>
      <c r="C467" s="23">
        <f t="shared" ca="1" si="65"/>
        <v>100</v>
      </c>
      <c r="D467" s="23">
        <f t="shared" ca="1" si="60"/>
        <v>-6000</v>
      </c>
      <c r="E467" s="23">
        <f t="shared" ca="1" si="61"/>
        <v>0</v>
      </c>
      <c r="F467" s="23">
        <f t="shared" si="66"/>
        <v>168</v>
      </c>
      <c r="G467" s="23">
        <f t="shared" ca="1" si="67"/>
        <v>0</v>
      </c>
      <c r="H467" s="23">
        <f t="shared" ca="1" si="62"/>
        <v>100</v>
      </c>
      <c r="I467" s="23">
        <f t="shared" ca="1" si="63"/>
        <v>-6000</v>
      </c>
    </row>
    <row r="468" spans="2:9">
      <c r="B468" s="23">
        <f t="shared" ca="1" si="64"/>
        <v>333</v>
      </c>
      <c r="C468" s="23">
        <f t="shared" ca="1" si="65"/>
        <v>300</v>
      </c>
      <c r="D468" s="23">
        <f t="shared" ca="1" si="60"/>
        <v>21000</v>
      </c>
      <c r="E468" s="23">
        <f t="shared" ca="1" si="61"/>
        <v>33</v>
      </c>
      <c r="F468" s="23">
        <f t="shared" si="66"/>
        <v>168</v>
      </c>
      <c r="G468" s="23">
        <f t="shared" ca="1" si="67"/>
        <v>33</v>
      </c>
      <c r="H468" s="23">
        <f t="shared" ca="1" si="62"/>
        <v>333</v>
      </c>
      <c r="I468" s="23">
        <f t="shared" ca="1" si="63"/>
        <v>22320</v>
      </c>
    </row>
    <row r="469" spans="2:9">
      <c r="B469" s="23">
        <f t="shared" ca="1" si="64"/>
        <v>359</v>
      </c>
      <c r="C469" s="23">
        <f t="shared" ca="1" si="65"/>
        <v>300</v>
      </c>
      <c r="D469" s="23">
        <f t="shared" ca="1" si="60"/>
        <v>21000</v>
      </c>
      <c r="E469" s="23">
        <f t="shared" ca="1" si="61"/>
        <v>59</v>
      </c>
      <c r="F469" s="23">
        <f t="shared" si="66"/>
        <v>168</v>
      </c>
      <c r="G469" s="23">
        <f t="shared" ca="1" si="67"/>
        <v>59</v>
      </c>
      <c r="H469" s="23">
        <f t="shared" ca="1" si="62"/>
        <v>359</v>
      </c>
      <c r="I469" s="23">
        <f t="shared" ca="1" si="63"/>
        <v>23360</v>
      </c>
    </row>
    <row r="470" spans="2:9">
      <c r="B470" s="23">
        <f t="shared" ca="1" si="64"/>
        <v>389</v>
      </c>
      <c r="C470" s="23">
        <f t="shared" ca="1" si="65"/>
        <v>300</v>
      </c>
      <c r="D470" s="23">
        <f t="shared" ca="1" si="60"/>
        <v>21000</v>
      </c>
      <c r="E470" s="23">
        <f t="shared" ca="1" si="61"/>
        <v>89</v>
      </c>
      <c r="F470" s="23">
        <f t="shared" si="66"/>
        <v>168</v>
      </c>
      <c r="G470" s="23">
        <f t="shared" ca="1" si="67"/>
        <v>89</v>
      </c>
      <c r="H470" s="23">
        <f t="shared" ca="1" si="62"/>
        <v>389</v>
      </c>
      <c r="I470" s="23">
        <f t="shared" ca="1" si="63"/>
        <v>24560</v>
      </c>
    </row>
    <row r="471" spans="2:9">
      <c r="B471" s="23">
        <f t="shared" ca="1" si="64"/>
        <v>252</v>
      </c>
      <c r="C471" s="23">
        <f t="shared" ca="1" si="65"/>
        <v>252</v>
      </c>
      <c r="D471" s="23">
        <f t="shared" ca="1" si="60"/>
        <v>14520</v>
      </c>
      <c r="E471" s="23">
        <f t="shared" ca="1" si="61"/>
        <v>0</v>
      </c>
      <c r="F471" s="23">
        <f t="shared" si="66"/>
        <v>168</v>
      </c>
      <c r="G471" s="23">
        <f t="shared" ca="1" si="67"/>
        <v>0</v>
      </c>
      <c r="H471" s="23">
        <f t="shared" ca="1" si="62"/>
        <v>252</v>
      </c>
      <c r="I471" s="23">
        <f t="shared" ca="1" si="63"/>
        <v>14520</v>
      </c>
    </row>
    <row r="472" spans="2:9">
      <c r="B472" s="23">
        <f t="shared" ca="1" si="64"/>
        <v>521</v>
      </c>
      <c r="C472" s="23">
        <f t="shared" ca="1" si="65"/>
        <v>300</v>
      </c>
      <c r="D472" s="23">
        <f t="shared" ca="1" si="60"/>
        <v>21000</v>
      </c>
      <c r="E472" s="23">
        <f t="shared" ca="1" si="61"/>
        <v>221</v>
      </c>
      <c r="F472" s="23">
        <f t="shared" si="66"/>
        <v>168</v>
      </c>
      <c r="G472" s="23">
        <f t="shared" ca="1" si="67"/>
        <v>168</v>
      </c>
      <c r="H472" s="23">
        <f t="shared" ca="1" si="62"/>
        <v>468</v>
      </c>
      <c r="I472" s="23">
        <f t="shared" ca="1" si="63"/>
        <v>27720</v>
      </c>
    </row>
    <row r="473" spans="2:9">
      <c r="B473" s="23">
        <f t="shared" ca="1" si="64"/>
        <v>160</v>
      </c>
      <c r="C473" s="23">
        <f t="shared" ca="1" si="65"/>
        <v>160</v>
      </c>
      <c r="D473" s="23">
        <f t="shared" ca="1" si="60"/>
        <v>2100</v>
      </c>
      <c r="E473" s="23">
        <f t="shared" ca="1" si="61"/>
        <v>0</v>
      </c>
      <c r="F473" s="23">
        <f t="shared" si="66"/>
        <v>168</v>
      </c>
      <c r="G473" s="23">
        <f t="shared" ca="1" si="67"/>
        <v>0</v>
      </c>
      <c r="H473" s="23">
        <f t="shared" ca="1" si="62"/>
        <v>160</v>
      </c>
      <c r="I473" s="23">
        <f t="shared" ca="1" si="63"/>
        <v>2100</v>
      </c>
    </row>
    <row r="474" spans="2:9">
      <c r="B474" s="23">
        <f t="shared" ca="1" si="64"/>
        <v>256</v>
      </c>
      <c r="C474" s="23">
        <f t="shared" ca="1" si="65"/>
        <v>256</v>
      </c>
      <c r="D474" s="23">
        <f t="shared" ca="1" si="60"/>
        <v>15060</v>
      </c>
      <c r="E474" s="23">
        <f t="shared" ca="1" si="61"/>
        <v>0</v>
      </c>
      <c r="F474" s="23">
        <f t="shared" si="66"/>
        <v>168</v>
      </c>
      <c r="G474" s="23">
        <f t="shared" ca="1" si="67"/>
        <v>0</v>
      </c>
      <c r="H474" s="23">
        <f t="shared" ca="1" si="62"/>
        <v>256</v>
      </c>
      <c r="I474" s="23">
        <f t="shared" ca="1" si="63"/>
        <v>15060</v>
      </c>
    </row>
    <row r="475" spans="2:9">
      <c r="B475" s="23">
        <f t="shared" ca="1" si="64"/>
        <v>351</v>
      </c>
      <c r="C475" s="23">
        <f t="shared" ca="1" si="65"/>
        <v>300</v>
      </c>
      <c r="D475" s="23">
        <f t="shared" ca="1" si="60"/>
        <v>21000</v>
      </c>
      <c r="E475" s="23">
        <f t="shared" ca="1" si="61"/>
        <v>51</v>
      </c>
      <c r="F475" s="23">
        <f t="shared" si="66"/>
        <v>168</v>
      </c>
      <c r="G475" s="23">
        <f t="shared" ca="1" si="67"/>
        <v>51</v>
      </c>
      <c r="H475" s="23">
        <f t="shared" ca="1" si="62"/>
        <v>351</v>
      </c>
      <c r="I475" s="23">
        <f t="shared" ca="1" si="63"/>
        <v>23040</v>
      </c>
    </row>
    <row r="476" spans="2:9">
      <c r="B476" s="23">
        <f t="shared" ca="1" si="64"/>
        <v>365</v>
      </c>
      <c r="C476" s="23">
        <f t="shared" ca="1" si="65"/>
        <v>300</v>
      </c>
      <c r="D476" s="23">
        <f t="shared" ca="1" si="60"/>
        <v>21000</v>
      </c>
      <c r="E476" s="23">
        <f t="shared" ca="1" si="61"/>
        <v>65</v>
      </c>
      <c r="F476" s="23">
        <f t="shared" si="66"/>
        <v>168</v>
      </c>
      <c r="G476" s="23">
        <f t="shared" ca="1" si="67"/>
        <v>65</v>
      </c>
      <c r="H476" s="23">
        <f t="shared" ca="1" si="62"/>
        <v>365</v>
      </c>
      <c r="I476" s="23">
        <f t="shared" ca="1" si="63"/>
        <v>23600</v>
      </c>
    </row>
    <row r="477" spans="2:9">
      <c r="B477" s="23">
        <f t="shared" ca="1" si="64"/>
        <v>209</v>
      </c>
      <c r="C477" s="23">
        <f t="shared" ca="1" si="65"/>
        <v>209</v>
      </c>
      <c r="D477" s="23">
        <f t="shared" ca="1" si="60"/>
        <v>8715</v>
      </c>
      <c r="E477" s="23">
        <f t="shared" ca="1" si="61"/>
        <v>0</v>
      </c>
      <c r="F477" s="23">
        <f t="shared" si="66"/>
        <v>168</v>
      </c>
      <c r="G477" s="23">
        <f t="shared" ca="1" si="67"/>
        <v>0</v>
      </c>
      <c r="H477" s="23">
        <f t="shared" ca="1" si="62"/>
        <v>209</v>
      </c>
      <c r="I477" s="23">
        <f t="shared" ca="1" si="63"/>
        <v>8715</v>
      </c>
    </row>
    <row r="478" spans="2:9">
      <c r="B478" s="23">
        <f t="shared" ca="1" si="64"/>
        <v>327</v>
      </c>
      <c r="C478" s="23">
        <f t="shared" ca="1" si="65"/>
        <v>300</v>
      </c>
      <c r="D478" s="23">
        <f t="shared" ca="1" si="60"/>
        <v>21000</v>
      </c>
      <c r="E478" s="23">
        <f t="shared" ca="1" si="61"/>
        <v>27</v>
      </c>
      <c r="F478" s="23">
        <f t="shared" si="66"/>
        <v>168</v>
      </c>
      <c r="G478" s="23">
        <f t="shared" ca="1" si="67"/>
        <v>27</v>
      </c>
      <c r="H478" s="23">
        <f t="shared" ca="1" si="62"/>
        <v>327</v>
      </c>
      <c r="I478" s="23">
        <f t="shared" ca="1" si="63"/>
        <v>22080</v>
      </c>
    </row>
    <row r="479" spans="2:9">
      <c r="B479" s="23">
        <f t="shared" ca="1" si="64"/>
        <v>169</v>
      </c>
      <c r="C479" s="23">
        <f t="shared" ca="1" si="65"/>
        <v>169</v>
      </c>
      <c r="D479" s="23">
        <f t="shared" ca="1" si="60"/>
        <v>3315</v>
      </c>
      <c r="E479" s="23">
        <f t="shared" ca="1" si="61"/>
        <v>0</v>
      </c>
      <c r="F479" s="23">
        <f t="shared" si="66"/>
        <v>168</v>
      </c>
      <c r="G479" s="23">
        <f t="shared" ca="1" si="67"/>
        <v>0</v>
      </c>
      <c r="H479" s="23">
        <f t="shared" ca="1" si="62"/>
        <v>169</v>
      </c>
      <c r="I479" s="23">
        <f t="shared" ca="1" si="63"/>
        <v>3315</v>
      </c>
    </row>
    <row r="480" spans="2:9">
      <c r="B480" s="23">
        <f t="shared" ca="1" si="64"/>
        <v>327</v>
      </c>
      <c r="C480" s="23">
        <f t="shared" ca="1" si="65"/>
        <v>300</v>
      </c>
      <c r="D480" s="23">
        <f t="shared" ca="1" si="60"/>
        <v>21000</v>
      </c>
      <c r="E480" s="23">
        <f t="shared" ca="1" si="61"/>
        <v>27</v>
      </c>
      <c r="F480" s="23">
        <f t="shared" si="66"/>
        <v>168</v>
      </c>
      <c r="G480" s="23">
        <f t="shared" ca="1" si="67"/>
        <v>27</v>
      </c>
      <c r="H480" s="23">
        <f t="shared" ca="1" si="62"/>
        <v>327</v>
      </c>
      <c r="I480" s="23">
        <f t="shared" ca="1" si="63"/>
        <v>22080</v>
      </c>
    </row>
    <row r="481" spans="2:9">
      <c r="B481" s="23">
        <f t="shared" ca="1" si="64"/>
        <v>162</v>
      </c>
      <c r="C481" s="23">
        <f t="shared" ca="1" si="65"/>
        <v>162</v>
      </c>
      <c r="D481" s="23">
        <f t="shared" ca="1" si="60"/>
        <v>2370</v>
      </c>
      <c r="E481" s="23">
        <f t="shared" ca="1" si="61"/>
        <v>0</v>
      </c>
      <c r="F481" s="23">
        <f t="shared" si="66"/>
        <v>168</v>
      </c>
      <c r="G481" s="23">
        <f t="shared" ca="1" si="67"/>
        <v>0</v>
      </c>
      <c r="H481" s="23">
        <f t="shared" ca="1" si="62"/>
        <v>162</v>
      </c>
      <c r="I481" s="23">
        <f t="shared" ca="1" si="63"/>
        <v>2370</v>
      </c>
    </row>
    <row r="482" spans="2:9">
      <c r="B482" s="23">
        <f t="shared" ca="1" si="64"/>
        <v>99</v>
      </c>
      <c r="C482" s="23">
        <f t="shared" ca="1" si="65"/>
        <v>99</v>
      </c>
      <c r="D482" s="23">
        <f t="shared" ca="1" si="60"/>
        <v>-6135</v>
      </c>
      <c r="E482" s="23">
        <f t="shared" ca="1" si="61"/>
        <v>0</v>
      </c>
      <c r="F482" s="23">
        <f t="shared" si="66"/>
        <v>168</v>
      </c>
      <c r="G482" s="23">
        <f t="shared" ca="1" si="67"/>
        <v>0</v>
      </c>
      <c r="H482" s="23">
        <f t="shared" ca="1" si="62"/>
        <v>99</v>
      </c>
      <c r="I482" s="23">
        <f t="shared" ca="1" si="63"/>
        <v>-6135</v>
      </c>
    </row>
    <row r="483" spans="2:9">
      <c r="B483" s="23">
        <f t="shared" ca="1" si="64"/>
        <v>414</v>
      </c>
      <c r="C483" s="23">
        <f t="shared" ca="1" si="65"/>
        <v>300</v>
      </c>
      <c r="D483" s="23">
        <f t="shared" ca="1" si="60"/>
        <v>21000</v>
      </c>
      <c r="E483" s="23">
        <f t="shared" ca="1" si="61"/>
        <v>114</v>
      </c>
      <c r="F483" s="23">
        <f t="shared" si="66"/>
        <v>168</v>
      </c>
      <c r="G483" s="23">
        <f t="shared" ca="1" si="67"/>
        <v>114</v>
      </c>
      <c r="H483" s="23">
        <f t="shared" ca="1" si="62"/>
        <v>414</v>
      </c>
      <c r="I483" s="23">
        <f t="shared" ca="1" si="63"/>
        <v>25560</v>
      </c>
    </row>
    <row r="484" spans="2:9">
      <c r="B484" s="23">
        <f t="shared" ca="1" si="64"/>
        <v>247</v>
      </c>
      <c r="C484" s="23">
        <f t="shared" ca="1" si="65"/>
        <v>247</v>
      </c>
      <c r="D484" s="23">
        <f t="shared" ca="1" si="60"/>
        <v>13845</v>
      </c>
      <c r="E484" s="23">
        <f t="shared" ca="1" si="61"/>
        <v>0</v>
      </c>
      <c r="F484" s="23">
        <f t="shared" si="66"/>
        <v>168</v>
      </c>
      <c r="G484" s="23">
        <f t="shared" ca="1" si="67"/>
        <v>0</v>
      </c>
      <c r="H484" s="23">
        <f t="shared" ca="1" si="62"/>
        <v>247</v>
      </c>
      <c r="I484" s="23">
        <f t="shared" ca="1" si="63"/>
        <v>13845</v>
      </c>
    </row>
    <row r="485" spans="2:9">
      <c r="B485" s="23">
        <f t="shared" ca="1" si="64"/>
        <v>207</v>
      </c>
      <c r="C485" s="23">
        <f t="shared" ca="1" si="65"/>
        <v>207</v>
      </c>
      <c r="D485" s="23">
        <f t="shared" ca="1" si="60"/>
        <v>8445</v>
      </c>
      <c r="E485" s="23">
        <f t="shared" ca="1" si="61"/>
        <v>0</v>
      </c>
      <c r="F485" s="23">
        <f t="shared" si="66"/>
        <v>168</v>
      </c>
      <c r="G485" s="23">
        <f t="shared" ca="1" si="67"/>
        <v>0</v>
      </c>
      <c r="H485" s="23">
        <f t="shared" ca="1" si="62"/>
        <v>207</v>
      </c>
      <c r="I485" s="23">
        <f t="shared" ca="1" si="63"/>
        <v>8445</v>
      </c>
    </row>
    <row r="486" spans="2:9">
      <c r="B486" s="23">
        <f t="shared" ca="1" si="64"/>
        <v>338</v>
      </c>
      <c r="C486" s="23">
        <f t="shared" ca="1" si="65"/>
        <v>300</v>
      </c>
      <c r="D486" s="23">
        <f t="shared" ca="1" si="60"/>
        <v>21000</v>
      </c>
      <c r="E486" s="23">
        <f t="shared" ca="1" si="61"/>
        <v>38</v>
      </c>
      <c r="F486" s="23">
        <f t="shared" si="66"/>
        <v>168</v>
      </c>
      <c r="G486" s="23">
        <f t="shared" ca="1" si="67"/>
        <v>38</v>
      </c>
      <c r="H486" s="23">
        <f t="shared" ca="1" si="62"/>
        <v>338</v>
      </c>
      <c r="I486" s="23">
        <f t="shared" ca="1" si="63"/>
        <v>22520</v>
      </c>
    </row>
    <row r="487" spans="2:9">
      <c r="B487" s="23">
        <f t="shared" ca="1" si="64"/>
        <v>269</v>
      </c>
      <c r="C487" s="23">
        <f t="shared" ca="1" si="65"/>
        <v>269</v>
      </c>
      <c r="D487" s="23">
        <f t="shared" ca="1" si="60"/>
        <v>16815</v>
      </c>
      <c r="E487" s="23">
        <f t="shared" ca="1" si="61"/>
        <v>0</v>
      </c>
      <c r="F487" s="23">
        <f t="shared" si="66"/>
        <v>168</v>
      </c>
      <c r="G487" s="23">
        <f t="shared" ca="1" si="67"/>
        <v>0</v>
      </c>
      <c r="H487" s="23">
        <f t="shared" ca="1" si="62"/>
        <v>269</v>
      </c>
      <c r="I487" s="23">
        <f t="shared" ca="1" si="63"/>
        <v>16815</v>
      </c>
    </row>
    <row r="488" spans="2:9">
      <c r="B488" s="23">
        <f t="shared" ca="1" si="64"/>
        <v>187</v>
      </c>
      <c r="C488" s="23">
        <f t="shared" ca="1" si="65"/>
        <v>187</v>
      </c>
      <c r="D488" s="23">
        <f t="shared" ca="1" si="60"/>
        <v>5745</v>
      </c>
      <c r="E488" s="23">
        <f t="shared" ca="1" si="61"/>
        <v>0</v>
      </c>
      <c r="F488" s="23">
        <f t="shared" si="66"/>
        <v>168</v>
      </c>
      <c r="G488" s="23">
        <f t="shared" ca="1" si="67"/>
        <v>0</v>
      </c>
      <c r="H488" s="23">
        <f t="shared" ca="1" si="62"/>
        <v>187</v>
      </c>
      <c r="I488" s="23">
        <f t="shared" ca="1" si="63"/>
        <v>5745</v>
      </c>
    </row>
    <row r="489" spans="2:9">
      <c r="B489" s="23">
        <f t="shared" ca="1" si="64"/>
        <v>568</v>
      </c>
      <c r="C489" s="23">
        <f t="shared" ca="1" si="65"/>
        <v>300</v>
      </c>
      <c r="D489" s="23">
        <f t="shared" ca="1" si="60"/>
        <v>21000</v>
      </c>
      <c r="E489" s="23">
        <f t="shared" ca="1" si="61"/>
        <v>268</v>
      </c>
      <c r="F489" s="23">
        <f t="shared" si="66"/>
        <v>168</v>
      </c>
      <c r="G489" s="23">
        <f t="shared" ca="1" si="67"/>
        <v>168</v>
      </c>
      <c r="H489" s="23">
        <f t="shared" ca="1" si="62"/>
        <v>468</v>
      </c>
      <c r="I489" s="23">
        <f t="shared" ca="1" si="63"/>
        <v>27720</v>
      </c>
    </row>
    <row r="490" spans="2:9">
      <c r="B490" s="23">
        <f t="shared" ca="1" si="64"/>
        <v>237</v>
      </c>
      <c r="C490" s="23">
        <f t="shared" ca="1" si="65"/>
        <v>237</v>
      </c>
      <c r="D490" s="23">
        <f t="shared" ca="1" si="60"/>
        <v>12495</v>
      </c>
      <c r="E490" s="23">
        <f t="shared" ca="1" si="61"/>
        <v>0</v>
      </c>
      <c r="F490" s="23">
        <f t="shared" si="66"/>
        <v>168</v>
      </c>
      <c r="G490" s="23">
        <f t="shared" ca="1" si="67"/>
        <v>0</v>
      </c>
      <c r="H490" s="23">
        <f t="shared" ca="1" si="62"/>
        <v>237</v>
      </c>
      <c r="I490" s="23">
        <f t="shared" ca="1" si="63"/>
        <v>12495</v>
      </c>
    </row>
    <row r="491" spans="2:9">
      <c r="B491" s="23">
        <f t="shared" ca="1" si="64"/>
        <v>271</v>
      </c>
      <c r="C491" s="23">
        <f t="shared" ca="1" si="65"/>
        <v>271</v>
      </c>
      <c r="D491" s="23">
        <f t="shared" ca="1" si="60"/>
        <v>17085</v>
      </c>
      <c r="E491" s="23">
        <f t="shared" ca="1" si="61"/>
        <v>0</v>
      </c>
      <c r="F491" s="23">
        <f t="shared" si="66"/>
        <v>168</v>
      </c>
      <c r="G491" s="23">
        <f t="shared" ca="1" si="67"/>
        <v>0</v>
      </c>
      <c r="H491" s="23">
        <f t="shared" ca="1" si="62"/>
        <v>271</v>
      </c>
      <c r="I491" s="23">
        <f t="shared" ca="1" si="63"/>
        <v>17085</v>
      </c>
    </row>
    <row r="492" spans="2:9">
      <c r="B492" s="23">
        <f t="shared" ca="1" si="64"/>
        <v>355</v>
      </c>
      <c r="C492" s="23">
        <f t="shared" ca="1" si="65"/>
        <v>300</v>
      </c>
      <c r="D492" s="23">
        <f t="shared" ca="1" si="60"/>
        <v>21000</v>
      </c>
      <c r="E492" s="23">
        <f t="shared" ca="1" si="61"/>
        <v>55</v>
      </c>
      <c r="F492" s="23">
        <f t="shared" si="66"/>
        <v>168</v>
      </c>
      <c r="G492" s="23">
        <f t="shared" ca="1" si="67"/>
        <v>55</v>
      </c>
      <c r="H492" s="23">
        <f t="shared" ca="1" si="62"/>
        <v>355</v>
      </c>
      <c r="I492" s="23">
        <f t="shared" ca="1" si="63"/>
        <v>23200</v>
      </c>
    </row>
    <row r="493" spans="2:9">
      <c r="B493" s="23">
        <f t="shared" ca="1" si="64"/>
        <v>313</v>
      </c>
      <c r="C493" s="23">
        <f t="shared" ca="1" si="65"/>
        <v>300</v>
      </c>
      <c r="D493" s="23">
        <f t="shared" ca="1" si="60"/>
        <v>21000</v>
      </c>
      <c r="E493" s="23">
        <f t="shared" ca="1" si="61"/>
        <v>13</v>
      </c>
      <c r="F493" s="23">
        <f t="shared" si="66"/>
        <v>168</v>
      </c>
      <c r="G493" s="23">
        <f t="shared" ca="1" si="67"/>
        <v>13</v>
      </c>
      <c r="H493" s="23">
        <f t="shared" ca="1" si="62"/>
        <v>313</v>
      </c>
      <c r="I493" s="23">
        <f t="shared" ca="1" si="63"/>
        <v>21520</v>
      </c>
    </row>
    <row r="494" spans="2:9">
      <c r="B494" s="23">
        <f t="shared" ca="1" si="64"/>
        <v>367</v>
      </c>
      <c r="C494" s="23">
        <f t="shared" ca="1" si="65"/>
        <v>300</v>
      </c>
      <c r="D494" s="23">
        <f t="shared" ca="1" si="60"/>
        <v>21000</v>
      </c>
      <c r="E494" s="23">
        <f t="shared" ca="1" si="61"/>
        <v>67</v>
      </c>
      <c r="F494" s="23">
        <f t="shared" si="66"/>
        <v>168</v>
      </c>
      <c r="G494" s="23">
        <f t="shared" ca="1" si="67"/>
        <v>67</v>
      </c>
      <c r="H494" s="23">
        <f t="shared" ca="1" si="62"/>
        <v>367</v>
      </c>
      <c r="I494" s="23">
        <f t="shared" ca="1" si="63"/>
        <v>23680</v>
      </c>
    </row>
    <row r="495" spans="2:9">
      <c r="B495" s="23">
        <f t="shared" ca="1" si="64"/>
        <v>390</v>
      </c>
      <c r="C495" s="23">
        <f t="shared" ca="1" si="65"/>
        <v>300</v>
      </c>
      <c r="D495" s="23">
        <f t="shared" ca="1" si="60"/>
        <v>21000</v>
      </c>
      <c r="E495" s="23">
        <f t="shared" ca="1" si="61"/>
        <v>90</v>
      </c>
      <c r="F495" s="23">
        <f t="shared" si="66"/>
        <v>168</v>
      </c>
      <c r="G495" s="23">
        <f t="shared" ca="1" si="67"/>
        <v>90</v>
      </c>
      <c r="H495" s="23">
        <f t="shared" ca="1" si="62"/>
        <v>390</v>
      </c>
      <c r="I495" s="23">
        <f t="shared" ca="1" si="63"/>
        <v>24600</v>
      </c>
    </row>
    <row r="496" spans="2:9">
      <c r="B496" s="23">
        <f t="shared" ca="1" si="64"/>
        <v>339</v>
      </c>
      <c r="C496" s="23">
        <f t="shared" ca="1" si="65"/>
        <v>300</v>
      </c>
      <c r="D496" s="23">
        <f t="shared" ca="1" si="60"/>
        <v>21000</v>
      </c>
      <c r="E496" s="23">
        <f t="shared" ca="1" si="61"/>
        <v>39</v>
      </c>
      <c r="F496" s="23">
        <f t="shared" si="66"/>
        <v>168</v>
      </c>
      <c r="G496" s="23">
        <f t="shared" ca="1" si="67"/>
        <v>39</v>
      </c>
      <c r="H496" s="23">
        <f t="shared" ca="1" si="62"/>
        <v>339</v>
      </c>
      <c r="I496" s="23">
        <f t="shared" ca="1" si="63"/>
        <v>22560</v>
      </c>
    </row>
    <row r="497" spans="2:9">
      <c r="B497" s="23">
        <f t="shared" ca="1" si="64"/>
        <v>386</v>
      </c>
      <c r="C497" s="23">
        <f t="shared" ca="1" si="65"/>
        <v>300</v>
      </c>
      <c r="D497" s="23">
        <f t="shared" ca="1" si="60"/>
        <v>21000</v>
      </c>
      <c r="E497" s="23">
        <f t="shared" ca="1" si="61"/>
        <v>86</v>
      </c>
      <c r="F497" s="23">
        <f t="shared" si="66"/>
        <v>168</v>
      </c>
      <c r="G497" s="23">
        <f t="shared" ca="1" si="67"/>
        <v>86</v>
      </c>
      <c r="H497" s="23">
        <f t="shared" ca="1" si="62"/>
        <v>386</v>
      </c>
      <c r="I497" s="23">
        <f t="shared" ca="1" si="63"/>
        <v>24440</v>
      </c>
    </row>
    <row r="498" spans="2:9">
      <c r="B498" s="23">
        <f t="shared" ca="1" si="64"/>
        <v>294</v>
      </c>
      <c r="C498" s="23">
        <f t="shared" ca="1" si="65"/>
        <v>294</v>
      </c>
      <c r="D498" s="23">
        <f t="shared" ca="1" si="60"/>
        <v>20190</v>
      </c>
      <c r="E498" s="23">
        <f t="shared" ca="1" si="61"/>
        <v>0</v>
      </c>
      <c r="F498" s="23">
        <f t="shared" si="66"/>
        <v>168</v>
      </c>
      <c r="G498" s="23">
        <f t="shared" ca="1" si="67"/>
        <v>0</v>
      </c>
      <c r="H498" s="23">
        <f t="shared" ca="1" si="62"/>
        <v>294</v>
      </c>
      <c r="I498" s="23">
        <f t="shared" ca="1" si="63"/>
        <v>20190</v>
      </c>
    </row>
    <row r="499" spans="2:9">
      <c r="B499" s="23">
        <f t="shared" ca="1" si="64"/>
        <v>348</v>
      </c>
      <c r="C499" s="23">
        <f t="shared" ca="1" si="65"/>
        <v>300</v>
      </c>
      <c r="D499" s="23">
        <f t="shared" ca="1" si="60"/>
        <v>21000</v>
      </c>
      <c r="E499" s="23">
        <f t="shared" ca="1" si="61"/>
        <v>48</v>
      </c>
      <c r="F499" s="23">
        <f t="shared" si="66"/>
        <v>168</v>
      </c>
      <c r="G499" s="23">
        <f t="shared" ca="1" si="67"/>
        <v>48</v>
      </c>
      <c r="H499" s="23">
        <f t="shared" ca="1" si="62"/>
        <v>348</v>
      </c>
      <c r="I499" s="23">
        <f t="shared" ca="1" si="63"/>
        <v>22920</v>
      </c>
    </row>
    <row r="500" spans="2:9">
      <c r="B500" s="23">
        <f t="shared" ca="1" si="64"/>
        <v>238</v>
      </c>
      <c r="C500" s="23">
        <f t="shared" ca="1" si="65"/>
        <v>238</v>
      </c>
      <c r="D500" s="23">
        <f t="shared" ca="1" si="60"/>
        <v>12630</v>
      </c>
      <c r="E500" s="23">
        <f t="shared" ca="1" si="61"/>
        <v>0</v>
      </c>
      <c r="F500" s="23">
        <f t="shared" si="66"/>
        <v>168</v>
      </c>
      <c r="G500" s="23">
        <f t="shared" ca="1" si="67"/>
        <v>0</v>
      </c>
      <c r="H500" s="23">
        <f t="shared" ca="1" si="62"/>
        <v>238</v>
      </c>
      <c r="I500" s="23">
        <f t="shared" ca="1" si="63"/>
        <v>12630</v>
      </c>
    </row>
    <row r="501" spans="2:9">
      <c r="B501" s="23">
        <f t="shared" ca="1" si="64"/>
        <v>497</v>
      </c>
      <c r="C501" s="23">
        <f t="shared" ca="1" si="65"/>
        <v>300</v>
      </c>
      <c r="D501" s="23">
        <f t="shared" ca="1" si="60"/>
        <v>21000</v>
      </c>
      <c r="E501" s="23">
        <f t="shared" ca="1" si="61"/>
        <v>197</v>
      </c>
      <c r="F501" s="23">
        <f t="shared" si="66"/>
        <v>168</v>
      </c>
      <c r="G501" s="23">
        <f t="shared" ca="1" si="67"/>
        <v>168</v>
      </c>
      <c r="H501" s="23">
        <f t="shared" ca="1" si="62"/>
        <v>468</v>
      </c>
      <c r="I501" s="23">
        <f t="shared" ca="1" si="63"/>
        <v>27720</v>
      </c>
    </row>
    <row r="502" spans="2:9">
      <c r="B502" s="23">
        <f t="shared" ca="1" si="64"/>
        <v>243</v>
      </c>
      <c r="C502" s="23">
        <f t="shared" ca="1" si="65"/>
        <v>243</v>
      </c>
      <c r="D502" s="23">
        <f t="shared" ca="1" si="60"/>
        <v>13305</v>
      </c>
      <c r="E502" s="23">
        <f t="shared" ca="1" si="61"/>
        <v>0</v>
      </c>
      <c r="F502" s="23">
        <f t="shared" si="66"/>
        <v>168</v>
      </c>
      <c r="G502" s="23">
        <f t="shared" ca="1" si="67"/>
        <v>0</v>
      </c>
      <c r="H502" s="23">
        <f t="shared" ca="1" si="62"/>
        <v>243</v>
      </c>
      <c r="I502" s="23">
        <f t="shared" ca="1" si="63"/>
        <v>13305</v>
      </c>
    </row>
    <row r="503" spans="2:9">
      <c r="B503" s="23">
        <f t="shared" ca="1" si="64"/>
        <v>58</v>
      </c>
      <c r="C503" s="23">
        <f t="shared" ca="1" si="65"/>
        <v>58</v>
      </c>
      <c r="D503" s="23">
        <f t="shared" ca="1" si="60"/>
        <v>-11670</v>
      </c>
      <c r="E503" s="23">
        <f t="shared" ca="1" si="61"/>
        <v>0</v>
      </c>
      <c r="F503" s="23">
        <f t="shared" si="66"/>
        <v>168</v>
      </c>
      <c r="G503" s="23">
        <f t="shared" ca="1" si="67"/>
        <v>0</v>
      </c>
      <c r="H503" s="23">
        <f t="shared" ca="1" si="62"/>
        <v>58</v>
      </c>
      <c r="I503" s="23">
        <f t="shared" ca="1" si="63"/>
        <v>-11670</v>
      </c>
    </row>
    <row r="504" spans="2:9">
      <c r="B504" s="23">
        <f t="shared" ca="1" si="64"/>
        <v>484</v>
      </c>
      <c r="C504" s="23">
        <f t="shared" ca="1" si="65"/>
        <v>300</v>
      </c>
      <c r="D504" s="23">
        <f t="shared" ca="1" si="60"/>
        <v>21000</v>
      </c>
      <c r="E504" s="23">
        <f t="shared" ca="1" si="61"/>
        <v>184</v>
      </c>
      <c r="F504" s="23">
        <f t="shared" si="66"/>
        <v>168</v>
      </c>
      <c r="G504" s="23">
        <f t="shared" ca="1" si="67"/>
        <v>168</v>
      </c>
      <c r="H504" s="23">
        <f t="shared" ca="1" si="62"/>
        <v>468</v>
      </c>
      <c r="I504" s="23">
        <f t="shared" ca="1" si="63"/>
        <v>27720</v>
      </c>
    </row>
    <row r="505" spans="2:9">
      <c r="B505" s="23">
        <f t="shared" ca="1" si="64"/>
        <v>411</v>
      </c>
      <c r="C505" s="23">
        <f t="shared" ca="1" si="65"/>
        <v>300</v>
      </c>
      <c r="D505" s="23">
        <f t="shared" ca="1" si="60"/>
        <v>21000</v>
      </c>
      <c r="E505" s="23">
        <f t="shared" ca="1" si="61"/>
        <v>111</v>
      </c>
      <c r="F505" s="23">
        <f t="shared" si="66"/>
        <v>168</v>
      </c>
      <c r="G505" s="23">
        <f t="shared" ca="1" si="67"/>
        <v>111</v>
      </c>
      <c r="H505" s="23">
        <f t="shared" ca="1" si="62"/>
        <v>411</v>
      </c>
      <c r="I505" s="23">
        <f t="shared" ca="1" si="63"/>
        <v>25440</v>
      </c>
    </row>
    <row r="506" spans="2:9">
      <c r="B506" s="23">
        <f t="shared" ca="1" si="64"/>
        <v>490</v>
      </c>
      <c r="C506" s="23">
        <f t="shared" ca="1" si="65"/>
        <v>300</v>
      </c>
      <c r="D506" s="23">
        <f t="shared" ca="1" si="60"/>
        <v>21000</v>
      </c>
      <c r="E506" s="23">
        <f t="shared" ca="1" si="61"/>
        <v>190</v>
      </c>
      <c r="F506" s="23">
        <f t="shared" si="66"/>
        <v>168</v>
      </c>
      <c r="G506" s="23">
        <f t="shared" ca="1" si="67"/>
        <v>168</v>
      </c>
      <c r="H506" s="23">
        <f t="shared" ca="1" si="62"/>
        <v>468</v>
      </c>
      <c r="I506" s="23">
        <f t="shared" ca="1" si="63"/>
        <v>27720</v>
      </c>
    </row>
    <row r="507" spans="2:9">
      <c r="B507" s="23">
        <f t="shared" ca="1" si="64"/>
        <v>409</v>
      </c>
      <c r="C507" s="23">
        <f t="shared" ca="1" si="65"/>
        <v>300</v>
      </c>
      <c r="D507" s="23">
        <f t="shared" ca="1" si="60"/>
        <v>21000</v>
      </c>
      <c r="E507" s="23">
        <f t="shared" ca="1" si="61"/>
        <v>109</v>
      </c>
      <c r="F507" s="23">
        <f t="shared" si="66"/>
        <v>168</v>
      </c>
      <c r="G507" s="23">
        <f t="shared" ca="1" si="67"/>
        <v>109</v>
      </c>
      <c r="H507" s="23">
        <f t="shared" ca="1" si="62"/>
        <v>409</v>
      </c>
      <c r="I507" s="23">
        <f t="shared" ca="1" si="63"/>
        <v>25360</v>
      </c>
    </row>
    <row r="508" spans="2:9">
      <c r="B508" s="23">
        <f t="shared" ca="1" si="64"/>
        <v>131</v>
      </c>
      <c r="C508" s="23">
        <f t="shared" ca="1" si="65"/>
        <v>131</v>
      </c>
      <c r="D508" s="23">
        <f t="shared" ca="1" si="60"/>
        <v>-1815</v>
      </c>
      <c r="E508" s="23">
        <f t="shared" ca="1" si="61"/>
        <v>0</v>
      </c>
      <c r="F508" s="23">
        <f t="shared" si="66"/>
        <v>168</v>
      </c>
      <c r="G508" s="23">
        <f t="shared" ca="1" si="67"/>
        <v>0</v>
      </c>
      <c r="H508" s="23">
        <f t="shared" ca="1" si="62"/>
        <v>131</v>
      </c>
      <c r="I508" s="23">
        <f t="shared" ca="1" si="63"/>
        <v>-1815</v>
      </c>
    </row>
    <row r="509" spans="2:9">
      <c r="B509" s="23">
        <f t="shared" ca="1" si="64"/>
        <v>128</v>
      </c>
      <c r="C509" s="23">
        <f t="shared" ca="1" si="65"/>
        <v>128</v>
      </c>
      <c r="D509" s="23">
        <f t="shared" ca="1" si="60"/>
        <v>-2220</v>
      </c>
      <c r="E509" s="23">
        <f t="shared" ca="1" si="61"/>
        <v>0</v>
      </c>
      <c r="F509" s="23">
        <f t="shared" si="66"/>
        <v>168</v>
      </c>
      <c r="G509" s="23">
        <f t="shared" ca="1" si="67"/>
        <v>0</v>
      </c>
      <c r="H509" s="23">
        <f t="shared" ca="1" si="62"/>
        <v>128</v>
      </c>
      <c r="I509" s="23">
        <f t="shared" ca="1" si="63"/>
        <v>-2220</v>
      </c>
    </row>
    <row r="510" spans="2:9">
      <c r="B510" s="23">
        <f t="shared" ca="1" si="64"/>
        <v>241</v>
      </c>
      <c r="C510" s="23">
        <f t="shared" ca="1" si="65"/>
        <v>241</v>
      </c>
      <c r="D510" s="23">
        <f t="shared" ca="1" si="60"/>
        <v>13035</v>
      </c>
      <c r="E510" s="23">
        <f t="shared" ca="1" si="61"/>
        <v>0</v>
      </c>
      <c r="F510" s="23">
        <f t="shared" si="66"/>
        <v>168</v>
      </c>
      <c r="G510" s="23">
        <f t="shared" ca="1" si="67"/>
        <v>0</v>
      </c>
      <c r="H510" s="23">
        <f t="shared" ca="1" si="62"/>
        <v>241</v>
      </c>
      <c r="I510" s="23">
        <f t="shared" ca="1" si="63"/>
        <v>13035</v>
      </c>
    </row>
    <row r="511" spans="2:9">
      <c r="B511" s="23">
        <f t="shared" ca="1" si="64"/>
        <v>505</v>
      </c>
      <c r="C511" s="23">
        <f t="shared" ca="1" si="65"/>
        <v>300</v>
      </c>
      <c r="D511" s="23">
        <f t="shared" ca="1" si="60"/>
        <v>21000</v>
      </c>
      <c r="E511" s="23">
        <f t="shared" ca="1" si="61"/>
        <v>205</v>
      </c>
      <c r="F511" s="23">
        <f t="shared" si="66"/>
        <v>168</v>
      </c>
      <c r="G511" s="23">
        <f t="shared" ca="1" si="67"/>
        <v>168</v>
      </c>
      <c r="H511" s="23">
        <f t="shared" ca="1" si="62"/>
        <v>468</v>
      </c>
      <c r="I511" s="23">
        <f t="shared" ca="1" si="63"/>
        <v>27720</v>
      </c>
    </row>
    <row r="512" spans="2:9">
      <c r="B512" s="23">
        <f t="shared" ca="1" si="64"/>
        <v>335</v>
      </c>
      <c r="C512" s="23">
        <f t="shared" ca="1" si="65"/>
        <v>300</v>
      </c>
      <c r="D512" s="23">
        <f t="shared" ca="1" si="60"/>
        <v>21000</v>
      </c>
      <c r="E512" s="23">
        <f t="shared" ca="1" si="61"/>
        <v>35</v>
      </c>
      <c r="F512" s="23">
        <f t="shared" si="66"/>
        <v>168</v>
      </c>
      <c r="G512" s="23">
        <f t="shared" ca="1" si="67"/>
        <v>35</v>
      </c>
      <c r="H512" s="23">
        <f t="shared" ca="1" si="62"/>
        <v>335</v>
      </c>
      <c r="I512" s="23">
        <f t="shared" ca="1" si="63"/>
        <v>22400</v>
      </c>
    </row>
    <row r="513" spans="2:9">
      <c r="B513" s="23">
        <f t="shared" ca="1" si="64"/>
        <v>259</v>
      </c>
      <c r="C513" s="23">
        <f t="shared" ca="1" si="65"/>
        <v>259</v>
      </c>
      <c r="D513" s="23">
        <f t="shared" ca="1" si="60"/>
        <v>15465</v>
      </c>
      <c r="E513" s="23">
        <f t="shared" ca="1" si="61"/>
        <v>0</v>
      </c>
      <c r="F513" s="23">
        <f t="shared" si="66"/>
        <v>168</v>
      </c>
      <c r="G513" s="23">
        <f t="shared" ca="1" si="67"/>
        <v>0</v>
      </c>
      <c r="H513" s="23">
        <f t="shared" ca="1" si="62"/>
        <v>259</v>
      </c>
      <c r="I513" s="23">
        <f t="shared" ca="1" si="63"/>
        <v>15465</v>
      </c>
    </row>
    <row r="514" spans="2:9">
      <c r="B514" s="23">
        <f t="shared" ca="1" si="64"/>
        <v>313</v>
      </c>
      <c r="C514" s="23">
        <f t="shared" ca="1" si="65"/>
        <v>300</v>
      </c>
      <c r="D514" s="23">
        <f t="shared" ca="1" si="60"/>
        <v>21000</v>
      </c>
      <c r="E514" s="23">
        <f t="shared" ca="1" si="61"/>
        <v>13</v>
      </c>
      <c r="F514" s="23">
        <f t="shared" si="66"/>
        <v>168</v>
      </c>
      <c r="G514" s="23">
        <f t="shared" ca="1" si="67"/>
        <v>13</v>
      </c>
      <c r="H514" s="23">
        <f t="shared" ca="1" si="62"/>
        <v>313</v>
      </c>
      <c r="I514" s="23">
        <f t="shared" ca="1" si="63"/>
        <v>21520</v>
      </c>
    </row>
    <row r="515" spans="2:9">
      <c r="B515" s="23">
        <f t="shared" ca="1" si="64"/>
        <v>366</v>
      </c>
      <c r="C515" s="23">
        <f t="shared" ca="1" si="65"/>
        <v>300</v>
      </c>
      <c r="D515" s="23">
        <f t="shared" ca="1" si="60"/>
        <v>21000</v>
      </c>
      <c r="E515" s="23">
        <f t="shared" ca="1" si="61"/>
        <v>66</v>
      </c>
      <c r="F515" s="23">
        <f t="shared" si="66"/>
        <v>168</v>
      </c>
      <c r="G515" s="23">
        <f t="shared" ca="1" si="67"/>
        <v>66</v>
      </c>
      <c r="H515" s="23">
        <f t="shared" ca="1" si="62"/>
        <v>366</v>
      </c>
      <c r="I515" s="23">
        <f t="shared" ca="1" si="63"/>
        <v>23640</v>
      </c>
    </row>
    <row r="516" spans="2:9">
      <c r="B516" s="23">
        <f t="shared" ca="1" si="64"/>
        <v>119</v>
      </c>
      <c r="C516" s="23">
        <f t="shared" ca="1" si="65"/>
        <v>119</v>
      </c>
      <c r="D516" s="23">
        <f t="shared" ca="1" si="60"/>
        <v>-3435</v>
      </c>
      <c r="E516" s="23">
        <f t="shared" ca="1" si="61"/>
        <v>0</v>
      </c>
      <c r="F516" s="23">
        <f t="shared" si="66"/>
        <v>168</v>
      </c>
      <c r="G516" s="23">
        <f t="shared" ca="1" si="67"/>
        <v>0</v>
      </c>
      <c r="H516" s="23">
        <f t="shared" ca="1" si="62"/>
        <v>119</v>
      </c>
      <c r="I516" s="23">
        <f t="shared" ca="1" si="63"/>
        <v>-3435</v>
      </c>
    </row>
    <row r="517" spans="2:9">
      <c r="B517" s="23">
        <f t="shared" ca="1" si="64"/>
        <v>592</v>
      </c>
      <c r="C517" s="23">
        <f t="shared" ca="1" si="65"/>
        <v>300</v>
      </c>
      <c r="D517" s="23">
        <f t="shared" ca="1" si="60"/>
        <v>21000</v>
      </c>
      <c r="E517" s="23">
        <f t="shared" ca="1" si="61"/>
        <v>292</v>
      </c>
      <c r="F517" s="23">
        <f t="shared" si="66"/>
        <v>168</v>
      </c>
      <c r="G517" s="23">
        <f t="shared" ca="1" si="67"/>
        <v>168</v>
      </c>
      <c r="H517" s="23">
        <f t="shared" ca="1" si="62"/>
        <v>468</v>
      </c>
      <c r="I517" s="23">
        <f t="shared" ca="1" si="63"/>
        <v>27720</v>
      </c>
    </row>
    <row r="518" spans="2:9">
      <c r="B518" s="23">
        <f t="shared" ca="1" si="64"/>
        <v>353</v>
      </c>
      <c r="C518" s="23">
        <f t="shared" ca="1" si="65"/>
        <v>300</v>
      </c>
      <c r="D518" s="23">
        <f t="shared" ca="1" si="60"/>
        <v>21000</v>
      </c>
      <c r="E518" s="23">
        <f t="shared" ca="1" si="61"/>
        <v>53</v>
      </c>
      <c r="F518" s="23">
        <f t="shared" si="66"/>
        <v>168</v>
      </c>
      <c r="G518" s="23">
        <f t="shared" ca="1" si="67"/>
        <v>53</v>
      </c>
      <c r="H518" s="23">
        <f t="shared" ca="1" si="62"/>
        <v>353</v>
      </c>
      <c r="I518" s="23">
        <f t="shared" ca="1" si="63"/>
        <v>23120</v>
      </c>
    </row>
    <row r="519" spans="2:9">
      <c r="B519" s="23">
        <f t="shared" ca="1" si="64"/>
        <v>547</v>
      </c>
      <c r="C519" s="23">
        <f t="shared" ca="1" si="65"/>
        <v>300</v>
      </c>
      <c r="D519" s="23">
        <f t="shared" ca="1" si="60"/>
        <v>21000</v>
      </c>
      <c r="E519" s="23">
        <f t="shared" ca="1" si="61"/>
        <v>247</v>
      </c>
      <c r="F519" s="23">
        <f t="shared" si="66"/>
        <v>168</v>
      </c>
      <c r="G519" s="23">
        <f t="shared" ca="1" si="67"/>
        <v>168</v>
      </c>
      <c r="H519" s="23">
        <f t="shared" ca="1" si="62"/>
        <v>468</v>
      </c>
      <c r="I519" s="23">
        <f t="shared" ca="1" si="63"/>
        <v>27720</v>
      </c>
    </row>
    <row r="520" spans="2:9">
      <c r="B520" s="23">
        <f t="shared" ca="1" si="64"/>
        <v>229</v>
      </c>
      <c r="C520" s="23">
        <f t="shared" ca="1" si="65"/>
        <v>229</v>
      </c>
      <c r="D520" s="23">
        <f t="shared" ca="1" si="60"/>
        <v>11415</v>
      </c>
      <c r="E520" s="23">
        <f t="shared" ca="1" si="61"/>
        <v>0</v>
      </c>
      <c r="F520" s="23">
        <f t="shared" si="66"/>
        <v>168</v>
      </c>
      <c r="G520" s="23">
        <f t="shared" ca="1" si="67"/>
        <v>0</v>
      </c>
      <c r="H520" s="23">
        <f t="shared" ca="1" si="62"/>
        <v>229</v>
      </c>
      <c r="I520" s="23">
        <f t="shared" ca="1" si="63"/>
        <v>11415</v>
      </c>
    </row>
    <row r="521" spans="2:9">
      <c r="B521" s="23">
        <f t="shared" ca="1" si="64"/>
        <v>296</v>
      </c>
      <c r="C521" s="23">
        <f t="shared" ca="1" si="65"/>
        <v>296</v>
      </c>
      <c r="D521" s="23">
        <f t="shared" ca="1" si="60"/>
        <v>20460</v>
      </c>
      <c r="E521" s="23">
        <f t="shared" ca="1" si="61"/>
        <v>0</v>
      </c>
      <c r="F521" s="23">
        <f t="shared" si="66"/>
        <v>168</v>
      </c>
      <c r="G521" s="23">
        <f t="shared" ca="1" si="67"/>
        <v>0</v>
      </c>
      <c r="H521" s="23">
        <f t="shared" ca="1" si="62"/>
        <v>296</v>
      </c>
      <c r="I521" s="23">
        <f t="shared" ca="1" si="63"/>
        <v>20460</v>
      </c>
    </row>
    <row r="522" spans="2:9">
      <c r="B522" s="23">
        <f t="shared" ca="1" si="64"/>
        <v>290</v>
      </c>
      <c r="C522" s="23">
        <f t="shared" ca="1" si="65"/>
        <v>290</v>
      </c>
      <c r="D522" s="23">
        <f t="shared" ca="1" si="60"/>
        <v>19650</v>
      </c>
      <c r="E522" s="23">
        <f t="shared" ca="1" si="61"/>
        <v>0</v>
      </c>
      <c r="F522" s="23">
        <f t="shared" si="66"/>
        <v>168</v>
      </c>
      <c r="G522" s="23">
        <f t="shared" ca="1" si="67"/>
        <v>0</v>
      </c>
      <c r="H522" s="23">
        <f t="shared" ca="1" si="62"/>
        <v>290</v>
      </c>
      <c r="I522" s="23">
        <f t="shared" ca="1" si="63"/>
        <v>19650</v>
      </c>
    </row>
    <row r="523" spans="2:9">
      <c r="B523" s="23">
        <f t="shared" ca="1" si="64"/>
        <v>367</v>
      </c>
      <c r="C523" s="23">
        <f t="shared" ca="1" si="65"/>
        <v>300</v>
      </c>
      <c r="D523" s="23">
        <f t="shared" ca="1" si="60"/>
        <v>21000</v>
      </c>
      <c r="E523" s="23">
        <f t="shared" ca="1" si="61"/>
        <v>67</v>
      </c>
      <c r="F523" s="23">
        <f t="shared" si="66"/>
        <v>168</v>
      </c>
      <c r="G523" s="23">
        <f t="shared" ca="1" si="67"/>
        <v>67</v>
      </c>
      <c r="H523" s="23">
        <f t="shared" ca="1" si="62"/>
        <v>367</v>
      </c>
      <c r="I523" s="23">
        <f t="shared" ca="1" si="63"/>
        <v>23680</v>
      </c>
    </row>
    <row r="524" spans="2:9">
      <c r="B524" s="23">
        <f t="shared" ca="1" si="64"/>
        <v>459</v>
      </c>
      <c r="C524" s="23">
        <f t="shared" ca="1" si="65"/>
        <v>300</v>
      </c>
      <c r="D524" s="23">
        <f t="shared" ref="D524:D587" ca="1" si="68">C524*$B$3-$D$8*$B$2</f>
        <v>21000</v>
      </c>
      <c r="E524" s="23">
        <f t="shared" ref="E524:E587" ca="1" si="69">MAX(0, B524-$D$8)</f>
        <v>159</v>
      </c>
      <c r="F524" s="23">
        <f t="shared" si="66"/>
        <v>168</v>
      </c>
      <c r="G524" s="23">
        <f t="shared" ca="1" si="67"/>
        <v>159</v>
      </c>
      <c r="H524" s="23">
        <f t="shared" ref="H524:H587" ca="1" si="70">MIN(B524, $D$8+G524)</f>
        <v>459</v>
      </c>
      <c r="I524" s="23">
        <f t="shared" ref="I524:I587" ca="1" si="71">H524*$B$3-$D$8*$B$2-$B$1*G524</f>
        <v>27360</v>
      </c>
    </row>
    <row r="525" spans="2:9">
      <c r="B525" s="23">
        <f t="shared" ref="B525:B588" ca="1" si="72">_xlfn.FLOOR.MATH(_xlfn.NORM.INV(RAND(),$B$4,$B$5))</f>
        <v>477</v>
      </c>
      <c r="C525" s="23">
        <f t="shared" ref="C525:C588" ca="1" si="73">MIN(B525,$D$8)</f>
        <v>300</v>
      </c>
      <c r="D525" s="23">
        <f t="shared" ca="1" si="68"/>
        <v>21000</v>
      </c>
      <c r="E525" s="23">
        <f t="shared" ca="1" si="69"/>
        <v>177</v>
      </c>
      <c r="F525" s="23">
        <f t="shared" ref="F525:F588" si="74">12*(21-7)</f>
        <v>168</v>
      </c>
      <c r="G525" s="23">
        <f t="shared" ca="1" si="67"/>
        <v>168</v>
      </c>
      <c r="H525" s="23">
        <f t="shared" ca="1" si="70"/>
        <v>468</v>
      </c>
      <c r="I525" s="23">
        <f t="shared" ca="1" si="71"/>
        <v>27720</v>
      </c>
    </row>
    <row r="526" spans="2:9">
      <c r="B526" s="23">
        <f t="shared" ca="1" si="72"/>
        <v>354</v>
      </c>
      <c r="C526" s="23">
        <f t="shared" ca="1" si="73"/>
        <v>300</v>
      </c>
      <c r="D526" s="23">
        <f t="shared" ca="1" si="68"/>
        <v>21000</v>
      </c>
      <c r="E526" s="23">
        <f t="shared" ca="1" si="69"/>
        <v>54</v>
      </c>
      <c r="F526" s="23">
        <f t="shared" si="74"/>
        <v>168</v>
      </c>
      <c r="G526" s="23">
        <f t="shared" ca="1" si="67"/>
        <v>54</v>
      </c>
      <c r="H526" s="23">
        <f t="shared" ca="1" si="70"/>
        <v>354</v>
      </c>
      <c r="I526" s="23">
        <f t="shared" ca="1" si="71"/>
        <v>23160</v>
      </c>
    </row>
    <row r="527" spans="2:9">
      <c r="B527" s="23">
        <f t="shared" ca="1" si="72"/>
        <v>345</v>
      </c>
      <c r="C527" s="23">
        <f t="shared" ca="1" si="73"/>
        <v>300</v>
      </c>
      <c r="D527" s="23">
        <f t="shared" ca="1" si="68"/>
        <v>21000</v>
      </c>
      <c r="E527" s="23">
        <f t="shared" ca="1" si="69"/>
        <v>45</v>
      </c>
      <c r="F527" s="23">
        <f t="shared" si="74"/>
        <v>168</v>
      </c>
      <c r="G527" s="23">
        <f t="shared" ca="1" si="67"/>
        <v>45</v>
      </c>
      <c r="H527" s="23">
        <f t="shared" ca="1" si="70"/>
        <v>345</v>
      </c>
      <c r="I527" s="23">
        <f t="shared" ca="1" si="71"/>
        <v>22800</v>
      </c>
    </row>
    <row r="528" spans="2:9">
      <c r="B528" s="23">
        <f t="shared" ca="1" si="72"/>
        <v>328</v>
      </c>
      <c r="C528" s="23">
        <f t="shared" ca="1" si="73"/>
        <v>300</v>
      </c>
      <c r="D528" s="23">
        <f t="shared" ca="1" si="68"/>
        <v>21000</v>
      </c>
      <c r="E528" s="23">
        <f t="shared" ca="1" si="69"/>
        <v>28</v>
      </c>
      <c r="F528" s="23">
        <f t="shared" si="74"/>
        <v>168</v>
      </c>
      <c r="G528" s="23">
        <f t="shared" ref="G528:G591" ca="1" si="75">MIN(E528,F528)</f>
        <v>28</v>
      </c>
      <c r="H528" s="23">
        <f t="shared" ca="1" si="70"/>
        <v>328</v>
      </c>
      <c r="I528" s="23">
        <f t="shared" ca="1" si="71"/>
        <v>22120</v>
      </c>
    </row>
    <row r="529" spans="2:9">
      <c r="B529" s="23">
        <f t="shared" ca="1" si="72"/>
        <v>400</v>
      </c>
      <c r="C529" s="23">
        <f t="shared" ca="1" si="73"/>
        <v>300</v>
      </c>
      <c r="D529" s="23">
        <f t="shared" ca="1" si="68"/>
        <v>21000</v>
      </c>
      <c r="E529" s="23">
        <f t="shared" ca="1" si="69"/>
        <v>100</v>
      </c>
      <c r="F529" s="23">
        <f t="shared" si="74"/>
        <v>168</v>
      </c>
      <c r="G529" s="23">
        <f t="shared" ca="1" si="75"/>
        <v>100</v>
      </c>
      <c r="H529" s="23">
        <f t="shared" ca="1" si="70"/>
        <v>400</v>
      </c>
      <c r="I529" s="23">
        <f t="shared" ca="1" si="71"/>
        <v>25000</v>
      </c>
    </row>
    <row r="530" spans="2:9">
      <c r="B530" s="23">
        <f t="shared" ca="1" si="72"/>
        <v>87</v>
      </c>
      <c r="C530" s="23">
        <f t="shared" ca="1" si="73"/>
        <v>87</v>
      </c>
      <c r="D530" s="23">
        <f t="shared" ca="1" si="68"/>
        <v>-7755</v>
      </c>
      <c r="E530" s="23">
        <f t="shared" ca="1" si="69"/>
        <v>0</v>
      </c>
      <c r="F530" s="23">
        <f t="shared" si="74"/>
        <v>168</v>
      </c>
      <c r="G530" s="23">
        <f t="shared" ca="1" si="75"/>
        <v>0</v>
      </c>
      <c r="H530" s="23">
        <f t="shared" ca="1" si="70"/>
        <v>87</v>
      </c>
      <c r="I530" s="23">
        <f t="shared" ca="1" si="71"/>
        <v>-7755</v>
      </c>
    </row>
    <row r="531" spans="2:9">
      <c r="B531" s="23">
        <f t="shared" ca="1" si="72"/>
        <v>495</v>
      </c>
      <c r="C531" s="23">
        <f t="shared" ca="1" si="73"/>
        <v>300</v>
      </c>
      <c r="D531" s="23">
        <f t="shared" ca="1" si="68"/>
        <v>21000</v>
      </c>
      <c r="E531" s="23">
        <f t="shared" ca="1" si="69"/>
        <v>195</v>
      </c>
      <c r="F531" s="23">
        <f t="shared" si="74"/>
        <v>168</v>
      </c>
      <c r="G531" s="23">
        <f t="shared" ca="1" si="75"/>
        <v>168</v>
      </c>
      <c r="H531" s="23">
        <f t="shared" ca="1" si="70"/>
        <v>468</v>
      </c>
      <c r="I531" s="23">
        <f t="shared" ca="1" si="71"/>
        <v>27720</v>
      </c>
    </row>
    <row r="532" spans="2:9">
      <c r="B532" s="23">
        <f t="shared" ca="1" si="72"/>
        <v>244</v>
      </c>
      <c r="C532" s="23">
        <f t="shared" ca="1" si="73"/>
        <v>244</v>
      </c>
      <c r="D532" s="23">
        <f t="shared" ca="1" si="68"/>
        <v>13440</v>
      </c>
      <c r="E532" s="23">
        <f t="shared" ca="1" si="69"/>
        <v>0</v>
      </c>
      <c r="F532" s="23">
        <f t="shared" si="74"/>
        <v>168</v>
      </c>
      <c r="G532" s="23">
        <f t="shared" ca="1" si="75"/>
        <v>0</v>
      </c>
      <c r="H532" s="23">
        <f t="shared" ca="1" si="70"/>
        <v>244</v>
      </c>
      <c r="I532" s="23">
        <f t="shared" ca="1" si="71"/>
        <v>13440</v>
      </c>
    </row>
    <row r="533" spans="2:9">
      <c r="B533" s="23">
        <f t="shared" ca="1" si="72"/>
        <v>215</v>
      </c>
      <c r="C533" s="23">
        <f t="shared" ca="1" si="73"/>
        <v>215</v>
      </c>
      <c r="D533" s="23">
        <f t="shared" ca="1" si="68"/>
        <v>9525</v>
      </c>
      <c r="E533" s="23">
        <f t="shared" ca="1" si="69"/>
        <v>0</v>
      </c>
      <c r="F533" s="23">
        <f t="shared" si="74"/>
        <v>168</v>
      </c>
      <c r="G533" s="23">
        <f t="shared" ca="1" si="75"/>
        <v>0</v>
      </c>
      <c r="H533" s="23">
        <f t="shared" ca="1" si="70"/>
        <v>215</v>
      </c>
      <c r="I533" s="23">
        <f t="shared" ca="1" si="71"/>
        <v>9525</v>
      </c>
    </row>
    <row r="534" spans="2:9">
      <c r="B534" s="23">
        <f t="shared" ca="1" si="72"/>
        <v>193</v>
      </c>
      <c r="C534" s="23">
        <f t="shared" ca="1" si="73"/>
        <v>193</v>
      </c>
      <c r="D534" s="23">
        <f t="shared" ca="1" si="68"/>
        <v>6555</v>
      </c>
      <c r="E534" s="23">
        <f t="shared" ca="1" si="69"/>
        <v>0</v>
      </c>
      <c r="F534" s="23">
        <f t="shared" si="74"/>
        <v>168</v>
      </c>
      <c r="G534" s="23">
        <f t="shared" ca="1" si="75"/>
        <v>0</v>
      </c>
      <c r="H534" s="23">
        <f t="shared" ca="1" si="70"/>
        <v>193</v>
      </c>
      <c r="I534" s="23">
        <f t="shared" ca="1" si="71"/>
        <v>6555</v>
      </c>
    </row>
    <row r="535" spans="2:9">
      <c r="B535" s="23">
        <f t="shared" ca="1" si="72"/>
        <v>481</v>
      </c>
      <c r="C535" s="23">
        <f t="shared" ca="1" si="73"/>
        <v>300</v>
      </c>
      <c r="D535" s="23">
        <f t="shared" ca="1" si="68"/>
        <v>21000</v>
      </c>
      <c r="E535" s="23">
        <f t="shared" ca="1" si="69"/>
        <v>181</v>
      </c>
      <c r="F535" s="23">
        <f t="shared" si="74"/>
        <v>168</v>
      </c>
      <c r="G535" s="23">
        <f t="shared" ca="1" si="75"/>
        <v>168</v>
      </c>
      <c r="H535" s="23">
        <f t="shared" ca="1" si="70"/>
        <v>468</v>
      </c>
      <c r="I535" s="23">
        <f t="shared" ca="1" si="71"/>
        <v>27720</v>
      </c>
    </row>
    <row r="536" spans="2:9">
      <c r="B536" s="23">
        <f t="shared" ca="1" si="72"/>
        <v>554</v>
      </c>
      <c r="C536" s="23">
        <f t="shared" ca="1" si="73"/>
        <v>300</v>
      </c>
      <c r="D536" s="23">
        <f t="shared" ca="1" si="68"/>
        <v>21000</v>
      </c>
      <c r="E536" s="23">
        <f t="shared" ca="1" si="69"/>
        <v>254</v>
      </c>
      <c r="F536" s="23">
        <f t="shared" si="74"/>
        <v>168</v>
      </c>
      <c r="G536" s="23">
        <f t="shared" ca="1" si="75"/>
        <v>168</v>
      </c>
      <c r="H536" s="23">
        <f t="shared" ca="1" si="70"/>
        <v>468</v>
      </c>
      <c r="I536" s="23">
        <f t="shared" ca="1" si="71"/>
        <v>27720</v>
      </c>
    </row>
    <row r="537" spans="2:9">
      <c r="B537" s="23">
        <f t="shared" ca="1" si="72"/>
        <v>468</v>
      </c>
      <c r="C537" s="23">
        <f t="shared" ca="1" si="73"/>
        <v>300</v>
      </c>
      <c r="D537" s="23">
        <f t="shared" ca="1" si="68"/>
        <v>21000</v>
      </c>
      <c r="E537" s="23">
        <f t="shared" ca="1" si="69"/>
        <v>168</v>
      </c>
      <c r="F537" s="23">
        <f t="shared" si="74"/>
        <v>168</v>
      </c>
      <c r="G537" s="23">
        <f t="shared" ca="1" si="75"/>
        <v>168</v>
      </c>
      <c r="H537" s="23">
        <f t="shared" ca="1" si="70"/>
        <v>468</v>
      </c>
      <c r="I537" s="23">
        <f t="shared" ca="1" si="71"/>
        <v>27720</v>
      </c>
    </row>
    <row r="538" spans="2:9">
      <c r="B538" s="23">
        <f t="shared" ca="1" si="72"/>
        <v>142</v>
      </c>
      <c r="C538" s="23">
        <f t="shared" ca="1" si="73"/>
        <v>142</v>
      </c>
      <c r="D538" s="23">
        <f t="shared" ca="1" si="68"/>
        <v>-330</v>
      </c>
      <c r="E538" s="23">
        <f t="shared" ca="1" si="69"/>
        <v>0</v>
      </c>
      <c r="F538" s="23">
        <f t="shared" si="74"/>
        <v>168</v>
      </c>
      <c r="G538" s="23">
        <f t="shared" ca="1" si="75"/>
        <v>0</v>
      </c>
      <c r="H538" s="23">
        <f t="shared" ca="1" si="70"/>
        <v>142</v>
      </c>
      <c r="I538" s="23">
        <f t="shared" ca="1" si="71"/>
        <v>-330</v>
      </c>
    </row>
    <row r="539" spans="2:9">
      <c r="B539" s="23">
        <f t="shared" ca="1" si="72"/>
        <v>260</v>
      </c>
      <c r="C539" s="23">
        <f t="shared" ca="1" si="73"/>
        <v>260</v>
      </c>
      <c r="D539" s="23">
        <f t="shared" ca="1" si="68"/>
        <v>15600</v>
      </c>
      <c r="E539" s="23">
        <f t="shared" ca="1" si="69"/>
        <v>0</v>
      </c>
      <c r="F539" s="23">
        <f t="shared" si="74"/>
        <v>168</v>
      </c>
      <c r="G539" s="23">
        <f t="shared" ca="1" si="75"/>
        <v>0</v>
      </c>
      <c r="H539" s="23">
        <f t="shared" ca="1" si="70"/>
        <v>260</v>
      </c>
      <c r="I539" s="23">
        <f t="shared" ca="1" si="71"/>
        <v>15600</v>
      </c>
    </row>
    <row r="540" spans="2:9">
      <c r="B540" s="23">
        <f t="shared" ca="1" si="72"/>
        <v>286</v>
      </c>
      <c r="C540" s="23">
        <f t="shared" ca="1" si="73"/>
        <v>286</v>
      </c>
      <c r="D540" s="23">
        <f t="shared" ca="1" si="68"/>
        <v>19110</v>
      </c>
      <c r="E540" s="23">
        <f t="shared" ca="1" si="69"/>
        <v>0</v>
      </c>
      <c r="F540" s="23">
        <f t="shared" si="74"/>
        <v>168</v>
      </c>
      <c r="G540" s="23">
        <f t="shared" ca="1" si="75"/>
        <v>0</v>
      </c>
      <c r="H540" s="23">
        <f t="shared" ca="1" si="70"/>
        <v>286</v>
      </c>
      <c r="I540" s="23">
        <f t="shared" ca="1" si="71"/>
        <v>19110</v>
      </c>
    </row>
    <row r="541" spans="2:9">
      <c r="B541" s="23">
        <f t="shared" ca="1" si="72"/>
        <v>232</v>
      </c>
      <c r="C541" s="23">
        <f t="shared" ca="1" si="73"/>
        <v>232</v>
      </c>
      <c r="D541" s="23">
        <f t="shared" ca="1" si="68"/>
        <v>11820</v>
      </c>
      <c r="E541" s="23">
        <f t="shared" ca="1" si="69"/>
        <v>0</v>
      </c>
      <c r="F541" s="23">
        <f t="shared" si="74"/>
        <v>168</v>
      </c>
      <c r="G541" s="23">
        <f t="shared" ca="1" si="75"/>
        <v>0</v>
      </c>
      <c r="H541" s="23">
        <f t="shared" ca="1" si="70"/>
        <v>232</v>
      </c>
      <c r="I541" s="23">
        <f t="shared" ca="1" si="71"/>
        <v>11820</v>
      </c>
    </row>
    <row r="542" spans="2:9">
      <c r="B542" s="23">
        <f t="shared" ca="1" si="72"/>
        <v>372</v>
      </c>
      <c r="C542" s="23">
        <f t="shared" ca="1" si="73"/>
        <v>300</v>
      </c>
      <c r="D542" s="23">
        <f t="shared" ca="1" si="68"/>
        <v>21000</v>
      </c>
      <c r="E542" s="23">
        <f t="shared" ca="1" si="69"/>
        <v>72</v>
      </c>
      <c r="F542" s="23">
        <f t="shared" si="74"/>
        <v>168</v>
      </c>
      <c r="G542" s="23">
        <f t="shared" ca="1" si="75"/>
        <v>72</v>
      </c>
      <c r="H542" s="23">
        <f t="shared" ca="1" si="70"/>
        <v>372</v>
      </c>
      <c r="I542" s="23">
        <f t="shared" ca="1" si="71"/>
        <v>23880</v>
      </c>
    </row>
    <row r="543" spans="2:9">
      <c r="B543" s="23">
        <f t="shared" ca="1" si="72"/>
        <v>262</v>
      </c>
      <c r="C543" s="23">
        <f t="shared" ca="1" si="73"/>
        <v>262</v>
      </c>
      <c r="D543" s="23">
        <f t="shared" ca="1" si="68"/>
        <v>15870</v>
      </c>
      <c r="E543" s="23">
        <f t="shared" ca="1" si="69"/>
        <v>0</v>
      </c>
      <c r="F543" s="23">
        <f t="shared" si="74"/>
        <v>168</v>
      </c>
      <c r="G543" s="23">
        <f t="shared" ca="1" si="75"/>
        <v>0</v>
      </c>
      <c r="H543" s="23">
        <f t="shared" ca="1" si="70"/>
        <v>262</v>
      </c>
      <c r="I543" s="23">
        <f t="shared" ca="1" si="71"/>
        <v>15870</v>
      </c>
    </row>
    <row r="544" spans="2:9">
      <c r="B544" s="23">
        <f t="shared" ca="1" si="72"/>
        <v>305</v>
      </c>
      <c r="C544" s="23">
        <f t="shared" ca="1" si="73"/>
        <v>300</v>
      </c>
      <c r="D544" s="23">
        <f t="shared" ca="1" si="68"/>
        <v>21000</v>
      </c>
      <c r="E544" s="23">
        <f t="shared" ca="1" si="69"/>
        <v>5</v>
      </c>
      <c r="F544" s="23">
        <f t="shared" si="74"/>
        <v>168</v>
      </c>
      <c r="G544" s="23">
        <f t="shared" ca="1" si="75"/>
        <v>5</v>
      </c>
      <c r="H544" s="23">
        <f t="shared" ca="1" si="70"/>
        <v>305</v>
      </c>
      <c r="I544" s="23">
        <f t="shared" ca="1" si="71"/>
        <v>21200</v>
      </c>
    </row>
    <row r="545" spans="2:9">
      <c r="B545" s="23">
        <f t="shared" ca="1" si="72"/>
        <v>166</v>
      </c>
      <c r="C545" s="23">
        <f t="shared" ca="1" si="73"/>
        <v>166</v>
      </c>
      <c r="D545" s="23">
        <f t="shared" ca="1" si="68"/>
        <v>2910</v>
      </c>
      <c r="E545" s="23">
        <f t="shared" ca="1" si="69"/>
        <v>0</v>
      </c>
      <c r="F545" s="23">
        <f t="shared" si="74"/>
        <v>168</v>
      </c>
      <c r="G545" s="23">
        <f t="shared" ca="1" si="75"/>
        <v>0</v>
      </c>
      <c r="H545" s="23">
        <f t="shared" ca="1" si="70"/>
        <v>166</v>
      </c>
      <c r="I545" s="23">
        <f t="shared" ca="1" si="71"/>
        <v>2910</v>
      </c>
    </row>
    <row r="546" spans="2:9">
      <c r="B546" s="23">
        <f t="shared" ca="1" si="72"/>
        <v>364</v>
      </c>
      <c r="C546" s="23">
        <f t="shared" ca="1" si="73"/>
        <v>300</v>
      </c>
      <c r="D546" s="23">
        <f t="shared" ca="1" si="68"/>
        <v>21000</v>
      </c>
      <c r="E546" s="23">
        <f t="shared" ca="1" si="69"/>
        <v>64</v>
      </c>
      <c r="F546" s="23">
        <f t="shared" si="74"/>
        <v>168</v>
      </c>
      <c r="G546" s="23">
        <f t="shared" ca="1" si="75"/>
        <v>64</v>
      </c>
      <c r="H546" s="23">
        <f t="shared" ca="1" si="70"/>
        <v>364</v>
      </c>
      <c r="I546" s="23">
        <f t="shared" ca="1" si="71"/>
        <v>23560</v>
      </c>
    </row>
    <row r="547" spans="2:9">
      <c r="B547" s="23">
        <f t="shared" ca="1" si="72"/>
        <v>376</v>
      </c>
      <c r="C547" s="23">
        <f t="shared" ca="1" si="73"/>
        <v>300</v>
      </c>
      <c r="D547" s="23">
        <f t="shared" ca="1" si="68"/>
        <v>21000</v>
      </c>
      <c r="E547" s="23">
        <f t="shared" ca="1" si="69"/>
        <v>76</v>
      </c>
      <c r="F547" s="23">
        <f t="shared" si="74"/>
        <v>168</v>
      </c>
      <c r="G547" s="23">
        <f t="shared" ca="1" si="75"/>
        <v>76</v>
      </c>
      <c r="H547" s="23">
        <f t="shared" ca="1" si="70"/>
        <v>376</v>
      </c>
      <c r="I547" s="23">
        <f t="shared" ca="1" si="71"/>
        <v>24040</v>
      </c>
    </row>
    <row r="548" spans="2:9">
      <c r="B548" s="23">
        <f t="shared" ca="1" si="72"/>
        <v>375</v>
      </c>
      <c r="C548" s="23">
        <f t="shared" ca="1" si="73"/>
        <v>300</v>
      </c>
      <c r="D548" s="23">
        <f t="shared" ca="1" si="68"/>
        <v>21000</v>
      </c>
      <c r="E548" s="23">
        <f t="shared" ca="1" si="69"/>
        <v>75</v>
      </c>
      <c r="F548" s="23">
        <f t="shared" si="74"/>
        <v>168</v>
      </c>
      <c r="G548" s="23">
        <f t="shared" ca="1" si="75"/>
        <v>75</v>
      </c>
      <c r="H548" s="23">
        <f t="shared" ca="1" si="70"/>
        <v>375</v>
      </c>
      <c r="I548" s="23">
        <f t="shared" ca="1" si="71"/>
        <v>24000</v>
      </c>
    </row>
    <row r="549" spans="2:9">
      <c r="B549" s="23">
        <f t="shared" ca="1" si="72"/>
        <v>155</v>
      </c>
      <c r="C549" s="23">
        <f t="shared" ca="1" si="73"/>
        <v>155</v>
      </c>
      <c r="D549" s="23">
        <f t="shared" ca="1" si="68"/>
        <v>1425</v>
      </c>
      <c r="E549" s="23">
        <f t="shared" ca="1" si="69"/>
        <v>0</v>
      </c>
      <c r="F549" s="23">
        <f t="shared" si="74"/>
        <v>168</v>
      </c>
      <c r="G549" s="23">
        <f t="shared" ca="1" si="75"/>
        <v>0</v>
      </c>
      <c r="H549" s="23">
        <f t="shared" ca="1" si="70"/>
        <v>155</v>
      </c>
      <c r="I549" s="23">
        <f t="shared" ca="1" si="71"/>
        <v>1425</v>
      </c>
    </row>
    <row r="550" spans="2:9">
      <c r="B550" s="23">
        <f t="shared" ca="1" si="72"/>
        <v>311</v>
      </c>
      <c r="C550" s="23">
        <f t="shared" ca="1" si="73"/>
        <v>300</v>
      </c>
      <c r="D550" s="23">
        <f t="shared" ca="1" si="68"/>
        <v>21000</v>
      </c>
      <c r="E550" s="23">
        <f t="shared" ca="1" si="69"/>
        <v>11</v>
      </c>
      <c r="F550" s="23">
        <f t="shared" si="74"/>
        <v>168</v>
      </c>
      <c r="G550" s="23">
        <f t="shared" ca="1" si="75"/>
        <v>11</v>
      </c>
      <c r="H550" s="23">
        <f t="shared" ca="1" si="70"/>
        <v>311</v>
      </c>
      <c r="I550" s="23">
        <f t="shared" ca="1" si="71"/>
        <v>21440</v>
      </c>
    </row>
    <row r="551" spans="2:9">
      <c r="B551" s="23">
        <f t="shared" ca="1" si="72"/>
        <v>409</v>
      </c>
      <c r="C551" s="23">
        <f t="shared" ca="1" si="73"/>
        <v>300</v>
      </c>
      <c r="D551" s="23">
        <f t="shared" ca="1" si="68"/>
        <v>21000</v>
      </c>
      <c r="E551" s="23">
        <f t="shared" ca="1" si="69"/>
        <v>109</v>
      </c>
      <c r="F551" s="23">
        <f t="shared" si="74"/>
        <v>168</v>
      </c>
      <c r="G551" s="23">
        <f t="shared" ca="1" si="75"/>
        <v>109</v>
      </c>
      <c r="H551" s="23">
        <f t="shared" ca="1" si="70"/>
        <v>409</v>
      </c>
      <c r="I551" s="23">
        <f t="shared" ca="1" si="71"/>
        <v>25360</v>
      </c>
    </row>
    <row r="552" spans="2:9">
      <c r="B552" s="23">
        <f t="shared" ca="1" si="72"/>
        <v>183</v>
      </c>
      <c r="C552" s="23">
        <f t="shared" ca="1" si="73"/>
        <v>183</v>
      </c>
      <c r="D552" s="23">
        <f t="shared" ca="1" si="68"/>
        <v>5205</v>
      </c>
      <c r="E552" s="23">
        <f t="shared" ca="1" si="69"/>
        <v>0</v>
      </c>
      <c r="F552" s="23">
        <f t="shared" si="74"/>
        <v>168</v>
      </c>
      <c r="G552" s="23">
        <f t="shared" ca="1" si="75"/>
        <v>0</v>
      </c>
      <c r="H552" s="23">
        <f t="shared" ca="1" si="70"/>
        <v>183</v>
      </c>
      <c r="I552" s="23">
        <f t="shared" ca="1" si="71"/>
        <v>5205</v>
      </c>
    </row>
    <row r="553" spans="2:9">
      <c r="B553" s="23">
        <f t="shared" ca="1" si="72"/>
        <v>334</v>
      </c>
      <c r="C553" s="23">
        <f t="shared" ca="1" si="73"/>
        <v>300</v>
      </c>
      <c r="D553" s="23">
        <f t="shared" ca="1" si="68"/>
        <v>21000</v>
      </c>
      <c r="E553" s="23">
        <f t="shared" ca="1" si="69"/>
        <v>34</v>
      </c>
      <c r="F553" s="23">
        <f t="shared" si="74"/>
        <v>168</v>
      </c>
      <c r="G553" s="23">
        <f t="shared" ca="1" si="75"/>
        <v>34</v>
      </c>
      <c r="H553" s="23">
        <f t="shared" ca="1" si="70"/>
        <v>334</v>
      </c>
      <c r="I553" s="23">
        <f t="shared" ca="1" si="71"/>
        <v>22360</v>
      </c>
    </row>
    <row r="554" spans="2:9">
      <c r="B554" s="23">
        <f t="shared" ca="1" si="72"/>
        <v>207</v>
      </c>
      <c r="C554" s="23">
        <f t="shared" ca="1" si="73"/>
        <v>207</v>
      </c>
      <c r="D554" s="23">
        <f t="shared" ca="1" si="68"/>
        <v>8445</v>
      </c>
      <c r="E554" s="23">
        <f t="shared" ca="1" si="69"/>
        <v>0</v>
      </c>
      <c r="F554" s="23">
        <f t="shared" si="74"/>
        <v>168</v>
      </c>
      <c r="G554" s="23">
        <f t="shared" ca="1" si="75"/>
        <v>0</v>
      </c>
      <c r="H554" s="23">
        <f t="shared" ca="1" si="70"/>
        <v>207</v>
      </c>
      <c r="I554" s="23">
        <f t="shared" ca="1" si="71"/>
        <v>8445</v>
      </c>
    </row>
    <row r="555" spans="2:9">
      <c r="B555" s="23">
        <f t="shared" ca="1" si="72"/>
        <v>310</v>
      </c>
      <c r="C555" s="23">
        <f t="shared" ca="1" si="73"/>
        <v>300</v>
      </c>
      <c r="D555" s="23">
        <f t="shared" ca="1" si="68"/>
        <v>21000</v>
      </c>
      <c r="E555" s="23">
        <f t="shared" ca="1" si="69"/>
        <v>10</v>
      </c>
      <c r="F555" s="23">
        <f t="shared" si="74"/>
        <v>168</v>
      </c>
      <c r="G555" s="23">
        <f t="shared" ca="1" si="75"/>
        <v>10</v>
      </c>
      <c r="H555" s="23">
        <f t="shared" ca="1" si="70"/>
        <v>310</v>
      </c>
      <c r="I555" s="23">
        <f t="shared" ca="1" si="71"/>
        <v>21400</v>
      </c>
    </row>
    <row r="556" spans="2:9">
      <c r="B556" s="23">
        <f t="shared" ca="1" si="72"/>
        <v>95</v>
      </c>
      <c r="C556" s="23">
        <f t="shared" ca="1" si="73"/>
        <v>95</v>
      </c>
      <c r="D556" s="23">
        <f t="shared" ca="1" si="68"/>
        <v>-6675</v>
      </c>
      <c r="E556" s="23">
        <f t="shared" ca="1" si="69"/>
        <v>0</v>
      </c>
      <c r="F556" s="23">
        <f t="shared" si="74"/>
        <v>168</v>
      </c>
      <c r="G556" s="23">
        <f t="shared" ca="1" si="75"/>
        <v>0</v>
      </c>
      <c r="H556" s="23">
        <f t="shared" ca="1" si="70"/>
        <v>95</v>
      </c>
      <c r="I556" s="23">
        <f t="shared" ca="1" si="71"/>
        <v>-6675</v>
      </c>
    </row>
    <row r="557" spans="2:9">
      <c r="B557" s="23">
        <f t="shared" ca="1" si="72"/>
        <v>432</v>
      </c>
      <c r="C557" s="23">
        <f t="shared" ca="1" si="73"/>
        <v>300</v>
      </c>
      <c r="D557" s="23">
        <f t="shared" ca="1" si="68"/>
        <v>21000</v>
      </c>
      <c r="E557" s="23">
        <f t="shared" ca="1" si="69"/>
        <v>132</v>
      </c>
      <c r="F557" s="23">
        <f t="shared" si="74"/>
        <v>168</v>
      </c>
      <c r="G557" s="23">
        <f t="shared" ca="1" si="75"/>
        <v>132</v>
      </c>
      <c r="H557" s="23">
        <f t="shared" ca="1" si="70"/>
        <v>432</v>
      </c>
      <c r="I557" s="23">
        <f t="shared" ca="1" si="71"/>
        <v>26280</v>
      </c>
    </row>
    <row r="558" spans="2:9">
      <c r="B558" s="23">
        <f t="shared" ca="1" si="72"/>
        <v>370</v>
      </c>
      <c r="C558" s="23">
        <f t="shared" ca="1" si="73"/>
        <v>300</v>
      </c>
      <c r="D558" s="23">
        <f t="shared" ca="1" si="68"/>
        <v>21000</v>
      </c>
      <c r="E558" s="23">
        <f t="shared" ca="1" si="69"/>
        <v>70</v>
      </c>
      <c r="F558" s="23">
        <f t="shared" si="74"/>
        <v>168</v>
      </c>
      <c r="G558" s="23">
        <f t="shared" ca="1" si="75"/>
        <v>70</v>
      </c>
      <c r="H558" s="23">
        <f t="shared" ca="1" si="70"/>
        <v>370</v>
      </c>
      <c r="I558" s="23">
        <f t="shared" ca="1" si="71"/>
        <v>23800</v>
      </c>
    </row>
    <row r="559" spans="2:9">
      <c r="B559" s="23">
        <f t="shared" ca="1" si="72"/>
        <v>434</v>
      </c>
      <c r="C559" s="23">
        <f t="shared" ca="1" si="73"/>
        <v>300</v>
      </c>
      <c r="D559" s="23">
        <f t="shared" ca="1" si="68"/>
        <v>21000</v>
      </c>
      <c r="E559" s="23">
        <f t="shared" ca="1" si="69"/>
        <v>134</v>
      </c>
      <c r="F559" s="23">
        <f t="shared" si="74"/>
        <v>168</v>
      </c>
      <c r="G559" s="23">
        <f t="shared" ca="1" si="75"/>
        <v>134</v>
      </c>
      <c r="H559" s="23">
        <f t="shared" ca="1" si="70"/>
        <v>434</v>
      </c>
      <c r="I559" s="23">
        <f t="shared" ca="1" si="71"/>
        <v>26360</v>
      </c>
    </row>
    <row r="560" spans="2:9">
      <c r="B560" s="23">
        <f t="shared" ca="1" si="72"/>
        <v>272</v>
      </c>
      <c r="C560" s="23">
        <f t="shared" ca="1" si="73"/>
        <v>272</v>
      </c>
      <c r="D560" s="23">
        <f t="shared" ca="1" si="68"/>
        <v>17220</v>
      </c>
      <c r="E560" s="23">
        <f t="shared" ca="1" si="69"/>
        <v>0</v>
      </c>
      <c r="F560" s="23">
        <f t="shared" si="74"/>
        <v>168</v>
      </c>
      <c r="G560" s="23">
        <f t="shared" ca="1" si="75"/>
        <v>0</v>
      </c>
      <c r="H560" s="23">
        <f t="shared" ca="1" si="70"/>
        <v>272</v>
      </c>
      <c r="I560" s="23">
        <f t="shared" ca="1" si="71"/>
        <v>17220</v>
      </c>
    </row>
    <row r="561" spans="2:9">
      <c r="B561" s="23">
        <f t="shared" ca="1" si="72"/>
        <v>408</v>
      </c>
      <c r="C561" s="23">
        <f t="shared" ca="1" si="73"/>
        <v>300</v>
      </c>
      <c r="D561" s="23">
        <f t="shared" ca="1" si="68"/>
        <v>21000</v>
      </c>
      <c r="E561" s="23">
        <f t="shared" ca="1" si="69"/>
        <v>108</v>
      </c>
      <c r="F561" s="23">
        <f t="shared" si="74"/>
        <v>168</v>
      </c>
      <c r="G561" s="23">
        <f t="shared" ca="1" si="75"/>
        <v>108</v>
      </c>
      <c r="H561" s="23">
        <f t="shared" ca="1" si="70"/>
        <v>408</v>
      </c>
      <c r="I561" s="23">
        <f t="shared" ca="1" si="71"/>
        <v>25320</v>
      </c>
    </row>
    <row r="562" spans="2:9">
      <c r="B562" s="23">
        <f t="shared" ca="1" si="72"/>
        <v>268</v>
      </c>
      <c r="C562" s="23">
        <f t="shared" ca="1" si="73"/>
        <v>268</v>
      </c>
      <c r="D562" s="23">
        <f t="shared" ca="1" si="68"/>
        <v>16680</v>
      </c>
      <c r="E562" s="23">
        <f t="shared" ca="1" si="69"/>
        <v>0</v>
      </c>
      <c r="F562" s="23">
        <f t="shared" si="74"/>
        <v>168</v>
      </c>
      <c r="G562" s="23">
        <f t="shared" ca="1" si="75"/>
        <v>0</v>
      </c>
      <c r="H562" s="23">
        <f t="shared" ca="1" si="70"/>
        <v>268</v>
      </c>
      <c r="I562" s="23">
        <f t="shared" ca="1" si="71"/>
        <v>16680</v>
      </c>
    </row>
    <row r="563" spans="2:9">
      <c r="B563" s="23">
        <f t="shared" ca="1" si="72"/>
        <v>158</v>
      </c>
      <c r="C563" s="23">
        <f t="shared" ca="1" si="73"/>
        <v>158</v>
      </c>
      <c r="D563" s="23">
        <f t="shared" ca="1" si="68"/>
        <v>1830</v>
      </c>
      <c r="E563" s="23">
        <f t="shared" ca="1" si="69"/>
        <v>0</v>
      </c>
      <c r="F563" s="23">
        <f t="shared" si="74"/>
        <v>168</v>
      </c>
      <c r="G563" s="23">
        <f t="shared" ca="1" si="75"/>
        <v>0</v>
      </c>
      <c r="H563" s="23">
        <f t="shared" ca="1" si="70"/>
        <v>158</v>
      </c>
      <c r="I563" s="23">
        <f t="shared" ca="1" si="71"/>
        <v>1830</v>
      </c>
    </row>
    <row r="564" spans="2:9">
      <c r="B564" s="23">
        <f t="shared" ca="1" si="72"/>
        <v>217</v>
      </c>
      <c r="C564" s="23">
        <f t="shared" ca="1" si="73"/>
        <v>217</v>
      </c>
      <c r="D564" s="23">
        <f t="shared" ca="1" si="68"/>
        <v>9795</v>
      </c>
      <c r="E564" s="23">
        <f t="shared" ca="1" si="69"/>
        <v>0</v>
      </c>
      <c r="F564" s="23">
        <f t="shared" si="74"/>
        <v>168</v>
      </c>
      <c r="G564" s="23">
        <f t="shared" ca="1" si="75"/>
        <v>0</v>
      </c>
      <c r="H564" s="23">
        <f t="shared" ca="1" si="70"/>
        <v>217</v>
      </c>
      <c r="I564" s="23">
        <f t="shared" ca="1" si="71"/>
        <v>9795</v>
      </c>
    </row>
    <row r="565" spans="2:9">
      <c r="B565" s="23">
        <f t="shared" ca="1" si="72"/>
        <v>259</v>
      </c>
      <c r="C565" s="23">
        <f t="shared" ca="1" si="73"/>
        <v>259</v>
      </c>
      <c r="D565" s="23">
        <f t="shared" ca="1" si="68"/>
        <v>15465</v>
      </c>
      <c r="E565" s="23">
        <f t="shared" ca="1" si="69"/>
        <v>0</v>
      </c>
      <c r="F565" s="23">
        <f t="shared" si="74"/>
        <v>168</v>
      </c>
      <c r="G565" s="23">
        <f t="shared" ca="1" si="75"/>
        <v>0</v>
      </c>
      <c r="H565" s="23">
        <f t="shared" ca="1" si="70"/>
        <v>259</v>
      </c>
      <c r="I565" s="23">
        <f t="shared" ca="1" si="71"/>
        <v>15465</v>
      </c>
    </row>
    <row r="566" spans="2:9">
      <c r="B566" s="23">
        <f t="shared" ca="1" si="72"/>
        <v>238</v>
      </c>
      <c r="C566" s="23">
        <f t="shared" ca="1" si="73"/>
        <v>238</v>
      </c>
      <c r="D566" s="23">
        <f t="shared" ca="1" si="68"/>
        <v>12630</v>
      </c>
      <c r="E566" s="23">
        <f t="shared" ca="1" si="69"/>
        <v>0</v>
      </c>
      <c r="F566" s="23">
        <f t="shared" si="74"/>
        <v>168</v>
      </c>
      <c r="G566" s="23">
        <f t="shared" ca="1" si="75"/>
        <v>0</v>
      </c>
      <c r="H566" s="23">
        <f t="shared" ca="1" si="70"/>
        <v>238</v>
      </c>
      <c r="I566" s="23">
        <f t="shared" ca="1" si="71"/>
        <v>12630</v>
      </c>
    </row>
    <row r="567" spans="2:9">
      <c r="B567" s="23">
        <f t="shared" ca="1" si="72"/>
        <v>288</v>
      </c>
      <c r="C567" s="23">
        <f t="shared" ca="1" si="73"/>
        <v>288</v>
      </c>
      <c r="D567" s="23">
        <f t="shared" ca="1" si="68"/>
        <v>19380</v>
      </c>
      <c r="E567" s="23">
        <f t="shared" ca="1" si="69"/>
        <v>0</v>
      </c>
      <c r="F567" s="23">
        <f t="shared" si="74"/>
        <v>168</v>
      </c>
      <c r="G567" s="23">
        <f t="shared" ca="1" si="75"/>
        <v>0</v>
      </c>
      <c r="H567" s="23">
        <f t="shared" ca="1" si="70"/>
        <v>288</v>
      </c>
      <c r="I567" s="23">
        <f t="shared" ca="1" si="71"/>
        <v>19380</v>
      </c>
    </row>
    <row r="568" spans="2:9">
      <c r="B568" s="23">
        <f t="shared" ca="1" si="72"/>
        <v>389</v>
      </c>
      <c r="C568" s="23">
        <f t="shared" ca="1" si="73"/>
        <v>300</v>
      </c>
      <c r="D568" s="23">
        <f t="shared" ca="1" si="68"/>
        <v>21000</v>
      </c>
      <c r="E568" s="23">
        <f t="shared" ca="1" si="69"/>
        <v>89</v>
      </c>
      <c r="F568" s="23">
        <f t="shared" si="74"/>
        <v>168</v>
      </c>
      <c r="G568" s="23">
        <f t="shared" ca="1" si="75"/>
        <v>89</v>
      </c>
      <c r="H568" s="23">
        <f t="shared" ca="1" si="70"/>
        <v>389</v>
      </c>
      <c r="I568" s="23">
        <f t="shared" ca="1" si="71"/>
        <v>24560</v>
      </c>
    </row>
    <row r="569" spans="2:9">
      <c r="B569" s="23">
        <f t="shared" ca="1" si="72"/>
        <v>330</v>
      </c>
      <c r="C569" s="23">
        <f t="shared" ca="1" si="73"/>
        <v>300</v>
      </c>
      <c r="D569" s="23">
        <f t="shared" ca="1" si="68"/>
        <v>21000</v>
      </c>
      <c r="E569" s="23">
        <f t="shared" ca="1" si="69"/>
        <v>30</v>
      </c>
      <c r="F569" s="23">
        <f t="shared" si="74"/>
        <v>168</v>
      </c>
      <c r="G569" s="23">
        <f t="shared" ca="1" si="75"/>
        <v>30</v>
      </c>
      <c r="H569" s="23">
        <f t="shared" ca="1" si="70"/>
        <v>330</v>
      </c>
      <c r="I569" s="23">
        <f t="shared" ca="1" si="71"/>
        <v>22200</v>
      </c>
    </row>
    <row r="570" spans="2:9">
      <c r="B570" s="23">
        <f t="shared" ca="1" si="72"/>
        <v>288</v>
      </c>
      <c r="C570" s="23">
        <f t="shared" ca="1" si="73"/>
        <v>288</v>
      </c>
      <c r="D570" s="23">
        <f t="shared" ca="1" si="68"/>
        <v>19380</v>
      </c>
      <c r="E570" s="23">
        <f t="shared" ca="1" si="69"/>
        <v>0</v>
      </c>
      <c r="F570" s="23">
        <f t="shared" si="74"/>
        <v>168</v>
      </c>
      <c r="G570" s="23">
        <f t="shared" ca="1" si="75"/>
        <v>0</v>
      </c>
      <c r="H570" s="23">
        <f t="shared" ca="1" si="70"/>
        <v>288</v>
      </c>
      <c r="I570" s="23">
        <f t="shared" ca="1" si="71"/>
        <v>19380</v>
      </c>
    </row>
    <row r="571" spans="2:9">
      <c r="B571" s="23">
        <f t="shared" ca="1" si="72"/>
        <v>412</v>
      </c>
      <c r="C571" s="23">
        <f t="shared" ca="1" si="73"/>
        <v>300</v>
      </c>
      <c r="D571" s="23">
        <f t="shared" ca="1" si="68"/>
        <v>21000</v>
      </c>
      <c r="E571" s="23">
        <f t="shared" ca="1" si="69"/>
        <v>112</v>
      </c>
      <c r="F571" s="23">
        <f t="shared" si="74"/>
        <v>168</v>
      </c>
      <c r="G571" s="23">
        <f t="shared" ca="1" si="75"/>
        <v>112</v>
      </c>
      <c r="H571" s="23">
        <f t="shared" ca="1" si="70"/>
        <v>412</v>
      </c>
      <c r="I571" s="23">
        <f t="shared" ca="1" si="71"/>
        <v>25480</v>
      </c>
    </row>
    <row r="572" spans="2:9">
      <c r="B572" s="23">
        <f t="shared" ca="1" si="72"/>
        <v>146</v>
      </c>
      <c r="C572" s="23">
        <f t="shared" ca="1" si="73"/>
        <v>146</v>
      </c>
      <c r="D572" s="23">
        <f t="shared" ca="1" si="68"/>
        <v>210</v>
      </c>
      <c r="E572" s="23">
        <f t="shared" ca="1" si="69"/>
        <v>0</v>
      </c>
      <c r="F572" s="23">
        <f t="shared" si="74"/>
        <v>168</v>
      </c>
      <c r="G572" s="23">
        <f t="shared" ca="1" si="75"/>
        <v>0</v>
      </c>
      <c r="H572" s="23">
        <f t="shared" ca="1" si="70"/>
        <v>146</v>
      </c>
      <c r="I572" s="23">
        <f t="shared" ca="1" si="71"/>
        <v>210</v>
      </c>
    </row>
    <row r="573" spans="2:9">
      <c r="B573" s="23">
        <f t="shared" ca="1" si="72"/>
        <v>284</v>
      </c>
      <c r="C573" s="23">
        <f t="shared" ca="1" si="73"/>
        <v>284</v>
      </c>
      <c r="D573" s="23">
        <f t="shared" ca="1" si="68"/>
        <v>18840</v>
      </c>
      <c r="E573" s="23">
        <f t="shared" ca="1" si="69"/>
        <v>0</v>
      </c>
      <c r="F573" s="23">
        <f t="shared" si="74"/>
        <v>168</v>
      </c>
      <c r="G573" s="23">
        <f t="shared" ca="1" si="75"/>
        <v>0</v>
      </c>
      <c r="H573" s="23">
        <f t="shared" ca="1" si="70"/>
        <v>284</v>
      </c>
      <c r="I573" s="23">
        <f t="shared" ca="1" si="71"/>
        <v>18840</v>
      </c>
    </row>
    <row r="574" spans="2:9">
      <c r="B574" s="23">
        <f t="shared" ca="1" si="72"/>
        <v>193</v>
      </c>
      <c r="C574" s="23">
        <f t="shared" ca="1" si="73"/>
        <v>193</v>
      </c>
      <c r="D574" s="23">
        <f t="shared" ca="1" si="68"/>
        <v>6555</v>
      </c>
      <c r="E574" s="23">
        <f t="shared" ca="1" si="69"/>
        <v>0</v>
      </c>
      <c r="F574" s="23">
        <f t="shared" si="74"/>
        <v>168</v>
      </c>
      <c r="G574" s="23">
        <f t="shared" ca="1" si="75"/>
        <v>0</v>
      </c>
      <c r="H574" s="23">
        <f t="shared" ca="1" si="70"/>
        <v>193</v>
      </c>
      <c r="I574" s="23">
        <f t="shared" ca="1" si="71"/>
        <v>6555</v>
      </c>
    </row>
    <row r="575" spans="2:9">
      <c r="B575" s="23">
        <f t="shared" ca="1" si="72"/>
        <v>361</v>
      </c>
      <c r="C575" s="23">
        <f t="shared" ca="1" si="73"/>
        <v>300</v>
      </c>
      <c r="D575" s="23">
        <f t="shared" ca="1" si="68"/>
        <v>21000</v>
      </c>
      <c r="E575" s="23">
        <f t="shared" ca="1" si="69"/>
        <v>61</v>
      </c>
      <c r="F575" s="23">
        <f t="shared" si="74"/>
        <v>168</v>
      </c>
      <c r="G575" s="23">
        <f t="shared" ca="1" si="75"/>
        <v>61</v>
      </c>
      <c r="H575" s="23">
        <f t="shared" ca="1" si="70"/>
        <v>361</v>
      </c>
      <c r="I575" s="23">
        <f t="shared" ca="1" si="71"/>
        <v>23440</v>
      </c>
    </row>
    <row r="576" spans="2:9">
      <c r="B576" s="23">
        <f t="shared" ca="1" si="72"/>
        <v>282</v>
      </c>
      <c r="C576" s="23">
        <f t="shared" ca="1" si="73"/>
        <v>282</v>
      </c>
      <c r="D576" s="23">
        <f t="shared" ca="1" si="68"/>
        <v>18570</v>
      </c>
      <c r="E576" s="23">
        <f t="shared" ca="1" si="69"/>
        <v>0</v>
      </c>
      <c r="F576" s="23">
        <f t="shared" si="74"/>
        <v>168</v>
      </c>
      <c r="G576" s="23">
        <f t="shared" ca="1" si="75"/>
        <v>0</v>
      </c>
      <c r="H576" s="23">
        <f t="shared" ca="1" si="70"/>
        <v>282</v>
      </c>
      <c r="I576" s="23">
        <f t="shared" ca="1" si="71"/>
        <v>18570</v>
      </c>
    </row>
    <row r="577" spans="2:9">
      <c r="B577" s="23">
        <f t="shared" ca="1" si="72"/>
        <v>362</v>
      </c>
      <c r="C577" s="23">
        <f t="shared" ca="1" si="73"/>
        <v>300</v>
      </c>
      <c r="D577" s="23">
        <f t="shared" ca="1" si="68"/>
        <v>21000</v>
      </c>
      <c r="E577" s="23">
        <f t="shared" ca="1" si="69"/>
        <v>62</v>
      </c>
      <c r="F577" s="23">
        <f t="shared" si="74"/>
        <v>168</v>
      </c>
      <c r="G577" s="23">
        <f t="shared" ca="1" si="75"/>
        <v>62</v>
      </c>
      <c r="H577" s="23">
        <f t="shared" ca="1" si="70"/>
        <v>362</v>
      </c>
      <c r="I577" s="23">
        <f t="shared" ca="1" si="71"/>
        <v>23480</v>
      </c>
    </row>
    <row r="578" spans="2:9">
      <c r="B578" s="23">
        <f t="shared" ca="1" si="72"/>
        <v>436</v>
      </c>
      <c r="C578" s="23">
        <f t="shared" ca="1" si="73"/>
        <v>300</v>
      </c>
      <c r="D578" s="23">
        <f t="shared" ca="1" si="68"/>
        <v>21000</v>
      </c>
      <c r="E578" s="23">
        <f t="shared" ca="1" si="69"/>
        <v>136</v>
      </c>
      <c r="F578" s="23">
        <f t="shared" si="74"/>
        <v>168</v>
      </c>
      <c r="G578" s="23">
        <f t="shared" ca="1" si="75"/>
        <v>136</v>
      </c>
      <c r="H578" s="23">
        <f t="shared" ca="1" si="70"/>
        <v>436</v>
      </c>
      <c r="I578" s="23">
        <f t="shared" ca="1" si="71"/>
        <v>26440</v>
      </c>
    </row>
    <row r="579" spans="2:9">
      <c r="B579" s="23">
        <f t="shared" ca="1" si="72"/>
        <v>269</v>
      </c>
      <c r="C579" s="23">
        <f t="shared" ca="1" si="73"/>
        <v>269</v>
      </c>
      <c r="D579" s="23">
        <f t="shared" ca="1" si="68"/>
        <v>16815</v>
      </c>
      <c r="E579" s="23">
        <f t="shared" ca="1" si="69"/>
        <v>0</v>
      </c>
      <c r="F579" s="23">
        <f t="shared" si="74"/>
        <v>168</v>
      </c>
      <c r="G579" s="23">
        <f t="shared" ca="1" si="75"/>
        <v>0</v>
      </c>
      <c r="H579" s="23">
        <f t="shared" ca="1" si="70"/>
        <v>269</v>
      </c>
      <c r="I579" s="23">
        <f t="shared" ca="1" si="71"/>
        <v>16815</v>
      </c>
    </row>
    <row r="580" spans="2:9">
      <c r="B580" s="23">
        <f t="shared" ca="1" si="72"/>
        <v>348</v>
      </c>
      <c r="C580" s="23">
        <f t="shared" ca="1" si="73"/>
        <v>300</v>
      </c>
      <c r="D580" s="23">
        <f t="shared" ca="1" si="68"/>
        <v>21000</v>
      </c>
      <c r="E580" s="23">
        <f t="shared" ca="1" si="69"/>
        <v>48</v>
      </c>
      <c r="F580" s="23">
        <f t="shared" si="74"/>
        <v>168</v>
      </c>
      <c r="G580" s="23">
        <f t="shared" ca="1" si="75"/>
        <v>48</v>
      </c>
      <c r="H580" s="23">
        <f t="shared" ca="1" si="70"/>
        <v>348</v>
      </c>
      <c r="I580" s="23">
        <f t="shared" ca="1" si="71"/>
        <v>22920</v>
      </c>
    </row>
    <row r="581" spans="2:9">
      <c r="B581" s="23">
        <f t="shared" ca="1" si="72"/>
        <v>296</v>
      </c>
      <c r="C581" s="23">
        <f t="shared" ca="1" si="73"/>
        <v>296</v>
      </c>
      <c r="D581" s="23">
        <f t="shared" ca="1" si="68"/>
        <v>20460</v>
      </c>
      <c r="E581" s="23">
        <f t="shared" ca="1" si="69"/>
        <v>0</v>
      </c>
      <c r="F581" s="23">
        <f t="shared" si="74"/>
        <v>168</v>
      </c>
      <c r="G581" s="23">
        <f t="shared" ca="1" si="75"/>
        <v>0</v>
      </c>
      <c r="H581" s="23">
        <f t="shared" ca="1" si="70"/>
        <v>296</v>
      </c>
      <c r="I581" s="23">
        <f t="shared" ca="1" si="71"/>
        <v>20460</v>
      </c>
    </row>
    <row r="582" spans="2:9">
      <c r="B582" s="23">
        <f t="shared" ca="1" si="72"/>
        <v>403</v>
      </c>
      <c r="C582" s="23">
        <f t="shared" ca="1" si="73"/>
        <v>300</v>
      </c>
      <c r="D582" s="23">
        <f t="shared" ca="1" si="68"/>
        <v>21000</v>
      </c>
      <c r="E582" s="23">
        <f t="shared" ca="1" si="69"/>
        <v>103</v>
      </c>
      <c r="F582" s="23">
        <f t="shared" si="74"/>
        <v>168</v>
      </c>
      <c r="G582" s="23">
        <f t="shared" ca="1" si="75"/>
        <v>103</v>
      </c>
      <c r="H582" s="23">
        <f t="shared" ca="1" si="70"/>
        <v>403</v>
      </c>
      <c r="I582" s="23">
        <f t="shared" ca="1" si="71"/>
        <v>25120</v>
      </c>
    </row>
    <row r="583" spans="2:9">
      <c r="B583" s="23">
        <f t="shared" ca="1" si="72"/>
        <v>267</v>
      </c>
      <c r="C583" s="23">
        <f t="shared" ca="1" si="73"/>
        <v>267</v>
      </c>
      <c r="D583" s="23">
        <f t="shared" ca="1" si="68"/>
        <v>16545</v>
      </c>
      <c r="E583" s="23">
        <f t="shared" ca="1" si="69"/>
        <v>0</v>
      </c>
      <c r="F583" s="23">
        <f t="shared" si="74"/>
        <v>168</v>
      </c>
      <c r="G583" s="23">
        <f t="shared" ca="1" si="75"/>
        <v>0</v>
      </c>
      <c r="H583" s="23">
        <f t="shared" ca="1" si="70"/>
        <v>267</v>
      </c>
      <c r="I583" s="23">
        <f t="shared" ca="1" si="71"/>
        <v>16545</v>
      </c>
    </row>
    <row r="584" spans="2:9">
      <c r="B584" s="23">
        <f t="shared" ca="1" si="72"/>
        <v>238</v>
      </c>
      <c r="C584" s="23">
        <f t="shared" ca="1" si="73"/>
        <v>238</v>
      </c>
      <c r="D584" s="23">
        <f t="shared" ca="1" si="68"/>
        <v>12630</v>
      </c>
      <c r="E584" s="23">
        <f t="shared" ca="1" si="69"/>
        <v>0</v>
      </c>
      <c r="F584" s="23">
        <f t="shared" si="74"/>
        <v>168</v>
      </c>
      <c r="G584" s="23">
        <f t="shared" ca="1" si="75"/>
        <v>0</v>
      </c>
      <c r="H584" s="23">
        <f t="shared" ca="1" si="70"/>
        <v>238</v>
      </c>
      <c r="I584" s="23">
        <f t="shared" ca="1" si="71"/>
        <v>12630</v>
      </c>
    </row>
    <row r="585" spans="2:9">
      <c r="B585" s="23">
        <f t="shared" ca="1" si="72"/>
        <v>149</v>
      </c>
      <c r="C585" s="23">
        <f t="shared" ca="1" si="73"/>
        <v>149</v>
      </c>
      <c r="D585" s="23">
        <f t="shared" ca="1" si="68"/>
        <v>615</v>
      </c>
      <c r="E585" s="23">
        <f t="shared" ca="1" si="69"/>
        <v>0</v>
      </c>
      <c r="F585" s="23">
        <f t="shared" si="74"/>
        <v>168</v>
      </c>
      <c r="G585" s="23">
        <f t="shared" ca="1" si="75"/>
        <v>0</v>
      </c>
      <c r="H585" s="23">
        <f t="shared" ca="1" si="70"/>
        <v>149</v>
      </c>
      <c r="I585" s="23">
        <f t="shared" ca="1" si="71"/>
        <v>615</v>
      </c>
    </row>
    <row r="586" spans="2:9">
      <c r="B586" s="23">
        <f t="shared" ca="1" si="72"/>
        <v>218</v>
      </c>
      <c r="C586" s="23">
        <f t="shared" ca="1" si="73"/>
        <v>218</v>
      </c>
      <c r="D586" s="23">
        <f t="shared" ca="1" si="68"/>
        <v>9930</v>
      </c>
      <c r="E586" s="23">
        <f t="shared" ca="1" si="69"/>
        <v>0</v>
      </c>
      <c r="F586" s="23">
        <f t="shared" si="74"/>
        <v>168</v>
      </c>
      <c r="G586" s="23">
        <f t="shared" ca="1" si="75"/>
        <v>0</v>
      </c>
      <c r="H586" s="23">
        <f t="shared" ca="1" si="70"/>
        <v>218</v>
      </c>
      <c r="I586" s="23">
        <f t="shared" ca="1" si="71"/>
        <v>9930</v>
      </c>
    </row>
    <row r="587" spans="2:9">
      <c r="B587" s="23">
        <f t="shared" ca="1" si="72"/>
        <v>306</v>
      </c>
      <c r="C587" s="23">
        <f t="shared" ca="1" si="73"/>
        <v>300</v>
      </c>
      <c r="D587" s="23">
        <f t="shared" ca="1" si="68"/>
        <v>21000</v>
      </c>
      <c r="E587" s="23">
        <f t="shared" ca="1" si="69"/>
        <v>6</v>
      </c>
      <c r="F587" s="23">
        <f t="shared" si="74"/>
        <v>168</v>
      </c>
      <c r="G587" s="23">
        <f t="shared" ca="1" si="75"/>
        <v>6</v>
      </c>
      <c r="H587" s="23">
        <f t="shared" ca="1" si="70"/>
        <v>306</v>
      </c>
      <c r="I587" s="23">
        <f t="shared" ca="1" si="71"/>
        <v>21240</v>
      </c>
    </row>
    <row r="588" spans="2:9">
      <c r="B588" s="23">
        <f t="shared" ca="1" si="72"/>
        <v>355</v>
      </c>
      <c r="C588" s="23">
        <f t="shared" ca="1" si="73"/>
        <v>300</v>
      </c>
      <c r="D588" s="23">
        <f t="shared" ref="D588:D651" ca="1" si="76">C588*$B$3-$D$8*$B$2</f>
        <v>21000</v>
      </c>
      <c r="E588" s="23">
        <f t="shared" ref="E588:E651" ca="1" si="77">MAX(0, B588-$D$8)</f>
        <v>55</v>
      </c>
      <c r="F588" s="23">
        <f t="shared" si="74"/>
        <v>168</v>
      </c>
      <c r="G588" s="23">
        <f t="shared" ca="1" si="75"/>
        <v>55</v>
      </c>
      <c r="H588" s="23">
        <f t="shared" ref="H588:H651" ca="1" si="78">MIN(B588, $D$8+G588)</f>
        <v>355</v>
      </c>
      <c r="I588" s="23">
        <f t="shared" ref="I588:I651" ca="1" si="79">H588*$B$3-$D$8*$B$2-$B$1*G588</f>
        <v>23200</v>
      </c>
    </row>
    <row r="589" spans="2:9">
      <c r="B589" s="23">
        <f t="shared" ref="B589:B652" ca="1" si="80">_xlfn.FLOOR.MATH(_xlfn.NORM.INV(RAND(),$B$4,$B$5))</f>
        <v>402</v>
      </c>
      <c r="C589" s="23">
        <f t="shared" ref="C589:C652" ca="1" si="81">MIN(B589,$D$8)</f>
        <v>300</v>
      </c>
      <c r="D589" s="23">
        <f t="shared" ca="1" si="76"/>
        <v>21000</v>
      </c>
      <c r="E589" s="23">
        <f t="shared" ca="1" si="77"/>
        <v>102</v>
      </c>
      <c r="F589" s="23">
        <f t="shared" ref="F589:F652" si="82">12*(21-7)</f>
        <v>168</v>
      </c>
      <c r="G589" s="23">
        <f t="shared" ca="1" si="75"/>
        <v>102</v>
      </c>
      <c r="H589" s="23">
        <f t="shared" ca="1" si="78"/>
        <v>402</v>
      </c>
      <c r="I589" s="23">
        <f t="shared" ca="1" si="79"/>
        <v>25080</v>
      </c>
    </row>
    <row r="590" spans="2:9">
      <c r="B590" s="23">
        <f t="shared" ca="1" si="80"/>
        <v>171</v>
      </c>
      <c r="C590" s="23">
        <f t="shared" ca="1" si="81"/>
        <v>171</v>
      </c>
      <c r="D590" s="23">
        <f t="shared" ca="1" si="76"/>
        <v>3585</v>
      </c>
      <c r="E590" s="23">
        <f t="shared" ca="1" si="77"/>
        <v>0</v>
      </c>
      <c r="F590" s="23">
        <f t="shared" si="82"/>
        <v>168</v>
      </c>
      <c r="G590" s="23">
        <f t="shared" ca="1" si="75"/>
        <v>0</v>
      </c>
      <c r="H590" s="23">
        <f t="shared" ca="1" si="78"/>
        <v>171</v>
      </c>
      <c r="I590" s="23">
        <f t="shared" ca="1" si="79"/>
        <v>3585</v>
      </c>
    </row>
    <row r="591" spans="2:9">
      <c r="B591" s="23">
        <f t="shared" ca="1" si="80"/>
        <v>192</v>
      </c>
      <c r="C591" s="23">
        <f t="shared" ca="1" si="81"/>
        <v>192</v>
      </c>
      <c r="D591" s="23">
        <f t="shared" ca="1" si="76"/>
        <v>6420</v>
      </c>
      <c r="E591" s="23">
        <f t="shared" ca="1" si="77"/>
        <v>0</v>
      </c>
      <c r="F591" s="23">
        <f t="shared" si="82"/>
        <v>168</v>
      </c>
      <c r="G591" s="23">
        <f t="shared" ca="1" si="75"/>
        <v>0</v>
      </c>
      <c r="H591" s="23">
        <f t="shared" ca="1" si="78"/>
        <v>192</v>
      </c>
      <c r="I591" s="23">
        <f t="shared" ca="1" si="79"/>
        <v>6420</v>
      </c>
    </row>
    <row r="592" spans="2:9">
      <c r="B592" s="23">
        <f t="shared" ca="1" si="80"/>
        <v>293</v>
      </c>
      <c r="C592" s="23">
        <f t="shared" ca="1" si="81"/>
        <v>293</v>
      </c>
      <c r="D592" s="23">
        <f t="shared" ca="1" si="76"/>
        <v>20055</v>
      </c>
      <c r="E592" s="23">
        <f t="shared" ca="1" si="77"/>
        <v>0</v>
      </c>
      <c r="F592" s="23">
        <f t="shared" si="82"/>
        <v>168</v>
      </c>
      <c r="G592" s="23">
        <f t="shared" ref="G592:G655" ca="1" si="83">MIN(E592,F592)</f>
        <v>0</v>
      </c>
      <c r="H592" s="23">
        <f t="shared" ca="1" si="78"/>
        <v>293</v>
      </c>
      <c r="I592" s="23">
        <f t="shared" ca="1" si="79"/>
        <v>20055</v>
      </c>
    </row>
    <row r="593" spans="2:9">
      <c r="B593" s="23">
        <f t="shared" ca="1" si="80"/>
        <v>311</v>
      </c>
      <c r="C593" s="23">
        <f t="shared" ca="1" si="81"/>
        <v>300</v>
      </c>
      <c r="D593" s="23">
        <f t="shared" ca="1" si="76"/>
        <v>21000</v>
      </c>
      <c r="E593" s="23">
        <f t="shared" ca="1" si="77"/>
        <v>11</v>
      </c>
      <c r="F593" s="23">
        <f t="shared" si="82"/>
        <v>168</v>
      </c>
      <c r="G593" s="23">
        <f t="shared" ca="1" si="83"/>
        <v>11</v>
      </c>
      <c r="H593" s="23">
        <f t="shared" ca="1" si="78"/>
        <v>311</v>
      </c>
      <c r="I593" s="23">
        <f t="shared" ca="1" si="79"/>
        <v>21440</v>
      </c>
    </row>
    <row r="594" spans="2:9">
      <c r="B594" s="23">
        <f t="shared" ca="1" si="80"/>
        <v>209</v>
      </c>
      <c r="C594" s="23">
        <f t="shared" ca="1" si="81"/>
        <v>209</v>
      </c>
      <c r="D594" s="23">
        <f t="shared" ca="1" si="76"/>
        <v>8715</v>
      </c>
      <c r="E594" s="23">
        <f t="shared" ca="1" si="77"/>
        <v>0</v>
      </c>
      <c r="F594" s="23">
        <f t="shared" si="82"/>
        <v>168</v>
      </c>
      <c r="G594" s="23">
        <f t="shared" ca="1" si="83"/>
        <v>0</v>
      </c>
      <c r="H594" s="23">
        <f t="shared" ca="1" si="78"/>
        <v>209</v>
      </c>
      <c r="I594" s="23">
        <f t="shared" ca="1" si="79"/>
        <v>8715</v>
      </c>
    </row>
    <row r="595" spans="2:9">
      <c r="B595" s="23">
        <f t="shared" ca="1" si="80"/>
        <v>248</v>
      </c>
      <c r="C595" s="23">
        <f t="shared" ca="1" si="81"/>
        <v>248</v>
      </c>
      <c r="D595" s="23">
        <f t="shared" ca="1" si="76"/>
        <v>13980</v>
      </c>
      <c r="E595" s="23">
        <f t="shared" ca="1" si="77"/>
        <v>0</v>
      </c>
      <c r="F595" s="23">
        <f t="shared" si="82"/>
        <v>168</v>
      </c>
      <c r="G595" s="23">
        <f t="shared" ca="1" si="83"/>
        <v>0</v>
      </c>
      <c r="H595" s="23">
        <f t="shared" ca="1" si="78"/>
        <v>248</v>
      </c>
      <c r="I595" s="23">
        <f t="shared" ca="1" si="79"/>
        <v>13980</v>
      </c>
    </row>
    <row r="596" spans="2:9">
      <c r="B596" s="23">
        <f t="shared" ca="1" si="80"/>
        <v>98</v>
      </c>
      <c r="C596" s="23">
        <f t="shared" ca="1" si="81"/>
        <v>98</v>
      </c>
      <c r="D596" s="23">
        <f t="shared" ca="1" si="76"/>
        <v>-6270</v>
      </c>
      <c r="E596" s="23">
        <f t="shared" ca="1" si="77"/>
        <v>0</v>
      </c>
      <c r="F596" s="23">
        <f t="shared" si="82"/>
        <v>168</v>
      </c>
      <c r="G596" s="23">
        <f t="shared" ca="1" si="83"/>
        <v>0</v>
      </c>
      <c r="H596" s="23">
        <f t="shared" ca="1" si="78"/>
        <v>98</v>
      </c>
      <c r="I596" s="23">
        <f t="shared" ca="1" si="79"/>
        <v>-6270</v>
      </c>
    </row>
    <row r="597" spans="2:9">
      <c r="B597" s="23">
        <f t="shared" ca="1" si="80"/>
        <v>413</v>
      </c>
      <c r="C597" s="23">
        <f t="shared" ca="1" si="81"/>
        <v>300</v>
      </c>
      <c r="D597" s="23">
        <f t="shared" ca="1" si="76"/>
        <v>21000</v>
      </c>
      <c r="E597" s="23">
        <f t="shared" ca="1" si="77"/>
        <v>113</v>
      </c>
      <c r="F597" s="23">
        <f t="shared" si="82"/>
        <v>168</v>
      </c>
      <c r="G597" s="23">
        <f t="shared" ca="1" si="83"/>
        <v>113</v>
      </c>
      <c r="H597" s="23">
        <f t="shared" ca="1" si="78"/>
        <v>413</v>
      </c>
      <c r="I597" s="23">
        <f t="shared" ca="1" si="79"/>
        <v>25520</v>
      </c>
    </row>
    <row r="598" spans="2:9">
      <c r="B598" s="23">
        <f t="shared" ca="1" si="80"/>
        <v>195</v>
      </c>
      <c r="C598" s="23">
        <f t="shared" ca="1" si="81"/>
        <v>195</v>
      </c>
      <c r="D598" s="23">
        <f t="shared" ca="1" si="76"/>
        <v>6825</v>
      </c>
      <c r="E598" s="23">
        <f t="shared" ca="1" si="77"/>
        <v>0</v>
      </c>
      <c r="F598" s="23">
        <f t="shared" si="82"/>
        <v>168</v>
      </c>
      <c r="G598" s="23">
        <f t="shared" ca="1" si="83"/>
        <v>0</v>
      </c>
      <c r="H598" s="23">
        <f t="shared" ca="1" si="78"/>
        <v>195</v>
      </c>
      <c r="I598" s="23">
        <f t="shared" ca="1" si="79"/>
        <v>6825</v>
      </c>
    </row>
    <row r="599" spans="2:9">
      <c r="B599" s="23">
        <f t="shared" ca="1" si="80"/>
        <v>248</v>
      </c>
      <c r="C599" s="23">
        <f t="shared" ca="1" si="81"/>
        <v>248</v>
      </c>
      <c r="D599" s="23">
        <f t="shared" ca="1" si="76"/>
        <v>13980</v>
      </c>
      <c r="E599" s="23">
        <f t="shared" ca="1" si="77"/>
        <v>0</v>
      </c>
      <c r="F599" s="23">
        <f t="shared" si="82"/>
        <v>168</v>
      </c>
      <c r="G599" s="23">
        <f t="shared" ca="1" si="83"/>
        <v>0</v>
      </c>
      <c r="H599" s="23">
        <f t="shared" ca="1" si="78"/>
        <v>248</v>
      </c>
      <c r="I599" s="23">
        <f t="shared" ca="1" si="79"/>
        <v>13980</v>
      </c>
    </row>
    <row r="600" spans="2:9">
      <c r="B600" s="23">
        <f t="shared" ca="1" si="80"/>
        <v>308</v>
      </c>
      <c r="C600" s="23">
        <f t="shared" ca="1" si="81"/>
        <v>300</v>
      </c>
      <c r="D600" s="23">
        <f t="shared" ca="1" si="76"/>
        <v>21000</v>
      </c>
      <c r="E600" s="23">
        <f t="shared" ca="1" si="77"/>
        <v>8</v>
      </c>
      <c r="F600" s="23">
        <f t="shared" si="82"/>
        <v>168</v>
      </c>
      <c r="G600" s="23">
        <f t="shared" ca="1" si="83"/>
        <v>8</v>
      </c>
      <c r="H600" s="23">
        <f t="shared" ca="1" si="78"/>
        <v>308</v>
      </c>
      <c r="I600" s="23">
        <f t="shared" ca="1" si="79"/>
        <v>21320</v>
      </c>
    </row>
    <row r="601" spans="2:9">
      <c r="B601" s="23">
        <f t="shared" ca="1" si="80"/>
        <v>191</v>
      </c>
      <c r="C601" s="23">
        <f t="shared" ca="1" si="81"/>
        <v>191</v>
      </c>
      <c r="D601" s="23">
        <f t="shared" ca="1" si="76"/>
        <v>6285</v>
      </c>
      <c r="E601" s="23">
        <f t="shared" ca="1" si="77"/>
        <v>0</v>
      </c>
      <c r="F601" s="23">
        <f t="shared" si="82"/>
        <v>168</v>
      </c>
      <c r="G601" s="23">
        <f t="shared" ca="1" si="83"/>
        <v>0</v>
      </c>
      <c r="H601" s="23">
        <f t="shared" ca="1" si="78"/>
        <v>191</v>
      </c>
      <c r="I601" s="23">
        <f t="shared" ca="1" si="79"/>
        <v>6285</v>
      </c>
    </row>
    <row r="602" spans="2:9">
      <c r="B602" s="23">
        <f t="shared" ca="1" si="80"/>
        <v>184</v>
      </c>
      <c r="C602" s="23">
        <f t="shared" ca="1" si="81"/>
        <v>184</v>
      </c>
      <c r="D602" s="23">
        <f t="shared" ca="1" si="76"/>
        <v>5340</v>
      </c>
      <c r="E602" s="23">
        <f t="shared" ca="1" si="77"/>
        <v>0</v>
      </c>
      <c r="F602" s="23">
        <f t="shared" si="82"/>
        <v>168</v>
      </c>
      <c r="G602" s="23">
        <f t="shared" ca="1" si="83"/>
        <v>0</v>
      </c>
      <c r="H602" s="23">
        <f t="shared" ca="1" si="78"/>
        <v>184</v>
      </c>
      <c r="I602" s="23">
        <f t="shared" ca="1" si="79"/>
        <v>5340</v>
      </c>
    </row>
    <row r="603" spans="2:9">
      <c r="B603" s="23">
        <f t="shared" ca="1" si="80"/>
        <v>371</v>
      </c>
      <c r="C603" s="23">
        <f t="shared" ca="1" si="81"/>
        <v>300</v>
      </c>
      <c r="D603" s="23">
        <f t="shared" ca="1" si="76"/>
        <v>21000</v>
      </c>
      <c r="E603" s="23">
        <f t="shared" ca="1" si="77"/>
        <v>71</v>
      </c>
      <c r="F603" s="23">
        <f t="shared" si="82"/>
        <v>168</v>
      </c>
      <c r="G603" s="23">
        <f t="shared" ca="1" si="83"/>
        <v>71</v>
      </c>
      <c r="H603" s="23">
        <f t="shared" ca="1" si="78"/>
        <v>371</v>
      </c>
      <c r="I603" s="23">
        <f t="shared" ca="1" si="79"/>
        <v>23840</v>
      </c>
    </row>
    <row r="604" spans="2:9">
      <c r="B604" s="23">
        <f t="shared" ca="1" si="80"/>
        <v>238</v>
      </c>
      <c r="C604" s="23">
        <f t="shared" ca="1" si="81"/>
        <v>238</v>
      </c>
      <c r="D604" s="23">
        <f t="shared" ca="1" si="76"/>
        <v>12630</v>
      </c>
      <c r="E604" s="23">
        <f t="shared" ca="1" si="77"/>
        <v>0</v>
      </c>
      <c r="F604" s="23">
        <f t="shared" si="82"/>
        <v>168</v>
      </c>
      <c r="G604" s="23">
        <f t="shared" ca="1" si="83"/>
        <v>0</v>
      </c>
      <c r="H604" s="23">
        <f t="shared" ca="1" si="78"/>
        <v>238</v>
      </c>
      <c r="I604" s="23">
        <f t="shared" ca="1" si="79"/>
        <v>12630</v>
      </c>
    </row>
    <row r="605" spans="2:9">
      <c r="B605" s="23">
        <f t="shared" ca="1" si="80"/>
        <v>224</v>
      </c>
      <c r="C605" s="23">
        <f t="shared" ca="1" si="81"/>
        <v>224</v>
      </c>
      <c r="D605" s="23">
        <f t="shared" ca="1" si="76"/>
        <v>10740</v>
      </c>
      <c r="E605" s="23">
        <f t="shared" ca="1" si="77"/>
        <v>0</v>
      </c>
      <c r="F605" s="23">
        <f t="shared" si="82"/>
        <v>168</v>
      </c>
      <c r="G605" s="23">
        <f t="shared" ca="1" si="83"/>
        <v>0</v>
      </c>
      <c r="H605" s="23">
        <f t="shared" ca="1" si="78"/>
        <v>224</v>
      </c>
      <c r="I605" s="23">
        <f t="shared" ca="1" si="79"/>
        <v>10740</v>
      </c>
    </row>
    <row r="606" spans="2:9">
      <c r="B606" s="23">
        <f t="shared" ca="1" si="80"/>
        <v>156</v>
      </c>
      <c r="C606" s="23">
        <f t="shared" ca="1" si="81"/>
        <v>156</v>
      </c>
      <c r="D606" s="23">
        <f t="shared" ca="1" si="76"/>
        <v>1560</v>
      </c>
      <c r="E606" s="23">
        <f t="shared" ca="1" si="77"/>
        <v>0</v>
      </c>
      <c r="F606" s="23">
        <f t="shared" si="82"/>
        <v>168</v>
      </c>
      <c r="G606" s="23">
        <f t="shared" ca="1" si="83"/>
        <v>0</v>
      </c>
      <c r="H606" s="23">
        <f t="shared" ca="1" si="78"/>
        <v>156</v>
      </c>
      <c r="I606" s="23">
        <f t="shared" ca="1" si="79"/>
        <v>1560</v>
      </c>
    </row>
    <row r="607" spans="2:9">
      <c r="B607" s="23">
        <f t="shared" ca="1" si="80"/>
        <v>302</v>
      </c>
      <c r="C607" s="23">
        <f t="shared" ca="1" si="81"/>
        <v>300</v>
      </c>
      <c r="D607" s="23">
        <f t="shared" ca="1" si="76"/>
        <v>21000</v>
      </c>
      <c r="E607" s="23">
        <f t="shared" ca="1" si="77"/>
        <v>2</v>
      </c>
      <c r="F607" s="23">
        <f t="shared" si="82"/>
        <v>168</v>
      </c>
      <c r="G607" s="23">
        <f t="shared" ca="1" si="83"/>
        <v>2</v>
      </c>
      <c r="H607" s="23">
        <f t="shared" ca="1" si="78"/>
        <v>302</v>
      </c>
      <c r="I607" s="23">
        <f t="shared" ca="1" si="79"/>
        <v>21080</v>
      </c>
    </row>
    <row r="608" spans="2:9">
      <c r="B608" s="23">
        <f t="shared" ca="1" si="80"/>
        <v>289</v>
      </c>
      <c r="C608" s="23">
        <f t="shared" ca="1" si="81"/>
        <v>289</v>
      </c>
      <c r="D608" s="23">
        <f t="shared" ca="1" si="76"/>
        <v>19515</v>
      </c>
      <c r="E608" s="23">
        <f t="shared" ca="1" si="77"/>
        <v>0</v>
      </c>
      <c r="F608" s="23">
        <f t="shared" si="82"/>
        <v>168</v>
      </c>
      <c r="G608" s="23">
        <f t="shared" ca="1" si="83"/>
        <v>0</v>
      </c>
      <c r="H608" s="23">
        <f t="shared" ca="1" si="78"/>
        <v>289</v>
      </c>
      <c r="I608" s="23">
        <f t="shared" ca="1" si="79"/>
        <v>19515</v>
      </c>
    </row>
    <row r="609" spans="2:9">
      <c r="B609" s="23">
        <f t="shared" ca="1" si="80"/>
        <v>330</v>
      </c>
      <c r="C609" s="23">
        <f t="shared" ca="1" si="81"/>
        <v>300</v>
      </c>
      <c r="D609" s="23">
        <f t="shared" ca="1" si="76"/>
        <v>21000</v>
      </c>
      <c r="E609" s="23">
        <f t="shared" ca="1" si="77"/>
        <v>30</v>
      </c>
      <c r="F609" s="23">
        <f t="shared" si="82"/>
        <v>168</v>
      </c>
      <c r="G609" s="23">
        <f t="shared" ca="1" si="83"/>
        <v>30</v>
      </c>
      <c r="H609" s="23">
        <f t="shared" ca="1" si="78"/>
        <v>330</v>
      </c>
      <c r="I609" s="23">
        <f t="shared" ca="1" si="79"/>
        <v>22200</v>
      </c>
    </row>
    <row r="610" spans="2:9">
      <c r="B610" s="23">
        <f t="shared" ca="1" si="80"/>
        <v>189</v>
      </c>
      <c r="C610" s="23">
        <f t="shared" ca="1" si="81"/>
        <v>189</v>
      </c>
      <c r="D610" s="23">
        <f t="shared" ca="1" si="76"/>
        <v>6015</v>
      </c>
      <c r="E610" s="23">
        <f t="shared" ca="1" si="77"/>
        <v>0</v>
      </c>
      <c r="F610" s="23">
        <f t="shared" si="82"/>
        <v>168</v>
      </c>
      <c r="G610" s="23">
        <f t="shared" ca="1" si="83"/>
        <v>0</v>
      </c>
      <c r="H610" s="23">
        <f t="shared" ca="1" si="78"/>
        <v>189</v>
      </c>
      <c r="I610" s="23">
        <f t="shared" ca="1" si="79"/>
        <v>6015</v>
      </c>
    </row>
    <row r="611" spans="2:9">
      <c r="B611" s="23">
        <f t="shared" ca="1" si="80"/>
        <v>332</v>
      </c>
      <c r="C611" s="23">
        <f t="shared" ca="1" si="81"/>
        <v>300</v>
      </c>
      <c r="D611" s="23">
        <f t="shared" ca="1" si="76"/>
        <v>21000</v>
      </c>
      <c r="E611" s="23">
        <f t="shared" ca="1" si="77"/>
        <v>32</v>
      </c>
      <c r="F611" s="23">
        <f t="shared" si="82"/>
        <v>168</v>
      </c>
      <c r="G611" s="23">
        <f t="shared" ca="1" si="83"/>
        <v>32</v>
      </c>
      <c r="H611" s="23">
        <f t="shared" ca="1" si="78"/>
        <v>332</v>
      </c>
      <c r="I611" s="23">
        <f t="shared" ca="1" si="79"/>
        <v>22280</v>
      </c>
    </row>
    <row r="612" spans="2:9">
      <c r="B612" s="23">
        <f t="shared" ca="1" si="80"/>
        <v>324</v>
      </c>
      <c r="C612" s="23">
        <f t="shared" ca="1" si="81"/>
        <v>300</v>
      </c>
      <c r="D612" s="23">
        <f t="shared" ca="1" si="76"/>
        <v>21000</v>
      </c>
      <c r="E612" s="23">
        <f t="shared" ca="1" si="77"/>
        <v>24</v>
      </c>
      <c r="F612" s="23">
        <f t="shared" si="82"/>
        <v>168</v>
      </c>
      <c r="G612" s="23">
        <f t="shared" ca="1" si="83"/>
        <v>24</v>
      </c>
      <c r="H612" s="23">
        <f t="shared" ca="1" si="78"/>
        <v>324</v>
      </c>
      <c r="I612" s="23">
        <f t="shared" ca="1" si="79"/>
        <v>21960</v>
      </c>
    </row>
    <row r="613" spans="2:9">
      <c r="B613" s="23">
        <f t="shared" ca="1" si="80"/>
        <v>333</v>
      </c>
      <c r="C613" s="23">
        <f t="shared" ca="1" si="81"/>
        <v>300</v>
      </c>
      <c r="D613" s="23">
        <f t="shared" ca="1" si="76"/>
        <v>21000</v>
      </c>
      <c r="E613" s="23">
        <f t="shared" ca="1" si="77"/>
        <v>33</v>
      </c>
      <c r="F613" s="23">
        <f t="shared" si="82"/>
        <v>168</v>
      </c>
      <c r="G613" s="23">
        <f t="shared" ca="1" si="83"/>
        <v>33</v>
      </c>
      <c r="H613" s="23">
        <f t="shared" ca="1" si="78"/>
        <v>333</v>
      </c>
      <c r="I613" s="23">
        <f t="shared" ca="1" si="79"/>
        <v>22320</v>
      </c>
    </row>
    <row r="614" spans="2:9">
      <c r="B614" s="23">
        <f t="shared" ca="1" si="80"/>
        <v>389</v>
      </c>
      <c r="C614" s="23">
        <f t="shared" ca="1" si="81"/>
        <v>300</v>
      </c>
      <c r="D614" s="23">
        <f t="shared" ca="1" si="76"/>
        <v>21000</v>
      </c>
      <c r="E614" s="23">
        <f t="shared" ca="1" si="77"/>
        <v>89</v>
      </c>
      <c r="F614" s="23">
        <f t="shared" si="82"/>
        <v>168</v>
      </c>
      <c r="G614" s="23">
        <f t="shared" ca="1" si="83"/>
        <v>89</v>
      </c>
      <c r="H614" s="23">
        <f t="shared" ca="1" si="78"/>
        <v>389</v>
      </c>
      <c r="I614" s="23">
        <f t="shared" ca="1" si="79"/>
        <v>24560</v>
      </c>
    </row>
    <row r="615" spans="2:9">
      <c r="B615" s="23">
        <f t="shared" ca="1" si="80"/>
        <v>204</v>
      </c>
      <c r="C615" s="23">
        <f t="shared" ca="1" si="81"/>
        <v>204</v>
      </c>
      <c r="D615" s="23">
        <f t="shared" ca="1" si="76"/>
        <v>8040</v>
      </c>
      <c r="E615" s="23">
        <f t="shared" ca="1" si="77"/>
        <v>0</v>
      </c>
      <c r="F615" s="23">
        <f t="shared" si="82"/>
        <v>168</v>
      </c>
      <c r="G615" s="23">
        <f t="shared" ca="1" si="83"/>
        <v>0</v>
      </c>
      <c r="H615" s="23">
        <f t="shared" ca="1" si="78"/>
        <v>204</v>
      </c>
      <c r="I615" s="23">
        <f t="shared" ca="1" si="79"/>
        <v>8040</v>
      </c>
    </row>
    <row r="616" spans="2:9">
      <c r="B616" s="23">
        <f t="shared" ca="1" si="80"/>
        <v>260</v>
      </c>
      <c r="C616" s="23">
        <f t="shared" ca="1" si="81"/>
        <v>260</v>
      </c>
      <c r="D616" s="23">
        <f t="shared" ca="1" si="76"/>
        <v>15600</v>
      </c>
      <c r="E616" s="23">
        <f t="shared" ca="1" si="77"/>
        <v>0</v>
      </c>
      <c r="F616" s="23">
        <f t="shared" si="82"/>
        <v>168</v>
      </c>
      <c r="G616" s="23">
        <f t="shared" ca="1" si="83"/>
        <v>0</v>
      </c>
      <c r="H616" s="23">
        <f t="shared" ca="1" si="78"/>
        <v>260</v>
      </c>
      <c r="I616" s="23">
        <f t="shared" ca="1" si="79"/>
        <v>15600</v>
      </c>
    </row>
    <row r="617" spans="2:9">
      <c r="B617" s="23">
        <f t="shared" ca="1" si="80"/>
        <v>166</v>
      </c>
      <c r="C617" s="23">
        <f t="shared" ca="1" si="81"/>
        <v>166</v>
      </c>
      <c r="D617" s="23">
        <f t="shared" ca="1" si="76"/>
        <v>2910</v>
      </c>
      <c r="E617" s="23">
        <f t="shared" ca="1" si="77"/>
        <v>0</v>
      </c>
      <c r="F617" s="23">
        <f t="shared" si="82"/>
        <v>168</v>
      </c>
      <c r="G617" s="23">
        <f t="shared" ca="1" si="83"/>
        <v>0</v>
      </c>
      <c r="H617" s="23">
        <f t="shared" ca="1" si="78"/>
        <v>166</v>
      </c>
      <c r="I617" s="23">
        <f t="shared" ca="1" si="79"/>
        <v>2910</v>
      </c>
    </row>
    <row r="618" spans="2:9">
      <c r="B618" s="23">
        <f t="shared" ca="1" si="80"/>
        <v>147</v>
      </c>
      <c r="C618" s="23">
        <f t="shared" ca="1" si="81"/>
        <v>147</v>
      </c>
      <c r="D618" s="23">
        <f t="shared" ca="1" si="76"/>
        <v>345</v>
      </c>
      <c r="E618" s="23">
        <f t="shared" ca="1" si="77"/>
        <v>0</v>
      </c>
      <c r="F618" s="23">
        <f t="shared" si="82"/>
        <v>168</v>
      </c>
      <c r="G618" s="23">
        <f t="shared" ca="1" si="83"/>
        <v>0</v>
      </c>
      <c r="H618" s="23">
        <f t="shared" ca="1" si="78"/>
        <v>147</v>
      </c>
      <c r="I618" s="23">
        <f t="shared" ca="1" si="79"/>
        <v>345</v>
      </c>
    </row>
    <row r="619" spans="2:9">
      <c r="B619" s="23">
        <f t="shared" ca="1" si="80"/>
        <v>286</v>
      </c>
      <c r="C619" s="23">
        <f t="shared" ca="1" si="81"/>
        <v>286</v>
      </c>
      <c r="D619" s="23">
        <f t="shared" ca="1" si="76"/>
        <v>19110</v>
      </c>
      <c r="E619" s="23">
        <f t="shared" ca="1" si="77"/>
        <v>0</v>
      </c>
      <c r="F619" s="23">
        <f t="shared" si="82"/>
        <v>168</v>
      </c>
      <c r="G619" s="23">
        <f t="shared" ca="1" si="83"/>
        <v>0</v>
      </c>
      <c r="H619" s="23">
        <f t="shared" ca="1" si="78"/>
        <v>286</v>
      </c>
      <c r="I619" s="23">
        <f t="shared" ca="1" si="79"/>
        <v>19110</v>
      </c>
    </row>
    <row r="620" spans="2:9">
      <c r="B620" s="23">
        <f t="shared" ca="1" si="80"/>
        <v>211</v>
      </c>
      <c r="C620" s="23">
        <f t="shared" ca="1" si="81"/>
        <v>211</v>
      </c>
      <c r="D620" s="23">
        <f t="shared" ca="1" si="76"/>
        <v>8985</v>
      </c>
      <c r="E620" s="23">
        <f t="shared" ca="1" si="77"/>
        <v>0</v>
      </c>
      <c r="F620" s="23">
        <f t="shared" si="82"/>
        <v>168</v>
      </c>
      <c r="G620" s="23">
        <f t="shared" ca="1" si="83"/>
        <v>0</v>
      </c>
      <c r="H620" s="23">
        <f t="shared" ca="1" si="78"/>
        <v>211</v>
      </c>
      <c r="I620" s="23">
        <f t="shared" ca="1" si="79"/>
        <v>8985</v>
      </c>
    </row>
    <row r="621" spans="2:9">
      <c r="B621" s="23">
        <f t="shared" ca="1" si="80"/>
        <v>250</v>
      </c>
      <c r="C621" s="23">
        <f t="shared" ca="1" si="81"/>
        <v>250</v>
      </c>
      <c r="D621" s="23">
        <f t="shared" ca="1" si="76"/>
        <v>14250</v>
      </c>
      <c r="E621" s="23">
        <f t="shared" ca="1" si="77"/>
        <v>0</v>
      </c>
      <c r="F621" s="23">
        <f t="shared" si="82"/>
        <v>168</v>
      </c>
      <c r="G621" s="23">
        <f t="shared" ca="1" si="83"/>
        <v>0</v>
      </c>
      <c r="H621" s="23">
        <f t="shared" ca="1" si="78"/>
        <v>250</v>
      </c>
      <c r="I621" s="23">
        <f t="shared" ca="1" si="79"/>
        <v>14250</v>
      </c>
    </row>
    <row r="622" spans="2:9">
      <c r="B622" s="23">
        <f t="shared" ca="1" si="80"/>
        <v>147</v>
      </c>
      <c r="C622" s="23">
        <f t="shared" ca="1" si="81"/>
        <v>147</v>
      </c>
      <c r="D622" s="23">
        <f t="shared" ca="1" si="76"/>
        <v>345</v>
      </c>
      <c r="E622" s="23">
        <f t="shared" ca="1" si="77"/>
        <v>0</v>
      </c>
      <c r="F622" s="23">
        <f t="shared" si="82"/>
        <v>168</v>
      </c>
      <c r="G622" s="23">
        <f t="shared" ca="1" si="83"/>
        <v>0</v>
      </c>
      <c r="H622" s="23">
        <f t="shared" ca="1" si="78"/>
        <v>147</v>
      </c>
      <c r="I622" s="23">
        <f t="shared" ca="1" si="79"/>
        <v>345</v>
      </c>
    </row>
    <row r="623" spans="2:9">
      <c r="B623" s="23">
        <f t="shared" ca="1" si="80"/>
        <v>299</v>
      </c>
      <c r="C623" s="23">
        <f t="shared" ca="1" si="81"/>
        <v>299</v>
      </c>
      <c r="D623" s="23">
        <f t="shared" ca="1" si="76"/>
        <v>20865</v>
      </c>
      <c r="E623" s="23">
        <f t="shared" ca="1" si="77"/>
        <v>0</v>
      </c>
      <c r="F623" s="23">
        <f t="shared" si="82"/>
        <v>168</v>
      </c>
      <c r="G623" s="23">
        <f t="shared" ca="1" si="83"/>
        <v>0</v>
      </c>
      <c r="H623" s="23">
        <f t="shared" ca="1" si="78"/>
        <v>299</v>
      </c>
      <c r="I623" s="23">
        <f t="shared" ca="1" si="79"/>
        <v>20865</v>
      </c>
    </row>
    <row r="624" spans="2:9">
      <c r="B624" s="23">
        <f t="shared" ca="1" si="80"/>
        <v>298</v>
      </c>
      <c r="C624" s="23">
        <f t="shared" ca="1" si="81"/>
        <v>298</v>
      </c>
      <c r="D624" s="23">
        <f t="shared" ca="1" si="76"/>
        <v>20730</v>
      </c>
      <c r="E624" s="23">
        <f t="shared" ca="1" si="77"/>
        <v>0</v>
      </c>
      <c r="F624" s="23">
        <f t="shared" si="82"/>
        <v>168</v>
      </c>
      <c r="G624" s="23">
        <f t="shared" ca="1" si="83"/>
        <v>0</v>
      </c>
      <c r="H624" s="23">
        <f t="shared" ca="1" si="78"/>
        <v>298</v>
      </c>
      <c r="I624" s="23">
        <f t="shared" ca="1" si="79"/>
        <v>20730</v>
      </c>
    </row>
    <row r="625" spans="2:9">
      <c r="B625" s="23">
        <f t="shared" ca="1" si="80"/>
        <v>235</v>
      </c>
      <c r="C625" s="23">
        <f t="shared" ca="1" si="81"/>
        <v>235</v>
      </c>
      <c r="D625" s="23">
        <f t="shared" ca="1" si="76"/>
        <v>12225</v>
      </c>
      <c r="E625" s="23">
        <f t="shared" ca="1" si="77"/>
        <v>0</v>
      </c>
      <c r="F625" s="23">
        <f t="shared" si="82"/>
        <v>168</v>
      </c>
      <c r="G625" s="23">
        <f t="shared" ca="1" si="83"/>
        <v>0</v>
      </c>
      <c r="H625" s="23">
        <f t="shared" ca="1" si="78"/>
        <v>235</v>
      </c>
      <c r="I625" s="23">
        <f t="shared" ca="1" si="79"/>
        <v>12225</v>
      </c>
    </row>
    <row r="626" spans="2:9">
      <c r="B626" s="23">
        <f t="shared" ca="1" si="80"/>
        <v>516</v>
      </c>
      <c r="C626" s="23">
        <f t="shared" ca="1" si="81"/>
        <v>300</v>
      </c>
      <c r="D626" s="23">
        <f t="shared" ca="1" si="76"/>
        <v>21000</v>
      </c>
      <c r="E626" s="23">
        <f t="shared" ca="1" si="77"/>
        <v>216</v>
      </c>
      <c r="F626" s="23">
        <f t="shared" si="82"/>
        <v>168</v>
      </c>
      <c r="G626" s="23">
        <f t="shared" ca="1" si="83"/>
        <v>168</v>
      </c>
      <c r="H626" s="23">
        <f t="shared" ca="1" si="78"/>
        <v>468</v>
      </c>
      <c r="I626" s="23">
        <f t="shared" ca="1" si="79"/>
        <v>27720</v>
      </c>
    </row>
    <row r="627" spans="2:9">
      <c r="B627" s="23">
        <f t="shared" ca="1" si="80"/>
        <v>154</v>
      </c>
      <c r="C627" s="23">
        <f t="shared" ca="1" si="81"/>
        <v>154</v>
      </c>
      <c r="D627" s="23">
        <f t="shared" ca="1" si="76"/>
        <v>1290</v>
      </c>
      <c r="E627" s="23">
        <f t="shared" ca="1" si="77"/>
        <v>0</v>
      </c>
      <c r="F627" s="23">
        <f t="shared" si="82"/>
        <v>168</v>
      </c>
      <c r="G627" s="23">
        <f t="shared" ca="1" si="83"/>
        <v>0</v>
      </c>
      <c r="H627" s="23">
        <f t="shared" ca="1" si="78"/>
        <v>154</v>
      </c>
      <c r="I627" s="23">
        <f t="shared" ca="1" si="79"/>
        <v>1290</v>
      </c>
    </row>
    <row r="628" spans="2:9">
      <c r="B628" s="23">
        <f t="shared" ca="1" si="80"/>
        <v>288</v>
      </c>
      <c r="C628" s="23">
        <f t="shared" ca="1" si="81"/>
        <v>288</v>
      </c>
      <c r="D628" s="23">
        <f t="shared" ca="1" si="76"/>
        <v>19380</v>
      </c>
      <c r="E628" s="23">
        <f t="shared" ca="1" si="77"/>
        <v>0</v>
      </c>
      <c r="F628" s="23">
        <f t="shared" si="82"/>
        <v>168</v>
      </c>
      <c r="G628" s="23">
        <f t="shared" ca="1" si="83"/>
        <v>0</v>
      </c>
      <c r="H628" s="23">
        <f t="shared" ca="1" si="78"/>
        <v>288</v>
      </c>
      <c r="I628" s="23">
        <f t="shared" ca="1" si="79"/>
        <v>19380</v>
      </c>
    </row>
    <row r="629" spans="2:9">
      <c r="B629" s="23">
        <f t="shared" ca="1" si="80"/>
        <v>351</v>
      </c>
      <c r="C629" s="23">
        <f t="shared" ca="1" si="81"/>
        <v>300</v>
      </c>
      <c r="D629" s="23">
        <f t="shared" ca="1" si="76"/>
        <v>21000</v>
      </c>
      <c r="E629" s="23">
        <f t="shared" ca="1" si="77"/>
        <v>51</v>
      </c>
      <c r="F629" s="23">
        <f t="shared" si="82"/>
        <v>168</v>
      </c>
      <c r="G629" s="23">
        <f t="shared" ca="1" si="83"/>
        <v>51</v>
      </c>
      <c r="H629" s="23">
        <f t="shared" ca="1" si="78"/>
        <v>351</v>
      </c>
      <c r="I629" s="23">
        <f t="shared" ca="1" si="79"/>
        <v>23040</v>
      </c>
    </row>
    <row r="630" spans="2:9">
      <c r="B630" s="23">
        <f t="shared" ca="1" si="80"/>
        <v>309</v>
      </c>
      <c r="C630" s="23">
        <f t="shared" ca="1" si="81"/>
        <v>300</v>
      </c>
      <c r="D630" s="23">
        <f t="shared" ca="1" si="76"/>
        <v>21000</v>
      </c>
      <c r="E630" s="23">
        <f t="shared" ca="1" si="77"/>
        <v>9</v>
      </c>
      <c r="F630" s="23">
        <f t="shared" si="82"/>
        <v>168</v>
      </c>
      <c r="G630" s="23">
        <f t="shared" ca="1" si="83"/>
        <v>9</v>
      </c>
      <c r="H630" s="23">
        <f t="shared" ca="1" si="78"/>
        <v>309</v>
      </c>
      <c r="I630" s="23">
        <f t="shared" ca="1" si="79"/>
        <v>21360</v>
      </c>
    </row>
    <row r="631" spans="2:9">
      <c r="B631" s="23">
        <f t="shared" ca="1" si="80"/>
        <v>300</v>
      </c>
      <c r="C631" s="23">
        <f t="shared" ca="1" si="81"/>
        <v>300</v>
      </c>
      <c r="D631" s="23">
        <f t="shared" ca="1" si="76"/>
        <v>21000</v>
      </c>
      <c r="E631" s="23">
        <f t="shared" ca="1" si="77"/>
        <v>0</v>
      </c>
      <c r="F631" s="23">
        <f t="shared" si="82"/>
        <v>168</v>
      </c>
      <c r="G631" s="23">
        <f t="shared" ca="1" si="83"/>
        <v>0</v>
      </c>
      <c r="H631" s="23">
        <f t="shared" ca="1" si="78"/>
        <v>300</v>
      </c>
      <c r="I631" s="23">
        <f t="shared" ca="1" si="79"/>
        <v>21000</v>
      </c>
    </row>
    <row r="632" spans="2:9">
      <c r="B632" s="23">
        <f t="shared" ca="1" si="80"/>
        <v>292</v>
      </c>
      <c r="C632" s="23">
        <f t="shared" ca="1" si="81"/>
        <v>292</v>
      </c>
      <c r="D632" s="23">
        <f t="shared" ca="1" si="76"/>
        <v>19920</v>
      </c>
      <c r="E632" s="23">
        <f t="shared" ca="1" si="77"/>
        <v>0</v>
      </c>
      <c r="F632" s="23">
        <f t="shared" si="82"/>
        <v>168</v>
      </c>
      <c r="G632" s="23">
        <f t="shared" ca="1" si="83"/>
        <v>0</v>
      </c>
      <c r="H632" s="23">
        <f t="shared" ca="1" si="78"/>
        <v>292</v>
      </c>
      <c r="I632" s="23">
        <f t="shared" ca="1" si="79"/>
        <v>19920</v>
      </c>
    </row>
    <row r="633" spans="2:9">
      <c r="B633" s="23">
        <f t="shared" ca="1" si="80"/>
        <v>159</v>
      </c>
      <c r="C633" s="23">
        <f t="shared" ca="1" si="81"/>
        <v>159</v>
      </c>
      <c r="D633" s="23">
        <f t="shared" ca="1" si="76"/>
        <v>1965</v>
      </c>
      <c r="E633" s="23">
        <f t="shared" ca="1" si="77"/>
        <v>0</v>
      </c>
      <c r="F633" s="23">
        <f t="shared" si="82"/>
        <v>168</v>
      </c>
      <c r="G633" s="23">
        <f t="shared" ca="1" si="83"/>
        <v>0</v>
      </c>
      <c r="H633" s="23">
        <f t="shared" ca="1" si="78"/>
        <v>159</v>
      </c>
      <c r="I633" s="23">
        <f t="shared" ca="1" si="79"/>
        <v>1965</v>
      </c>
    </row>
    <row r="634" spans="2:9">
      <c r="B634" s="23">
        <f t="shared" ca="1" si="80"/>
        <v>161</v>
      </c>
      <c r="C634" s="23">
        <f t="shared" ca="1" si="81"/>
        <v>161</v>
      </c>
      <c r="D634" s="23">
        <f t="shared" ca="1" si="76"/>
        <v>2235</v>
      </c>
      <c r="E634" s="23">
        <f t="shared" ca="1" si="77"/>
        <v>0</v>
      </c>
      <c r="F634" s="23">
        <f t="shared" si="82"/>
        <v>168</v>
      </c>
      <c r="G634" s="23">
        <f t="shared" ca="1" si="83"/>
        <v>0</v>
      </c>
      <c r="H634" s="23">
        <f t="shared" ca="1" si="78"/>
        <v>161</v>
      </c>
      <c r="I634" s="23">
        <f t="shared" ca="1" si="79"/>
        <v>2235</v>
      </c>
    </row>
    <row r="635" spans="2:9">
      <c r="B635" s="23">
        <f t="shared" ca="1" si="80"/>
        <v>245</v>
      </c>
      <c r="C635" s="23">
        <f t="shared" ca="1" si="81"/>
        <v>245</v>
      </c>
      <c r="D635" s="23">
        <f t="shared" ca="1" si="76"/>
        <v>13575</v>
      </c>
      <c r="E635" s="23">
        <f t="shared" ca="1" si="77"/>
        <v>0</v>
      </c>
      <c r="F635" s="23">
        <f t="shared" si="82"/>
        <v>168</v>
      </c>
      <c r="G635" s="23">
        <f t="shared" ca="1" si="83"/>
        <v>0</v>
      </c>
      <c r="H635" s="23">
        <f t="shared" ca="1" si="78"/>
        <v>245</v>
      </c>
      <c r="I635" s="23">
        <f t="shared" ca="1" si="79"/>
        <v>13575</v>
      </c>
    </row>
    <row r="636" spans="2:9">
      <c r="B636" s="23">
        <f t="shared" ca="1" si="80"/>
        <v>280</v>
      </c>
      <c r="C636" s="23">
        <f t="shared" ca="1" si="81"/>
        <v>280</v>
      </c>
      <c r="D636" s="23">
        <f t="shared" ca="1" si="76"/>
        <v>18300</v>
      </c>
      <c r="E636" s="23">
        <f t="shared" ca="1" si="77"/>
        <v>0</v>
      </c>
      <c r="F636" s="23">
        <f t="shared" si="82"/>
        <v>168</v>
      </c>
      <c r="G636" s="23">
        <f t="shared" ca="1" si="83"/>
        <v>0</v>
      </c>
      <c r="H636" s="23">
        <f t="shared" ca="1" si="78"/>
        <v>280</v>
      </c>
      <c r="I636" s="23">
        <f t="shared" ca="1" si="79"/>
        <v>18300</v>
      </c>
    </row>
    <row r="637" spans="2:9">
      <c r="B637" s="23">
        <f t="shared" ca="1" si="80"/>
        <v>297</v>
      </c>
      <c r="C637" s="23">
        <f t="shared" ca="1" si="81"/>
        <v>297</v>
      </c>
      <c r="D637" s="23">
        <f t="shared" ca="1" si="76"/>
        <v>20595</v>
      </c>
      <c r="E637" s="23">
        <f t="shared" ca="1" si="77"/>
        <v>0</v>
      </c>
      <c r="F637" s="23">
        <f t="shared" si="82"/>
        <v>168</v>
      </c>
      <c r="G637" s="23">
        <f t="shared" ca="1" si="83"/>
        <v>0</v>
      </c>
      <c r="H637" s="23">
        <f t="shared" ca="1" si="78"/>
        <v>297</v>
      </c>
      <c r="I637" s="23">
        <f t="shared" ca="1" si="79"/>
        <v>20595</v>
      </c>
    </row>
    <row r="638" spans="2:9">
      <c r="B638" s="23">
        <f t="shared" ca="1" si="80"/>
        <v>431</v>
      </c>
      <c r="C638" s="23">
        <f t="shared" ca="1" si="81"/>
        <v>300</v>
      </c>
      <c r="D638" s="23">
        <f t="shared" ca="1" si="76"/>
        <v>21000</v>
      </c>
      <c r="E638" s="23">
        <f t="shared" ca="1" si="77"/>
        <v>131</v>
      </c>
      <c r="F638" s="23">
        <f t="shared" si="82"/>
        <v>168</v>
      </c>
      <c r="G638" s="23">
        <f t="shared" ca="1" si="83"/>
        <v>131</v>
      </c>
      <c r="H638" s="23">
        <f t="shared" ca="1" si="78"/>
        <v>431</v>
      </c>
      <c r="I638" s="23">
        <f t="shared" ca="1" si="79"/>
        <v>26240</v>
      </c>
    </row>
    <row r="639" spans="2:9">
      <c r="B639" s="23">
        <f t="shared" ca="1" si="80"/>
        <v>320</v>
      </c>
      <c r="C639" s="23">
        <f t="shared" ca="1" si="81"/>
        <v>300</v>
      </c>
      <c r="D639" s="23">
        <f t="shared" ca="1" si="76"/>
        <v>21000</v>
      </c>
      <c r="E639" s="23">
        <f t="shared" ca="1" si="77"/>
        <v>20</v>
      </c>
      <c r="F639" s="23">
        <f t="shared" si="82"/>
        <v>168</v>
      </c>
      <c r="G639" s="23">
        <f t="shared" ca="1" si="83"/>
        <v>20</v>
      </c>
      <c r="H639" s="23">
        <f t="shared" ca="1" si="78"/>
        <v>320</v>
      </c>
      <c r="I639" s="23">
        <f t="shared" ca="1" si="79"/>
        <v>21800</v>
      </c>
    </row>
    <row r="640" spans="2:9">
      <c r="B640" s="23">
        <f t="shared" ca="1" si="80"/>
        <v>160</v>
      </c>
      <c r="C640" s="23">
        <f t="shared" ca="1" si="81"/>
        <v>160</v>
      </c>
      <c r="D640" s="23">
        <f t="shared" ca="1" si="76"/>
        <v>2100</v>
      </c>
      <c r="E640" s="23">
        <f t="shared" ca="1" si="77"/>
        <v>0</v>
      </c>
      <c r="F640" s="23">
        <f t="shared" si="82"/>
        <v>168</v>
      </c>
      <c r="G640" s="23">
        <f t="shared" ca="1" si="83"/>
        <v>0</v>
      </c>
      <c r="H640" s="23">
        <f t="shared" ca="1" si="78"/>
        <v>160</v>
      </c>
      <c r="I640" s="23">
        <f t="shared" ca="1" si="79"/>
        <v>2100</v>
      </c>
    </row>
    <row r="641" spans="2:9">
      <c r="B641" s="23">
        <f t="shared" ca="1" si="80"/>
        <v>352</v>
      </c>
      <c r="C641" s="23">
        <f t="shared" ca="1" si="81"/>
        <v>300</v>
      </c>
      <c r="D641" s="23">
        <f t="shared" ca="1" si="76"/>
        <v>21000</v>
      </c>
      <c r="E641" s="23">
        <f t="shared" ca="1" si="77"/>
        <v>52</v>
      </c>
      <c r="F641" s="23">
        <f t="shared" si="82"/>
        <v>168</v>
      </c>
      <c r="G641" s="23">
        <f t="shared" ca="1" si="83"/>
        <v>52</v>
      </c>
      <c r="H641" s="23">
        <f t="shared" ca="1" si="78"/>
        <v>352</v>
      </c>
      <c r="I641" s="23">
        <f t="shared" ca="1" si="79"/>
        <v>23080</v>
      </c>
    </row>
    <row r="642" spans="2:9">
      <c r="B642" s="23">
        <f t="shared" ca="1" si="80"/>
        <v>429</v>
      </c>
      <c r="C642" s="23">
        <f t="shared" ca="1" si="81"/>
        <v>300</v>
      </c>
      <c r="D642" s="23">
        <f t="shared" ca="1" si="76"/>
        <v>21000</v>
      </c>
      <c r="E642" s="23">
        <f t="shared" ca="1" si="77"/>
        <v>129</v>
      </c>
      <c r="F642" s="23">
        <f t="shared" si="82"/>
        <v>168</v>
      </c>
      <c r="G642" s="23">
        <f t="shared" ca="1" si="83"/>
        <v>129</v>
      </c>
      <c r="H642" s="23">
        <f t="shared" ca="1" si="78"/>
        <v>429</v>
      </c>
      <c r="I642" s="23">
        <f t="shared" ca="1" si="79"/>
        <v>26160</v>
      </c>
    </row>
    <row r="643" spans="2:9">
      <c r="B643" s="23">
        <f t="shared" ca="1" si="80"/>
        <v>140</v>
      </c>
      <c r="C643" s="23">
        <f t="shared" ca="1" si="81"/>
        <v>140</v>
      </c>
      <c r="D643" s="23">
        <f t="shared" ca="1" si="76"/>
        <v>-600</v>
      </c>
      <c r="E643" s="23">
        <f t="shared" ca="1" si="77"/>
        <v>0</v>
      </c>
      <c r="F643" s="23">
        <f t="shared" si="82"/>
        <v>168</v>
      </c>
      <c r="G643" s="23">
        <f t="shared" ca="1" si="83"/>
        <v>0</v>
      </c>
      <c r="H643" s="23">
        <f t="shared" ca="1" si="78"/>
        <v>140</v>
      </c>
      <c r="I643" s="23">
        <f t="shared" ca="1" si="79"/>
        <v>-600</v>
      </c>
    </row>
    <row r="644" spans="2:9">
      <c r="B644" s="23">
        <f t="shared" ca="1" si="80"/>
        <v>471</v>
      </c>
      <c r="C644" s="23">
        <f t="shared" ca="1" si="81"/>
        <v>300</v>
      </c>
      <c r="D644" s="23">
        <f t="shared" ca="1" si="76"/>
        <v>21000</v>
      </c>
      <c r="E644" s="23">
        <f t="shared" ca="1" si="77"/>
        <v>171</v>
      </c>
      <c r="F644" s="23">
        <f t="shared" si="82"/>
        <v>168</v>
      </c>
      <c r="G644" s="23">
        <f t="shared" ca="1" si="83"/>
        <v>168</v>
      </c>
      <c r="H644" s="23">
        <f t="shared" ca="1" si="78"/>
        <v>468</v>
      </c>
      <c r="I644" s="23">
        <f t="shared" ca="1" si="79"/>
        <v>27720</v>
      </c>
    </row>
    <row r="645" spans="2:9">
      <c r="B645" s="23">
        <f t="shared" ca="1" si="80"/>
        <v>239</v>
      </c>
      <c r="C645" s="23">
        <f t="shared" ca="1" si="81"/>
        <v>239</v>
      </c>
      <c r="D645" s="23">
        <f t="shared" ca="1" si="76"/>
        <v>12765</v>
      </c>
      <c r="E645" s="23">
        <f t="shared" ca="1" si="77"/>
        <v>0</v>
      </c>
      <c r="F645" s="23">
        <f t="shared" si="82"/>
        <v>168</v>
      </c>
      <c r="G645" s="23">
        <f t="shared" ca="1" si="83"/>
        <v>0</v>
      </c>
      <c r="H645" s="23">
        <f t="shared" ca="1" si="78"/>
        <v>239</v>
      </c>
      <c r="I645" s="23">
        <f t="shared" ca="1" si="79"/>
        <v>12765</v>
      </c>
    </row>
    <row r="646" spans="2:9">
      <c r="B646" s="23">
        <f t="shared" ca="1" si="80"/>
        <v>370</v>
      </c>
      <c r="C646" s="23">
        <f t="shared" ca="1" si="81"/>
        <v>300</v>
      </c>
      <c r="D646" s="23">
        <f t="shared" ca="1" si="76"/>
        <v>21000</v>
      </c>
      <c r="E646" s="23">
        <f t="shared" ca="1" si="77"/>
        <v>70</v>
      </c>
      <c r="F646" s="23">
        <f t="shared" si="82"/>
        <v>168</v>
      </c>
      <c r="G646" s="23">
        <f t="shared" ca="1" si="83"/>
        <v>70</v>
      </c>
      <c r="H646" s="23">
        <f t="shared" ca="1" si="78"/>
        <v>370</v>
      </c>
      <c r="I646" s="23">
        <f t="shared" ca="1" si="79"/>
        <v>23800</v>
      </c>
    </row>
    <row r="647" spans="2:9">
      <c r="B647" s="23">
        <f t="shared" ca="1" si="80"/>
        <v>412</v>
      </c>
      <c r="C647" s="23">
        <f t="shared" ca="1" si="81"/>
        <v>300</v>
      </c>
      <c r="D647" s="23">
        <f t="shared" ca="1" si="76"/>
        <v>21000</v>
      </c>
      <c r="E647" s="23">
        <f t="shared" ca="1" si="77"/>
        <v>112</v>
      </c>
      <c r="F647" s="23">
        <f t="shared" si="82"/>
        <v>168</v>
      </c>
      <c r="G647" s="23">
        <f t="shared" ca="1" si="83"/>
        <v>112</v>
      </c>
      <c r="H647" s="23">
        <f t="shared" ca="1" si="78"/>
        <v>412</v>
      </c>
      <c r="I647" s="23">
        <f t="shared" ca="1" si="79"/>
        <v>25480</v>
      </c>
    </row>
    <row r="648" spans="2:9">
      <c r="B648" s="23">
        <f t="shared" ca="1" si="80"/>
        <v>349</v>
      </c>
      <c r="C648" s="23">
        <f t="shared" ca="1" si="81"/>
        <v>300</v>
      </c>
      <c r="D648" s="23">
        <f t="shared" ca="1" si="76"/>
        <v>21000</v>
      </c>
      <c r="E648" s="23">
        <f t="shared" ca="1" si="77"/>
        <v>49</v>
      </c>
      <c r="F648" s="23">
        <f t="shared" si="82"/>
        <v>168</v>
      </c>
      <c r="G648" s="23">
        <f t="shared" ca="1" si="83"/>
        <v>49</v>
      </c>
      <c r="H648" s="23">
        <f t="shared" ca="1" si="78"/>
        <v>349</v>
      </c>
      <c r="I648" s="23">
        <f t="shared" ca="1" si="79"/>
        <v>22960</v>
      </c>
    </row>
    <row r="649" spans="2:9">
      <c r="B649" s="23">
        <f t="shared" ca="1" si="80"/>
        <v>252</v>
      </c>
      <c r="C649" s="23">
        <f t="shared" ca="1" si="81"/>
        <v>252</v>
      </c>
      <c r="D649" s="23">
        <f t="shared" ca="1" si="76"/>
        <v>14520</v>
      </c>
      <c r="E649" s="23">
        <f t="shared" ca="1" si="77"/>
        <v>0</v>
      </c>
      <c r="F649" s="23">
        <f t="shared" si="82"/>
        <v>168</v>
      </c>
      <c r="G649" s="23">
        <f t="shared" ca="1" si="83"/>
        <v>0</v>
      </c>
      <c r="H649" s="23">
        <f t="shared" ca="1" si="78"/>
        <v>252</v>
      </c>
      <c r="I649" s="23">
        <f t="shared" ca="1" si="79"/>
        <v>14520</v>
      </c>
    </row>
    <row r="650" spans="2:9">
      <c r="B650" s="23">
        <f t="shared" ca="1" si="80"/>
        <v>259</v>
      </c>
      <c r="C650" s="23">
        <f t="shared" ca="1" si="81"/>
        <v>259</v>
      </c>
      <c r="D650" s="23">
        <f t="shared" ca="1" si="76"/>
        <v>15465</v>
      </c>
      <c r="E650" s="23">
        <f t="shared" ca="1" si="77"/>
        <v>0</v>
      </c>
      <c r="F650" s="23">
        <f t="shared" si="82"/>
        <v>168</v>
      </c>
      <c r="G650" s="23">
        <f t="shared" ca="1" si="83"/>
        <v>0</v>
      </c>
      <c r="H650" s="23">
        <f t="shared" ca="1" si="78"/>
        <v>259</v>
      </c>
      <c r="I650" s="23">
        <f t="shared" ca="1" si="79"/>
        <v>15465</v>
      </c>
    </row>
    <row r="651" spans="2:9">
      <c r="B651" s="23">
        <f t="shared" ca="1" si="80"/>
        <v>476</v>
      </c>
      <c r="C651" s="23">
        <f t="shared" ca="1" si="81"/>
        <v>300</v>
      </c>
      <c r="D651" s="23">
        <f t="shared" ca="1" si="76"/>
        <v>21000</v>
      </c>
      <c r="E651" s="23">
        <f t="shared" ca="1" si="77"/>
        <v>176</v>
      </c>
      <c r="F651" s="23">
        <f t="shared" si="82"/>
        <v>168</v>
      </c>
      <c r="G651" s="23">
        <f t="shared" ca="1" si="83"/>
        <v>168</v>
      </c>
      <c r="H651" s="23">
        <f t="shared" ca="1" si="78"/>
        <v>468</v>
      </c>
      <c r="I651" s="23">
        <f t="shared" ca="1" si="79"/>
        <v>27720</v>
      </c>
    </row>
    <row r="652" spans="2:9">
      <c r="B652" s="23">
        <f t="shared" ca="1" si="80"/>
        <v>421</v>
      </c>
      <c r="C652" s="23">
        <f t="shared" ca="1" si="81"/>
        <v>300</v>
      </c>
      <c r="D652" s="23">
        <f t="shared" ref="D652:D715" ca="1" si="84">C652*$B$3-$D$8*$B$2</f>
        <v>21000</v>
      </c>
      <c r="E652" s="23">
        <f t="shared" ref="E652:E715" ca="1" si="85">MAX(0, B652-$D$8)</f>
        <v>121</v>
      </c>
      <c r="F652" s="23">
        <f t="shared" si="82"/>
        <v>168</v>
      </c>
      <c r="G652" s="23">
        <f t="shared" ca="1" si="83"/>
        <v>121</v>
      </c>
      <c r="H652" s="23">
        <f t="shared" ref="H652:H715" ca="1" si="86">MIN(B652, $D$8+G652)</f>
        <v>421</v>
      </c>
      <c r="I652" s="23">
        <f t="shared" ref="I652:I715" ca="1" si="87">H652*$B$3-$D$8*$B$2-$B$1*G652</f>
        <v>25840</v>
      </c>
    </row>
    <row r="653" spans="2:9">
      <c r="B653" s="23">
        <f t="shared" ref="B653:B716" ca="1" si="88">_xlfn.FLOOR.MATH(_xlfn.NORM.INV(RAND(),$B$4,$B$5))</f>
        <v>368</v>
      </c>
      <c r="C653" s="23">
        <f t="shared" ref="C653:C716" ca="1" si="89">MIN(B653,$D$8)</f>
        <v>300</v>
      </c>
      <c r="D653" s="23">
        <f t="shared" ca="1" si="84"/>
        <v>21000</v>
      </c>
      <c r="E653" s="23">
        <f t="shared" ca="1" si="85"/>
        <v>68</v>
      </c>
      <c r="F653" s="23">
        <f t="shared" ref="F653:F716" si="90">12*(21-7)</f>
        <v>168</v>
      </c>
      <c r="G653" s="23">
        <f t="shared" ca="1" si="83"/>
        <v>68</v>
      </c>
      <c r="H653" s="23">
        <f t="shared" ca="1" si="86"/>
        <v>368</v>
      </c>
      <c r="I653" s="23">
        <f t="shared" ca="1" si="87"/>
        <v>23720</v>
      </c>
    </row>
    <row r="654" spans="2:9">
      <c r="B654" s="23">
        <f t="shared" ca="1" si="88"/>
        <v>281</v>
      </c>
      <c r="C654" s="23">
        <f t="shared" ca="1" si="89"/>
        <v>281</v>
      </c>
      <c r="D654" s="23">
        <f t="shared" ca="1" si="84"/>
        <v>18435</v>
      </c>
      <c r="E654" s="23">
        <f t="shared" ca="1" si="85"/>
        <v>0</v>
      </c>
      <c r="F654" s="23">
        <f t="shared" si="90"/>
        <v>168</v>
      </c>
      <c r="G654" s="23">
        <f t="shared" ca="1" si="83"/>
        <v>0</v>
      </c>
      <c r="H654" s="23">
        <f t="shared" ca="1" si="86"/>
        <v>281</v>
      </c>
      <c r="I654" s="23">
        <f t="shared" ca="1" si="87"/>
        <v>18435</v>
      </c>
    </row>
    <row r="655" spans="2:9">
      <c r="B655" s="23">
        <f t="shared" ca="1" si="88"/>
        <v>266</v>
      </c>
      <c r="C655" s="23">
        <f t="shared" ca="1" si="89"/>
        <v>266</v>
      </c>
      <c r="D655" s="23">
        <f t="shared" ca="1" si="84"/>
        <v>16410</v>
      </c>
      <c r="E655" s="23">
        <f t="shared" ca="1" si="85"/>
        <v>0</v>
      </c>
      <c r="F655" s="23">
        <f t="shared" si="90"/>
        <v>168</v>
      </c>
      <c r="G655" s="23">
        <f t="shared" ca="1" si="83"/>
        <v>0</v>
      </c>
      <c r="H655" s="23">
        <f t="shared" ca="1" si="86"/>
        <v>266</v>
      </c>
      <c r="I655" s="23">
        <f t="shared" ca="1" si="87"/>
        <v>16410</v>
      </c>
    </row>
    <row r="656" spans="2:9">
      <c r="B656" s="23">
        <f t="shared" ca="1" si="88"/>
        <v>343</v>
      </c>
      <c r="C656" s="23">
        <f t="shared" ca="1" si="89"/>
        <v>300</v>
      </c>
      <c r="D656" s="23">
        <f t="shared" ca="1" si="84"/>
        <v>21000</v>
      </c>
      <c r="E656" s="23">
        <f t="shared" ca="1" si="85"/>
        <v>43</v>
      </c>
      <c r="F656" s="23">
        <f t="shared" si="90"/>
        <v>168</v>
      </c>
      <c r="G656" s="23">
        <f t="shared" ref="G656:G719" ca="1" si="91">MIN(E656,F656)</f>
        <v>43</v>
      </c>
      <c r="H656" s="23">
        <f t="shared" ca="1" si="86"/>
        <v>343</v>
      </c>
      <c r="I656" s="23">
        <f t="shared" ca="1" si="87"/>
        <v>22720</v>
      </c>
    </row>
    <row r="657" spans="2:9">
      <c r="B657" s="23">
        <f t="shared" ca="1" si="88"/>
        <v>330</v>
      </c>
      <c r="C657" s="23">
        <f t="shared" ca="1" si="89"/>
        <v>300</v>
      </c>
      <c r="D657" s="23">
        <f t="shared" ca="1" si="84"/>
        <v>21000</v>
      </c>
      <c r="E657" s="23">
        <f t="shared" ca="1" si="85"/>
        <v>30</v>
      </c>
      <c r="F657" s="23">
        <f t="shared" si="90"/>
        <v>168</v>
      </c>
      <c r="G657" s="23">
        <f t="shared" ca="1" si="91"/>
        <v>30</v>
      </c>
      <c r="H657" s="23">
        <f t="shared" ca="1" si="86"/>
        <v>330</v>
      </c>
      <c r="I657" s="23">
        <f t="shared" ca="1" si="87"/>
        <v>22200</v>
      </c>
    </row>
    <row r="658" spans="2:9">
      <c r="B658" s="23">
        <f t="shared" ca="1" si="88"/>
        <v>345</v>
      </c>
      <c r="C658" s="23">
        <f t="shared" ca="1" si="89"/>
        <v>300</v>
      </c>
      <c r="D658" s="23">
        <f t="shared" ca="1" si="84"/>
        <v>21000</v>
      </c>
      <c r="E658" s="23">
        <f t="shared" ca="1" si="85"/>
        <v>45</v>
      </c>
      <c r="F658" s="23">
        <f t="shared" si="90"/>
        <v>168</v>
      </c>
      <c r="G658" s="23">
        <f t="shared" ca="1" si="91"/>
        <v>45</v>
      </c>
      <c r="H658" s="23">
        <f t="shared" ca="1" si="86"/>
        <v>345</v>
      </c>
      <c r="I658" s="23">
        <f t="shared" ca="1" si="87"/>
        <v>22800</v>
      </c>
    </row>
    <row r="659" spans="2:9">
      <c r="B659" s="23">
        <f t="shared" ca="1" si="88"/>
        <v>360</v>
      </c>
      <c r="C659" s="23">
        <f t="shared" ca="1" si="89"/>
        <v>300</v>
      </c>
      <c r="D659" s="23">
        <f t="shared" ca="1" si="84"/>
        <v>21000</v>
      </c>
      <c r="E659" s="23">
        <f t="shared" ca="1" si="85"/>
        <v>60</v>
      </c>
      <c r="F659" s="23">
        <f t="shared" si="90"/>
        <v>168</v>
      </c>
      <c r="G659" s="23">
        <f t="shared" ca="1" si="91"/>
        <v>60</v>
      </c>
      <c r="H659" s="23">
        <f t="shared" ca="1" si="86"/>
        <v>360</v>
      </c>
      <c r="I659" s="23">
        <f t="shared" ca="1" si="87"/>
        <v>23400</v>
      </c>
    </row>
    <row r="660" spans="2:9">
      <c r="B660" s="23">
        <f t="shared" ca="1" si="88"/>
        <v>192</v>
      </c>
      <c r="C660" s="23">
        <f t="shared" ca="1" si="89"/>
        <v>192</v>
      </c>
      <c r="D660" s="23">
        <f t="shared" ca="1" si="84"/>
        <v>6420</v>
      </c>
      <c r="E660" s="23">
        <f t="shared" ca="1" si="85"/>
        <v>0</v>
      </c>
      <c r="F660" s="23">
        <f t="shared" si="90"/>
        <v>168</v>
      </c>
      <c r="G660" s="23">
        <f t="shared" ca="1" si="91"/>
        <v>0</v>
      </c>
      <c r="H660" s="23">
        <f t="shared" ca="1" si="86"/>
        <v>192</v>
      </c>
      <c r="I660" s="23">
        <f t="shared" ca="1" si="87"/>
        <v>6420</v>
      </c>
    </row>
    <row r="661" spans="2:9">
      <c r="B661" s="23">
        <f t="shared" ca="1" si="88"/>
        <v>251</v>
      </c>
      <c r="C661" s="23">
        <f t="shared" ca="1" si="89"/>
        <v>251</v>
      </c>
      <c r="D661" s="23">
        <f t="shared" ca="1" si="84"/>
        <v>14385</v>
      </c>
      <c r="E661" s="23">
        <f t="shared" ca="1" si="85"/>
        <v>0</v>
      </c>
      <c r="F661" s="23">
        <f t="shared" si="90"/>
        <v>168</v>
      </c>
      <c r="G661" s="23">
        <f t="shared" ca="1" si="91"/>
        <v>0</v>
      </c>
      <c r="H661" s="23">
        <f t="shared" ca="1" si="86"/>
        <v>251</v>
      </c>
      <c r="I661" s="23">
        <f t="shared" ca="1" si="87"/>
        <v>14385</v>
      </c>
    </row>
    <row r="662" spans="2:9">
      <c r="B662" s="23">
        <f t="shared" ca="1" si="88"/>
        <v>521</v>
      </c>
      <c r="C662" s="23">
        <f t="shared" ca="1" si="89"/>
        <v>300</v>
      </c>
      <c r="D662" s="23">
        <f t="shared" ca="1" si="84"/>
        <v>21000</v>
      </c>
      <c r="E662" s="23">
        <f t="shared" ca="1" si="85"/>
        <v>221</v>
      </c>
      <c r="F662" s="23">
        <f t="shared" si="90"/>
        <v>168</v>
      </c>
      <c r="G662" s="23">
        <f t="shared" ca="1" si="91"/>
        <v>168</v>
      </c>
      <c r="H662" s="23">
        <f t="shared" ca="1" si="86"/>
        <v>468</v>
      </c>
      <c r="I662" s="23">
        <f t="shared" ca="1" si="87"/>
        <v>27720</v>
      </c>
    </row>
    <row r="663" spans="2:9">
      <c r="B663" s="23">
        <f t="shared" ca="1" si="88"/>
        <v>223</v>
      </c>
      <c r="C663" s="23">
        <f t="shared" ca="1" si="89"/>
        <v>223</v>
      </c>
      <c r="D663" s="23">
        <f t="shared" ca="1" si="84"/>
        <v>10605</v>
      </c>
      <c r="E663" s="23">
        <f t="shared" ca="1" si="85"/>
        <v>0</v>
      </c>
      <c r="F663" s="23">
        <f t="shared" si="90"/>
        <v>168</v>
      </c>
      <c r="G663" s="23">
        <f t="shared" ca="1" si="91"/>
        <v>0</v>
      </c>
      <c r="H663" s="23">
        <f t="shared" ca="1" si="86"/>
        <v>223</v>
      </c>
      <c r="I663" s="23">
        <f t="shared" ca="1" si="87"/>
        <v>10605</v>
      </c>
    </row>
    <row r="664" spans="2:9">
      <c r="B664" s="23">
        <f t="shared" ca="1" si="88"/>
        <v>196</v>
      </c>
      <c r="C664" s="23">
        <f t="shared" ca="1" si="89"/>
        <v>196</v>
      </c>
      <c r="D664" s="23">
        <f t="shared" ca="1" si="84"/>
        <v>6960</v>
      </c>
      <c r="E664" s="23">
        <f t="shared" ca="1" si="85"/>
        <v>0</v>
      </c>
      <c r="F664" s="23">
        <f t="shared" si="90"/>
        <v>168</v>
      </c>
      <c r="G664" s="23">
        <f t="shared" ca="1" si="91"/>
        <v>0</v>
      </c>
      <c r="H664" s="23">
        <f t="shared" ca="1" si="86"/>
        <v>196</v>
      </c>
      <c r="I664" s="23">
        <f t="shared" ca="1" si="87"/>
        <v>6960</v>
      </c>
    </row>
    <row r="665" spans="2:9">
      <c r="B665" s="23">
        <f t="shared" ca="1" si="88"/>
        <v>250</v>
      </c>
      <c r="C665" s="23">
        <f t="shared" ca="1" si="89"/>
        <v>250</v>
      </c>
      <c r="D665" s="23">
        <f t="shared" ca="1" si="84"/>
        <v>14250</v>
      </c>
      <c r="E665" s="23">
        <f t="shared" ca="1" si="85"/>
        <v>0</v>
      </c>
      <c r="F665" s="23">
        <f t="shared" si="90"/>
        <v>168</v>
      </c>
      <c r="G665" s="23">
        <f t="shared" ca="1" si="91"/>
        <v>0</v>
      </c>
      <c r="H665" s="23">
        <f t="shared" ca="1" si="86"/>
        <v>250</v>
      </c>
      <c r="I665" s="23">
        <f t="shared" ca="1" si="87"/>
        <v>14250</v>
      </c>
    </row>
    <row r="666" spans="2:9">
      <c r="B666" s="23">
        <f t="shared" ca="1" si="88"/>
        <v>356</v>
      </c>
      <c r="C666" s="23">
        <f t="shared" ca="1" si="89"/>
        <v>300</v>
      </c>
      <c r="D666" s="23">
        <f t="shared" ca="1" si="84"/>
        <v>21000</v>
      </c>
      <c r="E666" s="23">
        <f t="shared" ca="1" si="85"/>
        <v>56</v>
      </c>
      <c r="F666" s="23">
        <f t="shared" si="90"/>
        <v>168</v>
      </c>
      <c r="G666" s="23">
        <f t="shared" ca="1" si="91"/>
        <v>56</v>
      </c>
      <c r="H666" s="23">
        <f t="shared" ca="1" si="86"/>
        <v>356</v>
      </c>
      <c r="I666" s="23">
        <f t="shared" ca="1" si="87"/>
        <v>23240</v>
      </c>
    </row>
    <row r="667" spans="2:9">
      <c r="B667" s="23">
        <f t="shared" ca="1" si="88"/>
        <v>251</v>
      </c>
      <c r="C667" s="23">
        <f t="shared" ca="1" si="89"/>
        <v>251</v>
      </c>
      <c r="D667" s="23">
        <f t="shared" ca="1" si="84"/>
        <v>14385</v>
      </c>
      <c r="E667" s="23">
        <f t="shared" ca="1" si="85"/>
        <v>0</v>
      </c>
      <c r="F667" s="23">
        <f t="shared" si="90"/>
        <v>168</v>
      </c>
      <c r="G667" s="23">
        <f t="shared" ca="1" si="91"/>
        <v>0</v>
      </c>
      <c r="H667" s="23">
        <f t="shared" ca="1" si="86"/>
        <v>251</v>
      </c>
      <c r="I667" s="23">
        <f t="shared" ca="1" si="87"/>
        <v>14385</v>
      </c>
    </row>
    <row r="668" spans="2:9">
      <c r="B668" s="23">
        <f t="shared" ca="1" si="88"/>
        <v>375</v>
      </c>
      <c r="C668" s="23">
        <f t="shared" ca="1" si="89"/>
        <v>300</v>
      </c>
      <c r="D668" s="23">
        <f t="shared" ca="1" si="84"/>
        <v>21000</v>
      </c>
      <c r="E668" s="23">
        <f t="shared" ca="1" si="85"/>
        <v>75</v>
      </c>
      <c r="F668" s="23">
        <f t="shared" si="90"/>
        <v>168</v>
      </c>
      <c r="G668" s="23">
        <f t="shared" ca="1" si="91"/>
        <v>75</v>
      </c>
      <c r="H668" s="23">
        <f t="shared" ca="1" si="86"/>
        <v>375</v>
      </c>
      <c r="I668" s="23">
        <f t="shared" ca="1" si="87"/>
        <v>24000</v>
      </c>
    </row>
    <row r="669" spans="2:9">
      <c r="B669" s="23">
        <f t="shared" ca="1" si="88"/>
        <v>25</v>
      </c>
      <c r="C669" s="23">
        <f t="shared" ca="1" si="89"/>
        <v>25</v>
      </c>
      <c r="D669" s="23">
        <f t="shared" ca="1" si="84"/>
        <v>-16125</v>
      </c>
      <c r="E669" s="23">
        <f t="shared" ca="1" si="85"/>
        <v>0</v>
      </c>
      <c r="F669" s="23">
        <f t="shared" si="90"/>
        <v>168</v>
      </c>
      <c r="G669" s="23">
        <f t="shared" ca="1" si="91"/>
        <v>0</v>
      </c>
      <c r="H669" s="23">
        <f t="shared" ca="1" si="86"/>
        <v>25</v>
      </c>
      <c r="I669" s="23">
        <f t="shared" ca="1" si="87"/>
        <v>-16125</v>
      </c>
    </row>
    <row r="670" spans="2:9">
      <c r="B670" s="23">
        <f t="shared" ca="1" si="88"/>
        <v>290</v>
      </c>
      <c r="C670" s="23">
        <f t="shared" ca="1" si="89"/>
        <v>290</v>
      </c>
      <c r="D670" s="23">
        <f t="shared" ca="1" si="84"/>
        <v>19650</v>
      </c>
      <c r="E670" s="23">
        <f t="shared" ca="1" si="85"/>
        <v>0</v>
      </c>
      <c r="F670" s="23">
        <f t="shared" si="90"/>
        <v>168</v>
      </c>
      <c r="G670" s="23">
        <f t="shared" ca="1" si="91"/>
        <v>0</v>
      </c>
      <c r="H670" s="23">
        <f t="shared" ca="1" si="86"/>
        <v>290</v>
      </c>
      <c r="I670" s="23">
        <f t="shared" ca="1" si="87"/>
        <v>19650</v>
      </c>
    </row>
    <row r="671" spans="2:9">
      <c r="B671" s="23">
        <f t="shared" ca="1" si="88"/>
        <v>265</v>
      </c>
      <c r="C671" s="23">
        <f t="shared" ca="1" si="89"/>
        <v>265</v>
      </c>
      <c r="D671" s="23">
        <f t="shared" ca="1" si="84"/>
        <v>16275</v>
      </c>
      <c r="E671" s="23">
        <f t="shared" ca="1" si="85"/>
        <v>0</v>
      </c>
      <c r="F671" s="23">
        <f t="shared" si="90"/>
        <v>168</v>
      </c>
      <c r="G671" s="23">
        <f t="shared" ca="1" si="91"/>
        <v>0</v>
      </c>
      <c r="H671" s="23">
        <f t="shared" ca="1" si="86"/>
        <v>265</v>
      </c>
      <c r="I671" s="23">
        <f t="shared" ca="1" si="87"/>
        <v>16275</v>
      </c>
    </row>
    <row r="672" spans="2:9">
      <c r="B672" s="23">
        <f t="shared" ca="1" si="88"/>
        <v>198</v>
      </c>
      <c r="C672" s="23">
        <f t="shared" ca="1" si="89"/>
        <v>198</v>
      </c>
      <c r="D672" s="23">
        <f t="shared" ca="1" si="84"/>
        <v>7230</v>
      </c>
      <c r="E672" s="23">
        <f t="shared" ca="1" si="85"/>
        <v>0</v>
      </c>
      <c r="F672" s="23">
        <f t="shared" si="90"/>
        <v>168</v>
      </c>
      <c r="G672" s="23">
        <f t="shared" ca="1" si="91"/>
        <v>0</v>
      </c>
      <c r="H672" s="23">
        <f t="shared" ca="1" si="86"/>
        <v>198</v>
      </c>
      <c r="I672" s="23">
        <f t="shared" ca="1" si="87"/>
        <v>7230</v>
      </c>
    </row>
    <row r="673" spans="2:9">
      <c r="B673" s="23">
        <f t="shared" ca="1" si="88"/>
        <v>120</v>
      </c>
      <c r="C673" s="23">
        <f t="shared" ca="1" si="89"/>
        <v>120</v>
      </c>
      <c r="D673" s="23">
        <f t="shared" ca="1" si="84"/>
        <v>-3300</v>
      </c>
      <c r="E673" s="23">
        <f t="shared" ca="1" si="85"/>
        <v>0</v>
      </c>
      <c r="F673" s="23">
        <f t="shared" si="90"/>
        <v>168</v>
      </c>
      <c r="G673" s="23">
        <f t="shared" ca="1" si="91"/>
        <v>0</v>
      </c>
      <c r="H673" s="23">
        <f t="shared" ca="1" si="86"/>
        <v>120</v>
      </c>
      <c r="I673" s="23">
        <f t="shared" ca="1" si="87"/>
        <v>-3300</v>
      </c>
    </row>
    <row r="674" spans="2:9">
      <c r="B674" s="23">
        <f t="shared" ca="1" si="88"/>
        <v>272</v>
      </c>
      <c r="C674" s="23">
        <f t="shared" ca="1" si="89"/>
        <v>272</v>
      </c>
      <c r="D674" s="23">
        <f t="shared" ca="1" si="84"/>
        <v>17220</v>
      </c>
      <c r="E674" s="23">
        <f t="shared" ca="1" si="85"/>
        <v>0</v>
      </c>
      <c r="F674" s="23">
        <f t="shared" si="90"/>
        <v>168</v>
      </c>
      <c r="G674" s="23">
        <f t="shared" ca="1" si="91"/>
        <v>0</v>
      </c>
      <c r="H674" s="23">
        <f t="shared" ca="1" si="86"/>
        <v>272</v>
      </c>
      <c r="I674" s="23">
        <f t="shared" ca="1" si="87"/>
        <v>17220</v>
      </c>
    </row>
    <row r="675" spans="2:9">
      <c r="B675" s="23">
        <f t="shared" ca="1" si="88"/>
        <v>561</v>
      </c>
      <c r="C675" s="23">
        <f t="shared" ca="1" si="89"/>
        <v>300</v>
      </c>
      <c r="D675" s="23">
        <f t="shared" ca="1" si="84"/>
        <v>21000</v>
      </c>
      <c r="E675" s="23">
        <f t="shared" ca="1" si="85"/>
        <v>261</v>
      </c>
      <c r="F675" s="23">
        <f t="shared" si="90"/>
        <v>168</v>
      </c>
      <c r="G675" s="23">
        <f t="shared" ca="1" si="91"/>
        <v>168</v>
      </c>
      <c r="H675" s="23">
        <f t="shared" ca="1" si="86"/>
        <v>468</v>
      </c>
      <c r="I675" s="23">
        <f t="shared" ca="1" si="87"/>
        <v>27720</v>
      </c>
    </row>
    <row r="676" spans="2:9">
      <c r="B676" s="23">
        <f t="shared" ca="1" si="88"/>
        <v>315</v>
      </c>
      <c r="C676" s="23">
        <f t="shared" ca="1" si="89"/>
        <v>300</v>
      </c>
      <c r="D676" s="23">
        <f t="shared" ca="1" si="84"/>
        <v>21000</v>
      </c>
      <c r="E676" s="23">
        <f t="shared" ca="1" si="85"/>
        <v>15</v>
      </c>
      <c r="F676" s="23">
        <f t="shared" si="90"/>
        <v>168</v>
      </c>
      <c r="G676" s="23">
        <f t="shared" ca="1" si="91"/>
        <v>15</v>
      </c>
      <c r="H676" s="23">
        <f t="shared" ca="1" si="86"/>
        <v>315</v>
      </c>
      <c r="I676" s="23">
        <f t="shared" ca="1" si="87"/>
        <v>21600</v>
      </c>
    </row>
    <row r="677" spans="2:9">
      <c r="B677" s="23">
        <f t="shared" ca="1" si="88"/>
        <v>445</v>
      </c>
      <c r="C677" s="23">
        <f t="shared" ca="1" si="89"/>
        <v>300</v>
      </c>
      <c r="D677" s="23">
        <f t="shared" ca="1" si="84"/>
        <v>21000</v>
      </c>
      <c r="E677" s="23">
        <f t="shared" ca="1" si="85"/>
        <v>145</v>
      </c>
      <c r="F677" s="23">
        <f t="shared" si="90"/>
        <v>168</v>
      </c>
      <c r="G677" s="23">
        <f t="shared" ca="1" si="91"/>
        <v>145</v>
      </c>
      <c r="H677" s="23">
        <f t="shared" ca="1" si="86"/>
        <v>445</v>
      </c>
      <c r="I677" s="23">
        <f t="shared" ca="1" si="87"/>
        <v>26800</v>
      </c>
    </row>
    <row r="678" spans="2:9">
      <c r="B678" s="23">
        <f t="shared" ca="1" si="88"/>
        <v>203</v>
      </c>
      <c r="C678" s="23">
        <f t="shared" ca="1" si="89"/>
        <v>203</v>
      </c>
      <c r="D678" s="23">
        <f t="shared" ca="1" si="84"/>
        <v>7905</v>
      </c>
      <c r="E678" s="23">
        <f t="shared" ca="1" si="85"/>
        <v>0</v>
      </c>
      <c r="F678" s="23">
        <f t="shared" si="90"/>
        <v>168</v>
      </c>
      <c r="G678" s="23">
        <f t="shared" ca="1" si="91"/>
        <v>0</v>
      </c>
      <c r="H678" s="23">
        <f t="shared" ca="1" si="86"/>
        <v>203</v>
      </c>
      <c r="I678" s="23">
        <f t="shared" ca="1" si="87"/>
        <v>7905</v>
      </c>
    </row>
    <row r="679" spans="2:9">
      <c r="B679" s="23">
        <f t="shared" ca="1" si="88"/>
        <v>192</v>
      </c>
      <c r="C679" s="23">
        <f t="shared" ca="1" si="89"/>
        <v>192</v>
      </c>
      <c r="D679" s="23">
        <f t="shared" ca="1" si="84"/>
        <v>6420</v>
      </c>
      <c r="E679" s="23">
        <f t="shared" ca="1" si="85"/>
        <v>0</v>
      </c>
      <c r="F679" s="23">
        <f t="shared" si="90"/>
        <v>168</v>
      </c>
      <c r="G679" s="23">
        <f t="shared" ca="1" si="91"/>
        <v>0</v>
      </c>
      <c r="H679" s="23">
        <f t="shared" ca="1" si="86"/>
        <v>192</v>
      </c>
      <c r="I679" s="23">
        <f t="shared" ca="1" si="87"/>
        <v>6420</v>
      </c>
    </row>
    <row r="680" spans="2:9">
      <c r="B680" s="23">
        <f t="shared" ca="1" si="88"/>
        <v>198</v>
      </c>
      <c r="C680" s="23">
        <f t="shared" ca="1" si="89"/>
        <v>198</v>
      </c>
      <c r="D680" s="23">
        <f t="shared" ca="1" si="84"/>
        <v>7230</v>
      </c>
      <c r="E680" s="23">
        <f t="shared" ca="1" si="85"/>
        <v>0</v>
      </c>
      <c r="F680" s="23">
        <f t="shared" si="90"/>
        <v>168</v>
      </c>
      <c r="G680" s="23">
        <f t="shared" ca="1" si="91"/>
        <v>0</v>
      </c>
      <c r="H680" s="23">
        <f t="shared" ca="1" si="86"/>
        <v>198</v>
      </c>
      <c r="I680" s="23">
        <f t="shared" ca="1" si="87"/>
        <v>7230</v>
      </c>
    </row>
    <row r="681" spans="2:9">
      <c r="B681" s="23">
        <f t="shared" ca="1" si="88"/>
        <v>191</v>
      </c>
      <c r="C681" s="23">
        <f t="shared" ca="1" si="89"/>
        <v>191</v>
      </c>
      <c r="D681" s="23">
        <f t="shared" ca="1" si="84"/>
        <v>6285</v>
      </c>
      <c r="E681" s="23">
        <f t="shared" ca="1" si="85"/>
        <v>0</v>
      </c>
      <c r="F681" s="23">
        <f t="shared" si="90"/>
        <v>168</v>
      </c>
      <c r="G681" s="23">
        <f t="shared" ca="1" si="91"/>
        <v>0</v>
      </c>
      <c r="H681" s="23">
        <f t="shared" ca="1" si="86"/>
        <v>191</v>
      </c>
      <c r="I681" s="23">
        <f t="shared" ca="1" si="87"/>
        <v>6285</v>
      </c>
    </row>
    <row r="682" spans="2:9">
      <c r="B682" s="23">
        <f t="shared" ca="1" si="88"/>
        <v>126</v>
      </c>
      <c r="C682" s="23">
        <f t="shared" ca="1" si="89"/>
        <v>126</v>
      </c>
      <c r="D682" s="23">
        <f t="shared" ca="1" si="84"/>
        <v>-2490</v>
      </c>
      <c r="E682" s="23">
        <f t="shared" ca="1" si="85"/>
        <v>0</v>
      </c>
      <c r="F682" s="23">
        <f t="shared" si="90"/>
        <v>168</v>
      </c>
      <c r="G682" s="23">
        <f t="shared" ca="1" si="91"/>
        <v>0</v>
      </c>
      <c r="H682" s="23">
        <f t="shared" ca="1" si="86"/>
        <v>126</v>
      </c>
      <c r="I682" s="23">
        <f t="shared" ca="1" si="87"/>
        <v>-2490</v>
      </c>
    </row>
    <row r="683" spans="2:9">
      <c r="B683" s="23">
        <f t="shared" ca="1" si="88"/>
        <v>281</v>
      </c>
      <c r="C683" s="23">
        <f t="shared" ca="1" si="89"/>
        <v>281</v>
      </c>
      <c r="D683" s="23">
        <f t="shared" ca="1" si="84"/>
        <v>18435</v>
      </c>
      <c r="E683" s="23">
        <f t="shared" ca="1" si="85"/>
        <v>0</v>
      </c>
      <c r="F683" s="23">
        <f t="shared" si="90"/>
        <v>168</v>
      </c>
      <c r="G683" s="23">
        <f t="shared" ca="1" si="91"/>
        <v>0</v>
      </c>
      <c r="H683" s="23">
        <f t="shared" ca="1" si="86"/>
        <v>281</v>
      </c>
      <c r="I683" s="23">
        <f t="shared" ca="1" si="87"/>
        <v>18435</v>
      </c>
    </row>
    <row r="684" spans="2:9">
      <c r="B684" s="23">
        <f t="shared" ca="1" si="88"/>
        <v>228</v>
      </c>
      <c r="C684" s="23">
        <f t="shared" ca="1" si="89"/>
        <v>228</v>
      </c>
      <c r="D684" s="23">
        <f t="shared" ca="1" si="84"/>
        <v>11280</v>
      </c>
      <c r="E684" s="23">
        <f t="shared" ca="1" si="85"/>
        <v>0</v>
      </c>
      <c r="F684" s="23">
        <f t="shared" si="90"/>
        <v>168</v>
      </c>
      <c r="G684" s="23">
        <f t="shared" ca="1" si="91"/>
        <v>0</v>
      </c>
      <c r="H684" s="23">
        <f t="shared" ca="1" si="86"/>
        <v>228</v>
      </c>
      <c r="I684" s="23">
        <f t="shared" ca="1" si="87"/>
        <v>11280</v>
      </c>
    </row>
    <row r="685" spans="2:9">
      <c r="B685" s="23">
        <f t="shared" ca="1" si="88"/>
        <v>335</v>
      </c>
      <c r="C685" s="23">
        <f t="shared" ca="1" si="89"/>
        <v>300</v>
      </c>
      <c r="D685" s="23">
        <f t="shared" ca="1" si="84"/>
        <v>21000</v>
      </c>
      <c r="E685" s="23">
        <f t="shared" ca="1" si="85"/>
        <v>35</v>
      </c>
      <c r="F685" s="23">
        <f t="shared" si="90"/>
        <v>168</v>
      </c>
      <c r="G685" s="23">
        <f t="shared" ca="1" si="91"/>
        <v>35</v>
      </c>
      <c r="H685" s="23">
        <f t="shared" ca="1" si="86"/>
        <v>335</v>
      </c>
      <c r="I685" s="23">
        <f t="shared" ca="1" si="87"/>
        <v>22400</v>
      </c>
    </row>
    <row r="686" spans="2:9">
      <c r="B686" s="23">
        <f t="shared" ca="1" si="88"/>
        <v>249</v>
      </c>
      <c r="C686" s="23">
        <f t="shared" ca="1" si="89"/>
        <v>249</v>
      </c>
      <c r="D686" s="23">
        <f t="shared" ca="1" si="84"/>
        <v>14115</v>
      </c>
      <c r="E686" s="23">
        <f t="shared" ca="1" si="85"/>
        <v>0</v>
      </c>
      <c r="F686" s="23">
        <f t="shared" si="90"/>
        <v>168</v>
      </c>
      <c r="G686" s="23">
        <f t="shared" ca="1" si="91"/>
        <v>0</v>
      </c>
      <c r="H686" s="23">
        <f t="shared" ca="1" si="86"/>
        <v>249</v>
      </c>
      <c r="I686" s="23">
        <f t="shared" ca="1" si="87"/>
        <v>14115</v>
      </c>
    </row>
    <row r="687" spans="2:9">
      <c r="B687" s="23">
        <f t="shared" ca="1" si="88"/>
        <v>413</v>
      </c>
      <c r="C687" s="23">
        <f t="shared" ca="1" si="89"/>
        <v>300</v>
      </c>
      <c r="D687" s="23">
        <f t="shared" ca="1" si="84"/>
        <v>21000</v>
      </c>
      <c r="E687" s="23">
        <f t="shared" ca="1" si="85"/>
        <v>113</v>
      </c>
      <c r="F687" s="23">
        <f t="shared" si="90"/>
        <v>168</v>
      </c>
      <c r="G687" s="23">
        <f t="shared" ca="1" si="91"/>
        <v>113</v>
      </c>
      <c r="H687" s="23">
        <f t="shared" ca="1" si="86"/>
        <v>413</v>
      </c>
      <c r="I687" s="23">
        <f t="shared" ca="1" si="87"/>
        <v>25520</v>
      </c>
    </row>
    <row r="688" spans="2:9">
      <c r="B688" s="23">
        <f t="shared" ca="1" si="88"/>
        <v>489</v>
      </c>
      <c r="C688" s="23">
        <f t="shared" ca="1" si="89"/>
        <v>300</v>
      </c>
      <c r="D688" s="23">
        <f t="shared" ca="1" si="84"/>
        <v>21000</v>
      </c>
      <c r="E688" s="23">
        <f t="shared" ca="1" si="85"/>
        <v>189</v>
      </c>
      <c r="F688" s="23">
        <f t="shared" si="90"/>
        <v>168</v>
      </c>
      <c r="G688" s="23">
        <f t="shared" ca="1" si="91"/>
        <v>168</v>
      </c>
      <c r="H688" s="23">
        <f t="shared" ca="1" si="86"/>
        <v>468</v>
      </c>
      <c r="I688" s="23">
        <f t="shared" ca="1" si="87"/>
        <v>27720</v>
      </c>
    </row>
    <row r="689" spans="2:9">
      <c r="B689" s="23">
        <f t="shared" ca="1" si="88"/>
        <v>362</v>
      </c>
      <c r="C689" s="23">
        <f t="shared" ca="1" si="89"/>
        <v>300</v>
      </c>
      <c r="D689" s="23">
        <f t="shared" ca="1" si="84"/>
        <v>21000</v>
      </c>
      <c r="E689" s="23">
        <f t="shared" ca="1" si="85"/>
        <v>62</v>
      </c>
      <c r="F689" s="23">
        <f t="shared" si="90"/>
        <v>168</v>
      </c>
      <c r="G689" s="23">
        <f t="shared" ca="1" si="91"/>
        <v>62</v>
      </c>
      <c r="H689" s="23">
        <f t="shared" ca="1" si="86"/>
        <v>362</v>
      </c>
      <c r="I689" s="23">
        <f t="shared" ca="1" si="87"/>
        <v>23480</v>
      </c>
    </row>
    <row r="690" spans="2:9">
      <c r="B690" s="23">
        <f t="shared" ca="1" si="88"/>
        <v>183</v>
      </c>
      <c r="C690" s="23">
        <f t="shared" ca="1" si="89"/>
        <v>183</v>
      </c>
      <c r="D690" s="23">
        <f t="shared" ca="1" si="84"/>
        <v>5205</v>
      </c>
      <c r="E690" s="23">
        <f t="shared" ca="1" si="85"/>
        <v>0</v>
      </c>
      <c r="F690" s="23">
        <f t="shared" si="90"/>
        <v>168</v>
      </c>
      <c r="G690" s="23">
        <f t="shared" ca="1" si="91"/>
        <v>0</v>
      </c>
      <c r="H690" s="23">
        <f t="shared" ca="1" si="86"/>
        <v>183</v>
      </c>
      <c r="I690" s="23">
        <f t="shared" ca="1" si="87"/>
        <v>5205</v>
      </c>
    </row>
    <row r="691" spans="2:9">
      <c r="B691" s="23">
        <f t="shared" ca="1" si="88"/>
        <v>505</v>
      </c>
      <c r="C691" s="23">
        <f t="shared" ca="1" si="89"/>
        <v>300</v>
      </c>
      <c r="D691" s="23">
        <f t="shared" ca="1" si="84"/>
        <v>21000</v>
      </c>
      <c r="E691" s="23">
        <f t="shared" ca="1" si="85"/>
        <v>205</v>
      </c>
      <c r="F691" s="23">
        <f t="shared" si="90"/>
        <v>168</v>
      </c>
      <c r="G691" s="23">
        <f t="shared" ca="1" si="91"/>
        <v>168</v>
      </c>
      <c r="H691" s="23">
        <f t="shared" ca="1" si="86"/>
        <v>468</v>
      </c>
      <c r="I691" s="23">
        <f t="shared" ca="1" si="87"/>
        <v>27720</v>
      </c>
    </row>
    <row r="692" spans="2:9">
      <c r="B692" s="23">
        <f t="shared" ca="1" si="88"/>
        <v>230</v>
      </c>
      <c r="C692" s="23">
        <f t="shared" ca="1" si="89"/>
        <v>230</v>
      </c>
      <c r="D692" s="23">
        <f t="shared" ca="1" si="84"/>
        <v>11550</v>
      </c>
      <c r="E692" s="23">
        <f t="shared" ca="1" si="85"/>
        <v>0</v>
      </c>
      <c r="F692" s="23">
        <f t="shared" si="90"/>
        <v>168</v>
      </c>
      <c r="G692" s="23">
        <f t="shared" ca="1" si="91"/>
        <v>0</v>
      </c>
      <c r="H692" s="23">
        <f t="shared" ca="1" si="86"/>
        <v>230</v>
      </c>
      <c r="I692" s="23">
        <f t="shared" ca="1" si="87"/>
        <v>11550</v>
      </c>
    </row>
    <row r="693" spans="2:9">
      <c r="B693" s="23">
        <f t="shared" ca="1" si="88"/>
        <v>327</v>
      </c>
      <c r="C693" s="23">
        <f t="shared" ca="1" si="89"/>
        <v>300</v>
      </c>
      <c r="D693" s="23">
        <f t="shared" ca="1" si="84"/>
        <v>21000</v>
      </c>
      <c r="E693" s="23">
        <f t="shared" ca="1" si="85"/>
        <v>27</v>
      </c>
      <c r="F693" s="23">
        <f t="shared" si="90"/>
        <v>168</v>
      </c>
      <c r="G693" s="23">
        <f t="shared" ca="1" si="91"/>
        <v>27</v>
      </c>
      <c r="H693" s="23">
        <f t="shared" ca="1" si="86"/>
        <v>327</v>
      </c>
      <c r="I693" s="23">
        <f t="shared" ca="1" si="87"/>
        <v>22080</v>
      </c>
    </row>
    <row r="694" spans="2:9">
      <c r="B694" s="23">
        <f t="shared" ca="1" si="88"/>
        <v>235</v>
      </c>
      <c r="C694" s="23">
        <f t="shared" ca="1" si="89"/>
        <v>235</v>
      </c>
      <c r="D694" s="23">
        <f t="shared" ca="1" si="84"/>
        <v>12225</v>
      </c>
      <c r="E694" s="23">
        <f t="shared" ca="1" si="85"/>
        <v>0</v>
      </c>
      <c r="F694" s="23">
        <f t="shared" si="90"/>
        <v>168</v>
      </c>
      <c r="G694" s="23">
        <f t="shared" ca="1" si="91"/>
        <v>0</v>
      </c>
      <c r="H694" s="23">
        <f t="shared" ca="1" si="86"/>
        <v>235</v>
      </c>
      <c r="I694" s="23">
        <f t="shared" ca="1" si="87"/>
        <v>12225</v>
      </c>
    </row>
    <row r="695" spans="2:9">
      <c r="B695" s="23">
        <f t="shared" ca="1" si="88"/>
        <v>420</v>
      </c>
      <c r="C695" s="23">
        <f t="shared" ca="1" si="89"/>
        <v>300</v>
      </c>
      <c r="D695" s="23">
        <f t="shared" ca="1" si="84"/>
        <v>21000</v>
      </c>
      <c r="E695" s="23">
        <f t="shared" ca="1" si="85"/>
        <v>120</v>
      </c>
      <c r="F695" s="23">
        <f t="shared" si="90"/>
        <v>168</v>
      </c>
      <c r="G695" s="23">
        <f t="shared" ca="1" si="91"/>
        <v>120</v>
      </c>
      <c r="H695" s="23">
        <f t="shared" ca="1" si="86"/>
        <v>420</v>
      </c>
      <c r="I695" s="23">
        <f t="shared" ca="1" si="87"/>
        <v>25800</v>
      </c>
    </row>
    <row r="696" spans="2:9">
      <c r="B696" s="23">
        <f t="shared" ca="1" si="88"/>
        <v>423</v>
      </c>
      <c r="C696" s="23">
        <f t="shared" ca="1" si="89"/>
        <v>300</v>
      </c>
      <c r="D696" s="23">
        <f t="shared" ca="1" si="84"/>
        <v>21000</v>
      </c>
      <c r="E696" s="23">
        <f t="shared" ca="1" si="85"/>
        <v>123</v>
      </c>
      <c r="F696" s="23">
        <f t="shared" si="90"/>
        <v>168</v>
      </c>
      <c r="G696" s="23">
        <f t="shared" ca="1" si="91"/>
        <v>123</v>
      </c>
      <c r="H696" s="23">
        <f t="shared" ca="1" si="86"/>
        <v>423</v>
      </c>
      <c r="I696" s="23">
        <f t="shared" ca="1" si="87"/>
        <v>25920</v>
      </c>
    </row>
    <row r="697" spans="2:9">
      <c r="B697" s="23">
        <f t="shared" ca="1" si="88"/>
        <v>535</v>
      </c>
      <c r="C697" s="23">
        <f t="shared" ca="1" si="89"/>
        <v>300</v>
      </c>
      <c r="D697" s="23">
        <f t="shared" ca="1" si="84"/>
        <v>21000</v>
      </c>
      <c r="E697" s="23">
        <f t="shared" ca="1" si="85"/>
        <v>235</v>
      </c>
      <c r="F697" s="23">
        <f t="shared" si="90"/>
        <v>168</v>
      </c>
      <c r="G697" s="23">
        <f t="shared" ca="1" si="91"/>
        <v>168</v>
      </c>
      <c r="H697" s="23">
        <f t="shared" ca="1" si="86"/>
        <v>468</v>
      </c>
      <c r="I697" s="23">
        <f t="shared" ca="1" si="87"/>
        <v>27720</v>
      </c>
    </row>
    <row r="698" spans="2:9">
      <c r="B698" s="23">
        <f t="shared" ca="1" si="88"/>
        <v>113</v>
      </c>
      <c r="C698" s="23">
        <f t="shared" ca="1" si="89"/>
        <v>113</v>
      </c>
      <c r="D698" s="23">
        <f t="shared" ca="1" si="84"/>
        <v>-4245</v>
      </c>
      <c r="E698" s="23">
        <f t="shared" ca="1" si="85"/>
        <v>0</v>
      </c>
      <c r="F698" s="23">
        <f t="shared" si="90"/>
        <v>168</v>
      </c>
      <c r="G698" s="23">
        <f t="shared" ca="1" si="91"/>
        <v>0</v>
      </c>
      <c r="H698" s="23">
        <f t="shared" ca="1" si="86"/>
        <v>113</v>
      </c>
      <c r="I698" s="23">
        <f t="shared" ca="1" si="87"/>
        <v>-4245</v>
      </c>
    </row>
    <row r="699" spans="2:9">
      <c r="B699" s="23">
        <f t="shared" ca="1" si="88"/>
        <v>288</v>
      </c>
      <c r="C699" s="23">
        <f t="shared" ca="1" si="89"/>
        <v>288</v>
      </c>
      <c r="D699" s="23">
        <f t="shared" ca="1" si="84"/>
        <v>19380</v>
      </c>
      <c r="E699" s="23">
        <f t="shared" ca="1" si="85"/>
        <v>0</v>
      </c>
      <c r="F699" s="23">
        <f t="shared" si="90"/>
        <v>168</v>
      </c>
      <c r="G699" s="23">
        <f t="shared" ca="1" si="91"/>
        <v>0</v>
      </c>
      <c r="H699" s="23">
        <f t="shared" ca="1" si="86"/>
        <v>288</v>
      </c>
      <c r="I699" s="23">
        <f t="shared" ca="1" si="87"/>
        <v>19380</v>
      </c>
    </row>
    <row r="700" spans="2:9">
      <c r="B700" s="23">
        <f t="shared" ca="1" si="88"/>
        <v>288</v>
      </c>
      <c r="C700" s="23">
        <f t="shared" ca="1" si="89"/>
        <v>288</v>
      </c>
      <c r="D700" s="23">
        <f t="shared" ca="1" si="84"/>
        <v>19380</v>
      </c>
      <c r="E700" s="23">
        <f t="shared" ca="1" si="85"/>
        <v>0</v>
      </c>
      <c r="F700" s="23">
        <f t="shared" si="90"/>
        <v>168</v>
      </c>
      <c r="G700" s="23">
        <f t="shared" ca="1" si="91"/>
        <v>0</v>
      </c>
      <c r="H700" s="23">
        <f t="shared" ca="1" si="86"/>
        <v>288</v>
      </c>
      <c r="I700" s="23">
        <f t="shared" ca="1" si="87"/>
        <v>19380</v>
      </c>
    </row>
    <row r="701" spans="2:9">
      <c r="B701" s="23">
        <f t="shared" ca="1" si="88"/>
        <v>324</v>
      </c>
      <c r="C701" s="23">
        <f t="shared" ca="1" si="89"/>
        <v>300</v>
      </c>
      <c r="D701" s="23">
        <f t="shared" ca="1" si="84"/>
        <v>21000</v>
      </c>
      <c r="E701" s="23">
        <f t="shared" ca="1" si="85"/>
        <v>24</v>
      </c>
      <c r="F701" s="23">
        <f t="shared" si="90"/>
        <v>168</v>
      </c>
      <c r="G701" s="23">
        <f t="shared" ca="1" si="91"/>
        <v>24</v>
      </c>
      <c r="H701" s="23">
        <f t="shared" ca="1" si="86"/>
        <v>324</v>
      </c>
      <c r="I701" s="23">
        <f t="shared" ca="1" si="87"/>
        <v>21960</v>
      </c>
    </row>
    <row r="702" spans="2:9">
      <c r="B702" s="23">
        <f t="shared" ca="1" si="88"/>
        <v>283</v>
      </c>
      <c r="C702" s="23">
        <f t="shared" ca="1" si="89"/>
        <v>283</v>
      </c>
      <c r="D702" s="23">
        <f t="shared" ca="1" si="84"/>
        <v>18705</v>
      </c>
      <c r="E702" s="23">
        <f t="shared" ca="1" si="85"/>
        <v>0</v>
      </c>
      <c r="F702" s="23">
        <f t="shared" si="90"/>
        <v>168</v>
      </c>
      <c r="G702" s="23">
        <f t="shared" ca="1" si="91"/>
        <v>0</v>
      </c>
      <c r="H702" s="23">
        <f t="shared" ca="1" si="86"/>
        <v>283</v>
      </c>
      <c r="I702" s="23">
        <f t="shared" ca="1" si="87"/>
        <v>18705</v>
      </c>
    </row>
    <row r="703" spans="2:9">
      <c r="B703" s="23">
        <f t="shared" ca="1" si="88"/>
        <v>424</v>
      </c>
      <c r="C703" s="23">
        <f t="shared" ca="1" si="89"/>
        <v>300</v>
      </c>
      <c r="D703" s="23">
        <f t="shared" ca="1" si="84"/>
        <v>21000</v>
      </c>
      <c r="E703" s="23">
        <f t="shared" ca="1" si="85"/>
        <v>124</v>
      </c>
      <c r="F703" s="23">
        <f t="shared" si="90"/>
        <v>168</v>
      </c>
      <c r="G703" s="23">
        <f t="shared" ca="1" si="91"/>
        <v>124</v>
      </c>
      <c r="H703" s="23">
        <f t="shared" ca="1" si="86"/>
        <v>424</v>
      </c>
      <c r="I703" s="23">
        <f t="shared" ca="1" si="87"/>
        <v>25960</v>
      </c>
    </row>
    <row r="704" spans="2:9">
      <c r="B704" s="23">
        <f t="shared" ca="1" si="88"/>
        <v>314</v>
      </c>
      <c r="C704" s="23">
        <f t="shared" ca="1" si="89"/>
        <v>300</v>
      </c>
      <c r="D704" s="23">
        <f t="shared" ca="1" si="84"/>
        <v>21000</v>
      </c>
      <c r="E704" s="23">
        <f t="shared" ca="1" si="85"/>
        <v>14</v>
      </c>
      <c r="F704" s="23">
        <f t="shared" si="90"/>
        <v>168</v>
      </c>
      <c r="G704" s="23">
        <f t="shared" ca="1" si="91"/>
        <v>14</v>
      </c>
      <c r="H704" s="23">
        <f t="shared" ca="1" si="86"/>
        <v>314</v>
      </c>
      <c r="I704" s="23">
        <f t="shared" ca="1" si="87"/>
        <v>21560</v>
      </c>
    </row>
    <row r="705" spans="2:9">
      <c r="B705" s="23">
        <f t="shared" ca="1" si="88"/>
        <v>285</v>
      </c>
      <c r="C705" s="23">
        <f t="shared" ca="1" si="89"/>
        <v>285</v>
      </c>
      <c r="D705" s="23">
        <f t="shared" ca="1" si="84"/>
        <v>18975</v>
      </c>
      <c r="E705" s="23">
        <f t="shared" ca="1" si="85"/>
        <v>0</v>
      </c>
      <c r="F705" s="23">
        <f t="shared" si="90"/>
        <v>168</v>
      </c>
      <c r="G705" s="23">
        <f t="shared" ca="1" si="91"/>
        <v>0</v>
      </c>
      <c r="H705" s="23">
        <f t="shared" ca="1" si="86"/>
        <v>285</v>
      </c>
      <c r="I705" s="23">
        <f t="shared" ca="1" si="87"/>
        <v>18975</v>
      </c>
    </row>
    <row r="706" spans="2:9">
      <c r="B706" s="23">
        <f t="shared" ca="1" si="88"/>
        <v>249</v>
      </c>
      <c r="C706" s="23">
        <f t="shared" ca="1" si="89"/>
        <v>249</v>
      </c>
      <c r="D706" s="23">
        <f t="shared" ca="1" si="84"/>
        <v>14115</v>
      </c>
      <c r="E706" s="23">
        <f t="shared" ca="1" si="85"/>
        <v>0</v>
      </c>
      <c r="F706" s="23">
        <f t="shared" si="90"/>
        <v>168</v>
      </c>
      <c r="G706" s="23">
        <f t="shared" ca="1" si="91"/>
        <v>0</v>
      </c>
      <c r="H706" s="23">
        <f t="shared" ca="1" si="86"/>
        <v>249</v>
      </c>
      <c r="I706" s="23">
        <f t="shared" ca="1" si="87"/>
        <v>14115</v>
      </c>
    </row>
    <row r="707" spans="2:9">
      <c r="B707" s="23">
        <f t="shared" ca="1" si="88"/>
        <v>434</v>
      </c>
      <c r="C707" s="23">
        <f t="shared" ca="1" si="89"/>
        <v>300</v>
      </c>
      <c r="D707" s="23">
        <f t="shared" ca="1" si="84"/>
        <v>21000</v>
      </c>
      <c r="E707" s="23">
        <f t="shared" ca="1" si="85"/>
        <v>134</v>
      </c>
      <c r="F707" s="23">
        <f t="shared" si="90"/>
        <v>168</v>
      </c>
      <c r="G707" s="23">
        <f t="shared" ca="1" si="91"/>
        <v>134</v>
      </c>
      <c r="H707" s="23">
        <f t="shared" ca="1" si="86"/>
        <v>434</v>
      </c>
      <c r="I707" s="23">
        <f t="shared" ca="1" si="87"/>
        <v>26360</v>
      </c>
    </row>
    <row r="708" spans="2:9">
      <c r="B708" s="23">
        <f t="shared" ca="1" si="88"/>
        <v>274</v>
      </c>
      <c r="C708" s="23">
        <f t="shared" ca="1" si="89"/>
        <v>274</v>
      </c>
      <c r="D708" s="23">
        <f t="shared" ca="1" si="84"/>
        <v>17490</v>
      </c>
      <c r="E708" s="23">
        <f t="shared" ca="1" si="85"/>
        <v>0</v>
      </c>
      <c r="F708" s="23">
        <f t="shared" si="90"/>
        <v>168</v>
      </c>
      <c r="G708" s="23">
        <f t="shared" ca="1" si="91"/>
        <v>0</v>
      </c>
      <c r="H708" s="23">
        <f t="shared" ca="1" si="86"/>
        <v>274</v>
      </c>
      <c r="I708" s="23">
        <f t="shared" ca="1" si="87"/>
        <v>17490</v>
      </c>
    </row>
    <row r="709" spans="2:9">
      <c r="B709" s="23">
        <f t="shared" ca="1" si="88"/>
        <v>216</v>
      </c>
      <c r="C709" s="23">
        <f t="shared" ca="1" si="89"/>
        <v>216</v>
      </c>
      <c r="D709" s="23">
        <f t="shared" ca="1" si="84"/>
        <v>9660</v>
      </c>
      <c r="E709" s="23">
        <f t="shared" ca="1" si="85"/>
        <v>0</v>
      </c>
      <c r="F709" s="23">
        <f t="shared" si="90"/>
        <v>168</v>
      </c>
      <c r="G709" s="23">
        <f t="shared" ca="1" si="91"/>
        <v>0</v>
      </c>
      <c r="H709" s="23">
        <f t="shared" ca="1" si="86"/>
        <v>216</v>
      </c>
      <c r="I709" s="23">
        <f t="shared" ca="1" si="87"/>
        <v>9660</v>
      </c>
    </row>
    <row r="710" spans="2:9">
      <c r="B710" s="23">
        <f t="shared" ca="1" si="88"/>
        <v>381</v>
      </c>
      <c r="C710" s="23">
        <f t="shared" ca="1" si="89"/>
        <v>300</v>
      </c>
      <c r="D710" s="23">
        <f t="shared" ca="1" si="84"/>
        <v>21000</v>
      </c>
      <c r="E710" s="23">
        <f t="shared" ca="1" si="85"/>
        <v>81</v>
      </c>
      <c r="F710" s="23">
        <f t="shared" si="90"/>
        <v>168</v>
      </c>
      <c r="G710" s="23">
        <f t="shared" ca="1" si="91"/>
        <v>81</v>
      </c>
      <c r="H710" s="23">
        <f t="shared" ca="1" si="86"/>
        <v>381</v>
      </c>
      <c r="I710" s="23">
        <f t="shared" ca="1" si="87"/>
        <v>24240</v>
      </c>
    </row>
    <row r="711" spans="2:9">
      <c r="B711" s="23">
        <f t="shared" ca="1" si="88"/>
        <v>405</v>
      </c>
      <c r="C711" s="23">
        <f t="shared" ca="1" si="89"/>
        <v>300</v>
      </c>
      <c r="D711" s="23">
        <f t="shared" ca="1" si="84"/>
        <v>21000</v>
      </c>
      <c r="E711" s="23">
        <f t="shared" ca="1" si="85"/>
        <v>105</v>
      </c>
      <c r="F711" s="23">
        <f t="shared" si="90"/>
        <v>168</v>
      </c>
      <c r="G711" s="23">
        <f t="shared" ca="1" si="91"/>
        <v>105</v>
      </c>
      <c r="H711" s="23">
        <f t="shared" ca="1" si="86"/>
        <v>405</v>
      </c>
      <c r="I711" s="23">
        <f t="shared" ca="1" si="87"/>
        <v>25200</v>
      </c>
    </row>
    <row r="712" spans="2:9">
      <c r="B712" s="23">
        <f t="shared" ca="1" si="88"/>
        <v>294</v>
      </c>
      <c r="C712" s="23">
        <f t="shared" ca="1" si="89"/>
        <v>294</v>
      </c>
      <c r="D712" s="23">
        <f t="shared" ca="1" si="84"/>
        <v>20190</v>
      </c>
      <c r="E712" s="23">
        <f t="shared" ca="1" si="85"/>
        <v>0</v>
      </c>
      <c r="F712" s="23">
        <f t="shared" si="90"/>
        <v>168</v>
      </c>
      <c r="G712" s="23">
        <f t="shared" ca="1" si="91"/>
        <v>0</v>
      </c>
      <c r="H712" s="23">
        <f t="shared" ca="1" si="86"/>
        <v>294</v>
      </c>
      <c r="I712" s="23">
        <f t="shared" ca="1" si="87"/>
        <v>20190</v>
      </c>
    </row>
    <row r="713" spans="2:9">
      <c r="B713" s="23">
        <f t="shared" ca="1" si="88"/>
        <v>166</v>
      </c>
      <c r="C713" s="23">
        <f t="shared" ca="1" si="89"/>
        <v>166</v>
      </c>
      <c r="D713" s="23">
        <f t="shared" ca="1" si="84"/>
        <v>2910</v>
      </c>
      <c r="E713" s="23">
        <f t="shared" ca="1" si="85"/>
        <v>0</v>
      </c>
      <c r="F713" s="23">
        <f t="shared" si="90"/>
        <v>168</v>
      </c>
      <c r="G713" s="23">
        <f t="shared" ca="1" si="91"/>
        <v>0</v>
      </c>
      <c r="H713" s="23">
        <f t="shared" ca="1" si="86"/>
        <v>166</v>
      </c>
      <c r="I713" s="23">
        <f t="shared" ca="1" si="87"/>
        <v>2910</v>
      </c>
    </row>
    <row r="714" spans="2:9">
      <c r="B714" s="23">
        <f t="shared" ca="1" si="88"/>
        <v>276</v>
      </c>
      <c r="C714" s="23">
        <f t="shared" ca="1" si="89"/>
        <v>276</v>
      </c>
      <c r="D714" s="23">
        <f t="shared" ca="1" si="84"/>
        <v>17760</v>
      </c>
      <c r="E714" s="23">
        <f t="shared" ca="1" si="85"/>
        <v>0</v>
      </c>
      <c r="F714" s="23">
        <f t="shared" si="90"/>
        <v>168</v>
      </c>
      <c r="G714" s="23">
        <f t="shared" ca="1" si="91"/>
        <v>0</v>
      </c>
      <c r="H714" s="23">
        <f t="shared" ca="1" si="86"/>
        <v>276</v>
      </c>
      <c r="I714" s="23">
        <f t="shared" ca="1" si="87"/>
        <v>17760</v>
      </c>
    </row>
    <row r="715" spans="2:9">
      <c r="B715" s="23">
        <f t="shared" ca="1" si="88"/>
        <v>120</v>
      </c>
      <c r="C715" s="23">
        <f t="shared" ca="1" si="89"/>
        <v>120</v>
      </c>
      <c r="D715" s="23">
        <f t="shared" ca="1" si="84"/>
        <v>-3300</v>
      </c>
      <c r="E715" s="23">
        <f t="shared" ca="1" si="85"/>
        <v>0</v>
      </c>
      <c r="F715" s="23">
        <f t="shared" si="90"/>
        <v>168</v>
      </c>
      <c r="G715" s="23">
        <f t="shared" ca="1" si="91"/>
        <v>0</v>
      </c>
      <c r="H715" s="23">
        <f t="shared" ca="1" si="86"/>
        <v>120</v>
      </c>
      <c r="I715" s="23">
        <f t="shared" ca="1" si="87"/>
        <v>-3300</v>
      </c>
    </row>
    <row r="716" spans="2:9">
      <c r="B716" s="23">
        <f t="shared" ca="1" si="88"/>
        <v>312</v>
      </c>
      <c r="C716" s="23">
        <f t="shared" ca="1" si="89"/>
        <v>300</v>
      </c>
      <c r="D716" s="23">
        <f t="shared" ref="D716:D779" ca="1" si="92">C716*$B$3-$D$8*$B$2</f>
        <v>21000</v>
      </c>
      <c r="E716" s="23">
        <f t="shared" ref="E716:E779" ca="1" si="93">MAX(0, B716-$D$8)</f>
        <v>12</v>
      </c>
      <c r="F716" s="23">
        <f t="shared" si="90"/>
        <v>168</v>
      </c>
      <c r="G716" s="23">
        <f t="shared" ca="1" si="91"/>
        <v>12</v>
      </c>
      <c r="H716" s="23">
        <f t="shared" ref="H716:H779" ca="1" si="94">MIN(B716, $D$8+G716)</f>
        <v>312</v>
      </c>
      <c r="I716" s="23">
        <f t="shared" ref="I716:I779" ca="1" si="95">H716*$B$3-$D$8*$B$2-$B$1*G716</f>
        <v>21480</v>
      </c>
    </row>
    <row r="717" spans="2:9">
      <c r="B717" s="23">
        <f t="shared" ref="B717:B780" ca="1" si="96">_xlfn.FLOOR.MATH(_xlfn.NORM.INV(RAND(),$B$4,$B$5))</f>
        <v>228</v>
      </c>
      <c r="C717" s="23">
        <f t="shared" ref="C717:C780" ca="1" si="97">MIN(B717,$D$8)</f>
        <v>228</v>
      </c>
      <c r="D717" s="23">
        <f t="shared" ca="1" si="92"/>
        <v>11280</v>
      </c>
      <c r="E717" s="23">
        <f t="shared" ca="1" si="93"/>
        <v>0</v>
      </c>
      <c r="F717" s="23">
        <f t="shared" ref="F717:F780" si="98">12*(21-7)</f>
        <v>168</v>
      </c>
      <c r="G717" s="23">
        <f t="shared" ca="1" si="91"/>
        <v>0</v>
      </c>
      <c r="H717" s="23">
        <f t="shared" ca="1" si="94"/>
        <v>228</v>
      </c>
      <c r="I717" s="23">
        <f t="shared" ca="1" si="95"/>
        <v>11280</v>
      </c>
    </row>
    <row r="718" spans="2:9">
      <c r="B718" s="23">
        <f t="shared" ca="1" si="96"/>
        <v>235</v>
      </c>
      <c r="C718" s="23">
        <f t="shared" ca="1" si="97"/>
        <v>235</v>
      </c>
      <c r="D718" s="23">
        <f t="shared" ca="1" si="92"/>
        <v>12225</v>
      </c>
      <c r="E718" s="23">
        <f t="shared" ca="1" si="93"/>
        <v>0</v>
      </c>
      <c r="F718" s="23">
        <f t="shared" si="98"/>
        <v>168</v>
      </c>
      <c r="G718" s="23">
        <f t="shared" ca="1" si="91"/>
        <v>0</v>
      </c>
      <c r="H718" s="23">
        <f t="shared" ca="1" si="94"/>
        <v>235</v>
      </c>
      <c r="I718" s="23">
        <f t="shared" ca="1" si="95"/>
        <v>12225</v>
      </c>
    </row>
    <row r="719" spans="2:9">
      <c r="B719" s="23">
        <f t="shared" ca="1" si="96"/>
        <v>358</v>
      </c>
      <c r="C719" s="23">
        <f t="shared" ca="1" si="97"/>
        <v>300</v>
      </c>
      <c r="D719" s="23">
        <f t="shared" ca="1" si="92"/>
        <v>21000</v>
      </c>
      <c r="E719" s="23">
        <f t="shared" ca="1" si="93"/>
        <v>58</v>
      </c>
      <c r="F719" s="23">
        <f t="shared" si="98"/>
        <v>168</v>
      </c>
      <c r="G719" s="23">
        <f t="shared" ca="1" si="91"/>
        <v>58</v>
      </c>
      <c r="H719" s="23">
        <f t="shared" ca="1" si="94"/>
        <v>358</v>
      </c>
      <c r="I719" s="23">
        <f t="shared" ca="1" si="95"/>
        <v>23320</v>
      </c>
    </row>
    <row r="720" spans="2:9">
      <c r="B720" s="23">
        <f t="shared" ca="1" si="96"/>
        <v>260</v>
      </c>
      <c r="C720" s="23">
        <f t="shared" ca="1" si="97"/>
        <v>260</v>
      </c>
      <c r="D720" s="23">
        <f t="shared" ca="1" si="92"/>
        <v>15600</v>
      </c>
      <c r="E720" s="23">
        <f t="shared" ca="1" si="93"/>
        <v>0</v>
      </c>
      <c r="F720" s="23">
        <f t="shared" si="98"/>
        <v>168</v>
      </c>
      <c r="G720" s="23">
        <f t="shared" ref="G720:G783" ca="1" si="99">MIN(E720,F720)</f>
        <v>0</v>
      </c>
      <c r="H720" s="23">
        <f t="shared" ca="1" si="94"/>
        <v>260</v>
      </c>
      <c r="I720" s="23">
        <f t="shared" ca="1" si="95"/>
        <v>15600</v>
      </c>
    </row>
    <row r="721" spans="2:9">
      <c r="B721" s="23">
        <f t="shared" ca="1" si="96"/>
        <v>327</v>
      </c>
      <c r="C721" s="23">
        <f t="shared" ca="1" si="97"/>
        <v>300</v>
      </c>
      <c r="D721" s="23">
        <f t="shared" ca="1" si="92"/>
        <v>21000</v>
      </c>
      <c r="E721" s="23">
        <f t="shared" ca="1" si="93"/>
        <v>27</v>
      </c>
      <c r="F721" s="23">
        <f t="shared" si="98"/>
        <v>168</v>
      </c>
      <c r="G721" s="23">
        <f t="shared" ca="1" si="99"/>
        <v>27</v>
      </c>
      <c r="H721" s="23">
        <f t="shared" ca="1" si="94"/>
        <v>327</v>
      </c>
      <c r="I721" s="23">
        <f t="shared" ca="1" si="95"/>
        <v>22080</v>
      </c>
    </row>
    <row r="722" spans="2:9">
      <c r="B722" s="23">
        <f t="shared" ca="1" si="96"/>
        <v>296</v>
      </c>
      <c r="C722" s="23">
        <f t="shared" ca="1" si="97"/>
        <v>296</v>
      </c>
      <c r="D722" s="23">
        <f t="shared" ca="1" si="92"/>
        <v>20460</v>
      </c>
      <c r="E722" s="23">
        <f t="shared" ca="1" si="93"/>
        <v>0</v>
      </c>
      <c r="F722" s="23">
        <f t="shared" si="98"/>
        <v>168</v>
      </c>
      <c r="G722" s="23">
        <f t="shared" ca="1" si="99"/>
        <v>0</v>
      </c>
      <c r="H722" s="23">
        <f t="shared" ca="1" si="94"/>
        <v>296</v>
      </c>
      <c r="I722" s="23">
        <f t="shared" ca="1" si="95"/>
        <v>20460</v>
      </c>
    </row>
    <row r="723" spans="2:9">
      <c r="B723" s="23">
        <f t="shared" ca="1" si="96"/>
        <v>315</v>
      </c>
      <c r="C723" s="23">
        <f t="shared" ca="1" si="97"/>
        <v>300</v>
      </c>
      <c r="D723" s="23">
        <f t="shared" ca="1" si="92"/>
        <v>21000</v>
      </c>
      <c r="E723" s="23">
        <f t="shared" ca="1" si="93"/>
        <v>15</v>
      </c>
      <c r="F723" s="23">
        <f t="shared" si="98"/>
        <v>168</v>
      </c>
      <c r="G723" s="23">
        <f t="shared" ca="1" si="99"/>
        <v>15</v>
      </c>
      <c r="H723" s="23">
        <f t="shared" ca="1" si="94"/>
        <v>315</v>
      </c>
      <c r="I723" s="23">
        <f t="shared" ca="1" si="95"/>
        <v>21600</v>
      </c>
    </row>
    <row r="724" spans="2:9">
      <c r="B724" s="23">
        <f t="shared" ca="1" si="96"/>
        <v>229</v>
      </c>
      <c r="C724" s="23">
        <f t="shared" ca="1" si="97"/>
        <v>229</v>
      </c>
      <c r="D724" s="23">
        <f t="shared" ca="1" si="92"/>
        <v>11415</v>
      </c>
      <c r="E724" s="23">
        <f t="shared" ca="1" si="93"/>
        <v>0</v>
      </c>
      <c r="F724" s="23">
        <f t="shared" si="98"/>
        <v>168</v>
      </c>
      <c r="G724" s="23">
        <f t="shared" ca="1" si="99"/>
        <v>0</v>
      </c>
      <c r="H724" s="23">
        <f t="shared" ca="1" si="94"/>
        <v>229</v>
      </c>
      <c r="I724" s="23">
        <f t="shared" ca="1" si="95"/>
        <v>11415</v>
      </c>
    </row>
    <row r="725" spans="2:9">
      <c r="B725" s="23">
        <f t="shared" ca="1" si="96"/>
        <v>310</v>
      </c>
      <c r="C725" s="23">
        <f t="shared" ca="1" si="97"/>
        <v>300</v>
      </c>
      <c r="D725" s="23">
        <f t="shared" ca="1" si="92"/>
        <v>21000</v>
      </c>
      <c r="E725" s="23">
        <f t="shared" ca="1" si="93"/>
        <v>10</v>
      </c>
      <c r="F725" s="23">
        <f t="shared" si="98"/>
        <v>168</v>
      </c>
      <c r="G725" s="23">
        <f t="shared" ca="1" si="99"/>
        <v>10</v>
      </c>
      <c r="H725" s="23">
        <f t="shared" ca="1" si="94"/>
        <v>310</v>
      </c>
      <c r="I725" s="23">
        <f t="shared" ca="1" si="95"/>
        <v>21400</v>
      </c>
    </row>
    <row r="726" spans="2:9">
      <c r="B726" s="23">
        <f t="shared" ca="1" si="96"/>
        <v>324</v>
      </c>
      <c r="C726" s="23">
        <f t="shared" ca="1" si="97"/>
        <v>300</v>
      </c>
      <c r="D726" s="23">
        <f t="shared" ca="1" si="92"/>
        <v>21000</v>
      </c>
      <c r="E726" s="23">
        <f t="shared" ca="1" si="93"/>
        <v>24</v>
      </c>
      <c r="F726" s="23">
        <f t="shared" si="98"/>
        <v>168</v>
      </c>
      <c r="G726" s="23">
        <f t="shared" ca="1" si="99"/>
        <v>24</v>
      </c>
      <c r="H726" s="23">
        <f t="shared" ca="1" si="94"/>
        <v>324</v>
      </c>
      <c r="I726" s="23">
        <f t="shared" ca="1" si="95"/>
        <v>21960</v>
      </c>
    </row>
    <row r="727" spans="2:9">
      <c r="B727" s="23">
        <f t="shared" ca="1" si="96"/>
        <v>318</v>
      </c>
      <c r="C727" s="23">
        <f t="shared" ca="1" si="97"/>
        <v>300</v>
      </c>
      <c r="D727" s="23">
        <f t="shared" ca="1" si="92"/>
        <v>21000</v>
      </c>
      <c r="E727" s="23">
        <f t="shared" ca="1" si="93"/>
        <v>18</v>
      </c>
      <c r="F727" s="23">
        <f t="shared" si="98"/>
        <v>168</v>
      </c>
      <c r="G727" s="23">
        <f t="shared" ca="1" si="99"/>
        <v>18</v>
      </c>
      <c r="H727" s="23">
        <f t="shared" ca="1" si="94"/>
        <v>318</v>
      </c>
      <c r="I727" s="23">
        <f t="shared" ca="1" si="95"/>
        <v>21720</v>
      </c>
    </row>
    <row r="728" spans="2:9">
      <c r="B728" s="23">
        <f t="shared" ca="1" si="96"/>
        <v>-7</v>
      </c>
      <c r="C728" s="23">
        <f t="shared" ca="1" si="97"/>
        <v>-7</v>
      </c>
      <c r="D728" s="23">
        <f t="shared" ca="1" si="92"/>
        <v>-20445</v>
      </c>
      <c r="E728" s="23">
        <f t="shared" ca="1" si="93"/>
        <v>0</v>
      </c>
      <c r="F728" s="23">
        <f t="shared" si="98"/>
        <v>168</v>
      </c>
      <c r="G728" s="23">
        <f t="shared" ca="1" si="99"/>
        <v>0</v>
      </c>
      <c r="H728" s="23">
        <f t="shared" ca="1" si="94"/>
        <v>-7</v>
      </c>
      <c r="I728" s="23">
        <f t="shared" ca="1" si="95"/>
        <v>-20445</v>
      </c>
    </row>
    <row r="729" spans="2:9">
      <c r="B729" s="23">
        <f t="shared" ca="1" si="96"/>
        <v>283</v>
      </c>
      <c r="C729" s="23">
        <f t="shared" ca="1" si="97"/>
        <v>283</v>
      </c>
      <c r="D729" s="23">
        <f t="shared" ca="1" si="92"/>
        <v>18705</v>
      </c>
      <c r="E729" s="23">
        <f t="shared" ca="1" si="93"/>
        <v>0</v>
      </c>
      <c r="F729" s="23">
        <f t="shared" si="98"/>
        <v>168</v>
      </c>
      <c r="G729" s="23">
        <f t="shared" ca="1" si="99"/>
        <v>0</v>
      </c>
      <c r="H729" s="23">
        <f t="shared" ca="1" si="94"/>
        <v>283</v>
      </c>
      <c r="I729" s="23">
        <f t="shared" ca="1" si="95"/>
        <v>18705</v>
      </c>
    </row>
    <row r="730" spans="2:9">
      <c r="B730" s="23">
        <f t="shared" ca="1" si="96"/>
        <v>203</v>
      </c>
      <c r="C730" s="23">
        <f t="shared" ca="1" si="97"/>
        <v>203</v>
      </c>
      <c r="D730" s="23">
        <f t="shared" ca="1" si="92"/>
        <v>7905</v>
      </c>
      <c r="E730" s="23">
        <f t="shared" ca="1" si="93"/>
        <v>0</v>
      </c>
      <c r="F730" s="23">
        <f t="shared" si="98"/>
        <v>168</v>
      </c>
      <c r="G730" s="23">
        <f t="shared" ca="1" si="99"/>
        <v>0</v>
      </c>
      <c r="H730" s="23">
        <f t="shared" ca="1" si="94"/>
        <v>203</v>
      </c>
      <c r="I730" s="23">
        <f t="shared" ca="1" si="95"/>
        <v>7905</v>
      </c>
    </row>
    <row r="731" spans="2:9">
      <c r="B731" s="23">
        <f t="shared" ca="1" si="96"/>
        <v>227</v>
      </c>
      <c r="C731" s="23">
        <f t="shared" ca="1" si="97"/>
        <v>227</v>
      </c>
      <c r="D731" s="23">
        <f t="shared" ca="1" si="92"/>
        <v>11145</v>
      </c>
      <c r="E731" s="23">
        <f t="shared" ca="1" si="93"/>
        <v>0</v>
      </c>
      <c r="F731" s="23">
        <f t="shared" si="98"/>
        <v>168</v>
      </c>
      <c r="G731" s="23">
        <f t="shared" ca="1" si="99"/>
        <v>0</v>
      </c>
      <c r="H731" s="23">
        <f t="shared" ca="1" si="94"/>
        <v>227</v>
      </c>
      <c r="I731" s="23">
        <f t="shared" ca="1" si="95"/>
        <v>11145</v>
      </c>
    </row>
    <row r="732" spans="2:9">
      <c r="B732" s="23">
        <f t="shared" ca="1" si="96"/>
        <v>319</v>
      </c>
      <c r="C732" s="23">
        <f t="shared" ca="1" si="97"/>
        <v>300</v>
      </c>
      <c r="D732" s="23">
        <f t="shared" ca="1" si="92"/>
        <v>21000</v>
      </c>
      <c r="E732" s="23">
        <f t="shared" ca="1" si="93"/>
        <v>19</v>
      </c>
      <c r="F732" s="23">
        <f t="shared" si="98"/>
        <v>168</v>
      </c>
      <c r="G732" s="23">
        <f t="shared" ca="1" si="99"/>
        <v>19</v>
      </c>
      <c r="H732" s="23">
        <f t="shared" ca="1" si="94"/>
        <v>319</v>
      </c>
      <c r="I732" s="23">
        <f t="shared" ca="1" si="95"/>
        <v>21760</v>
      </c>
    </row>
    <row r="733" spans="2:9">
      <c r="B733" s="23">
        <f t="shared" ca="1" si="96"/>
        <v>307</v>
      </c>
      <c r="C733" s="23">
        <f t="shared" ca="1" si="97"/>
        <v>300</v>
      </c>
      <c r="D733" s="23">
        <f t="shared" ca="1" si="92"/>
        <v>21000</v>
      </c>
      <c r="E733" s="23">
        <f t="shared" ca="1" si="93"/>
        <v>7</v>
      </c>
      <c r="F733" s="23">
        <f t="shared" si="98"/>
        <v>168</v>
      </c>
      <c r="G733" s="23">
        <f t="shared" ca="1" si="99"/>
        <v>7</v>
      </c>
      <c r="H733" s="23">
        <f t="shared" ca="1" si="94"/>
        <v>307</v>
      </c>
      <c r="I733" s="23">
        <f t="shared" ca="1" si="95"/>
        <v>21280</v>
      </c>
    </row>
    <row r="734" spans="2:9">
      <c r="B734" s="23">
        <f t="shared" ca="1" si="96"/>
        <v>454</v>
      </c>
      <c r="C734" s="23">
        <f t="shared" ca="1" si="97"/>
        <v>300</v>
      </c>
      <c r="D734" s="23">
        <f t="shared" ca="1" si="92"/>
        <v>21000</v>
      </c>
      <c r="E734" s="23">
        <f t="shared" ca="1" si="93"/>
        <v>154</v>
      </c>
      <c r="F734" s="23">
        <f t="shared" si="98"/>
        <v>168</v>
      </c>
      <c r="G734" s="23">
        <f t="shared" ca="1" si="99"/>
        <v>154</v>
      </c>
      <c r="H734" s="23">
        <f t="shared" ca="1" si="94"/>
        <v>454</v>
      </c>
      <c r="I734" s="23">
        <f t="shared" ca="1" si="95"/>
        <v>27160</v>
      </c>
    </row>
    <row r="735" spans="2:9">
      <c r="B735" s="23">
        <f t="shared" ca="1" si="96"/>
        <v>223</v>
      </c>
      <c r="C735" s="23">
        <f t="shared" ca="1" si="97"/>
        <v>223</v>
      </c>
      <c r="D735" s="23">
        <f t="shared" ca="1" si="92"/>
        <v>10605</v>
      </c>
      <c r="E735" s="23">
        <f t="shared" ca="1" si="93"/>
        <v>0</v>
      </c>
      <c r="F735" s="23">
        <f t="shared" si="98"/>
        <v>168</v>
      </c>
      <c r="G735" s="23">
        <f t="shared" ca="1" si="99"/>
        <v>0</v>
      </c>
      <c r="H735" s="23">
        <f t="shared" ca="1" si="94"/>
        <v>223</v>
      </c>
      <c r="I735" s="23">
        <f t="shared" ca="1" si="95"/>
        <v>10605</v>
      </c>
    </row>
    <row r="736" spans="2:9">
      <c r="B736" s="23">
        <f t="shared" ca="1" si="96"/>
        <v>259</v>
      </c>
      <c r="C736" s="23">
        <f t="shared" ca="1" si="97"/>
        <v>259</v>
      </c>
      <c r="D736" s="23">
        <f t="shared" ca="1" si="92"/>
        <v>15465</v>
      </c>
      <c r="E736" s="23">
        <f t="shared" ca="1" si="93"/>
        <v>0</v>
      </c>
      <c r="F736" s="23">
        <f t="shared" si="98"/>
        <v>168</v>
      </c>
      <c r="G736" s="23">
        <f t="shared" ca="1" si="99"/>
        <v>0</v>
      </c>
      <c r="H736" s="23">
        <f t="shared" ca="1" si="94"/>
        <v>259</v>
      </c>
      <c r="I736" s="23">
        <f t="shared" ca="1" si="95"/>
        <v>15465</v>
      </c>
    </row>
    <row r="737" spans="2:9">
      <c r="B737" s="23">
        <f t="shared" ca="1" si="96"/>
        <v>442</v>
      </c>
      <c r="C737" s="23">
        <f t="shared" ca="1" si="97"/>
        <v>300</v>
      </c>
      <c r="D737" s="23">
        <f t="shared" ca="1" si="92"/>
        <v>21000</v>
      </c>
      <c r="E737" s="23">
        <f t="shared" ca="1" si="93"/>
        <v>142</v>
      </c>
      <c r="F737" s="23">
        <f t="shared" si="98"/>
        <v>168</v>
      </c>
      <c r="G737" s="23">
        <f t="shared" ca="1" si="99"/>
        <v>142</v>
      </c>
      <c r="H737" s="23">
        <f t="shared" ca="1" si="94"/>
        <v>442</v>
      </c>
      <c r="I737" s="23">
        <f t="shared" ca="1" si="95"/>
        <v>26680</v>
      </c>
    </row>
    <row r="738" spans="2:9">
      <c r="B738" s="23">
        <f t="shared" ca="1" si="96"/>
        <v>338</v>
      </c>
      <c r="C738" s="23">
        <f t="shared" ca="1" si="97"/>
        <v>300</v>
      </c>
      <c r="D738" s="23">
        <f t="shared" ca="1" si="92"/>
        <v>21000</v>
      </c>
      <c r="E738" s="23">
        <f t="shared" ca="1" si="93"/>
        <v>38</v>
      </c>
      <c r="F738" s="23">
        <f t="shared" si="98"/>
        <v>168</v>
      </c>
      <c r="G738" s="23">
        <f t="shared" ca="1" si="99"/>
        <v>38</v>
      </c>
      <c r="H738" s="23">
        <f t="shared" ca="1" si="94"/>
        <v>338</v>
      </c>
      <c r="I738" s="23">
        <f t="shared" ca="1" si="95"/>
        <v>22520</v>
      </c>
    </row>
    <row r="739" spans="2:9">
      <c r="B739" s="23">
        <f t="shared" ca="1" si="96"/>
        <v>384</v>
      </c>
      <c r="C739" s="23">
        <f t="shared" ca="1" si="97"/>
        <v>300</v>
      </c>
      <c r="D739" s="23">
        <f t="shared" ca="1" si="92"/>
        <v>21000</v>
      </c>
      <c r="E739" s="23">
        <f t="shared" ca="1" si="93"/>
        <v>84</v>
      </c>
      <c r="F739" s="23">
        <f t="shared" si="98"/>
        <v>168</v>
      </c>
      <c r="G739" s="23">
        <f t="shared" ca="1" si="99"/>
        <v>84</v>
      </c>
      <c r="H739" s="23">
        <f t="shared" ca="1" si="94"/>
        <v>384</v>
      </c>
      <c r="I739" s="23">
        <f t="shared" ca="1" si="95"/>
        <v>24360</v>
      </c>
    </row>
    <row r="740" spans="2:9">
      <c r="B740" s="23">
        <f t="shared" ca="1" si="96"/>
        <v>404</v>
      </c>
      <c r="C740" s="23">
        <f t="shared" ca="1" si="97"/>
        <v>300</v>
      </c>
      <c r="D740" s="23">
        <f t="shared" ca="1" si="92"/>
        <v>21000</v>
      </c>
      <c r="E740" s="23">
        <f t="shared" ca="1" si="93"/>
        <v>104</v>
      </c>
      <c r="F740" s="23">
        <f t="shared" si="98"/>
        <v>168</v>
      </c>
      <c r="G740" s="23">
        <f t="shared" ca="1" si="99"/>
        <v>104</v>
      </c>
      <c r="H740" s="23">
        <f t="shared" ca="1" si="94"/>
        <v>404</v>
      </c>
      <c r="I740" s="23">
        <f t="shared" ca="1" si="95"/>
        <v>25160</v>
      </c>
    </row>
    <row r="741" spans="2:9">
      <c r="B741" s="23">
        <f t="shared" ca="1" si="96"/>
        <v>306</v>
      </c>
      <c r="C741" s="23">
        <f t="shared" ca="1" si="97"/>
        <v>300</v>
      </c>
      <c r="D741" s="23">
        <f t="shared" ca="1" si="92"/>
        <v>21000</v>
      </c>
      <c r="E741" s="23">
        <f t="shared" ca="1" si="93"/>
        <v>6</v>
      </c>
      <c r="F741" s="23">
        <f t="shared" si="98"/>
        <v>168</v>
      </c>
      <c r="G741" s="23">
        <f t="shared" ca="1" si="99"/>
        <v>6</v>
      </c>
      <c r="H741" s="23">
        <f t="shared" ca="1" si="94"/>
        <v>306</v>
      </c>
      <c r="I741" s="23">
        <f t="shared" ca="1" si="95"/>
        <v>21240</v>
      </c>
    </row>
    <row r="742" spans="2:9">
      <c r="B742" s="23">
        <f t="shared" ca="1" si="96"/>
        <v>95</v>
      </c>
      <c r="C742" s="23">
        <f t="shared" ca="1" si="97"/>
        <v>95</v>
      </c>
      <c r="D742" s="23">
        <f t="shared" ca="1" si="92"/>
        <v>-6675</v>
      </c>
      <c r="E742" s="23">
        <f t="shared" ca="1" si="93"/>
        <v>0</v>
      </c>
      <c r="F742" s="23">
        <f t="shared" si="98"/>
        <v>168</v>
      </c>
      <c r="G742" s="23">
        <f t="shared" ca="1" si="99"/>
        <v>0</v>
      </c>
      <c r="H742" s="23">
        <f t="shared" ca="1" si="94"/>
        <v>95</v>
      </c>
      <c r="I742" s="23">
        <f t="shared" ca="1" si="95"/>
        <v>-6675</v>
      </c>
    </row>
    <row r="743" spans="2:9">
      <c r="B743" s="23">
        <f t="shared" ca="1" si="96"/>
        <v>213</v>
      </c>
      <c r="C743" s="23">
        <f t="shared" ca="1" si="97"/>
        <v>213</v>
      </c>
      <c r="D743" s="23">
        <f t="shared" ca="1" si="92"/>
        <v>9255</v>
      </c>
      <c r="E743" s="23">
        <f t="shared" ca="1" si="93"/>
        <v>0</v>
      </c>
      <c r="F743" s="23">
        <f t="shared" si="98"/>
        <v>168</v>
      </c>
      <c r="G743" s="23">
        <f t="shared" ca="1" si="99"/>
        <v>0</v>
      </c>
      <c r="H743" s="23">
        <f t="shared" ca="1" si="94"/>
        <v>213</v>
      </c>
      <c r="I743" s="23">
        <f t="shared" ca="1" si="95"/>
        <v>9255</v>
      </c>
    </row>
    <row r="744" spans="2:9">
      <c r="B744" s="23">
        <f t="shared" ca="1" si="96"/>
        <v>311</v>
      </c>
      <c r="C744" s="23">
        <f t="shared" ca="1" si="97"/>
        <v>300</v>
      </c>
      <c r="D744" s="23">
        <f t="shared" ca="1" si="92"/>
        <v>21000</v>
      </c>
      <c r="E744" s="23">
        <f t="shared" ca="1" si="93"/>
        <v>11</v>
      </c>
      <c r="F744" s="23">
        <f t="shared" si="98"/>
        <v>168</v>
      </c>
      <c r="G744" s="23">
        <f t="shared" ca="1" si="99"/>
        <v>11</v>
      </c>
      <c r="H744" s="23">
        <f t="shared" ca="1" si="94"/>
        <v>311</v>
      </c>
      <c r="I744" s="23">
        <f t="shared" ca="1" si="95"/>
        <v>21440</v>
      </c>
    </row>
    <row r="745" spans="2:9">
      <c r="B745" s="23">
        <f t="shared" ca="1" si="96"/>
        <v>239</v>
      </c>
      <c r="C745" s="23">
        <f t="shared" ca="1" si="97"/>
        <v>239</v>
      </c>
      <c r="D745" s="23">
        <f t="shared" ca="1" si="92"/>
        <v>12765</v>
      </c>
      <c r="E745" s="23">
        <f t="shared" ca="1" si="93"/>
        <v>0</v>
      </c>
      <c r="F745" s="23">
        <f t="shared" si="98"/>
        <v>168</v>
      </c>
      <c r="G745" s="23">
        <f t="shared" ca="1" si="99"/>
        <v>0</v>
      </c>
      <c r="H745" s="23">
        <f t="shared" ca="1" si="94"/>
        <v>239</v>
      </c>
      <c r="I745" s="23">
        <f t="shared" ca="1" si="95"/>
        <v>12765</v>
      </c>
    </row>
    <row r="746" spans="2:9">
      <c r="B746" s="23">
        <f t="shared" ca="1" si="96"/>
        <v>353</v>
      </c>
      <c r="C746" s="23">
        <f t="shared" ca="1" si="97"/>
        <v>300</v>
      </c>
      <c r="D746" s="23">
        <f t="shared" ca="1" si="92"/>
        <v>21000</v>
      </c>
      <c r="E746" s="23">
        <f t="shared" ca="1" si="93"/>
        <v>53</v>
      </c>
      <c r="F746" s="23">
        <f t="shared" si="98"/>
        <v>168</v>
      </c>
      <c r="G746" s="23">
        <f t="shared" ca="1" si="99"/>
        <v>53</v>
      </c>
      <c r="H746" s="23">
        <f t="shared" ca="1" si="94"/>
        <v>353</v>
      </c>
      <c r="I746" s="23">
        <f t="shared" ca="1" si="95"/>
        <v>23120</v>
      </c>
    </row>
    <row r="747" spans="2:9">
      <c r="B747" s="23">
        <f t="shared" ca="1" si="96"/>
        <v>177</v>
      </c>
      <c r="C747" s="23">
        <f t="shared" ca="1" si="97"/>
        <v>177</v>
      </c>
      <c r="D747" s="23">
        <f t="shared" ca="1" si="92"/>
        <v>4395</v>
      </c>
      <c r="E747" s="23">
        <f t="shared" ca="1" si="93"/>
        <v>0</v>
      </c>
      <c r="F747" s="23">
        <f t="shared" si="98"/>
        <v>168</v>
      </c>
      <c r="G747" s="23">
        <f t="shared" ca="1" si="99"/>
        <v>0</v>
      </c>
      <c r="H747" s="23">
        <f t="shared" ca="1" si="94"/>
        <v>177</v>
      </c>
      <c r="I747" s="23">
        <f t="shared" ca="1" si="95"/>
        <v>4395</v>
      </c>
    </row>
    <row r="748" spans="2:9">
      <c r="B748" s="23">
        <f t="shared" ca="1" si="96"/>
        <v>379</v>
      </c>
      <c r="C748" s="23">
        <f t="shared" ca="1" si="97"/>
        <v>300</v>
      </c>
      <c r="D748" s="23">
        <f t="shared" ca="1" si="92"/>
        <v>21000</v>
      </c>
      <c r="E748" s="23">
        <f t="shared" ca="1" si="93"/>
        <v>79</v>
      </c>
      <c r="F748" s="23">
        <f t="shared" si="98"/>
        <v>168</v>
      </c>
      <c r="G748" s="23">
        <f t="shared" ca="1" si="99"/>
        <v>79</v>
      </c>
      <c r="H748" s="23">
        <f t="shared" ca="1" si="94"/>
        <v>379</v>
      </c>
      <c r="I748" s="23">
        <f t="shared" ca="1" si="95"/>
        <v>24160</v>
      </c>
    </row>
    <row r="749" spans="2:9">
      <c r="B749" s="23">
        <f t="shared" ca="1" si="96"/>
        <v>248</v>
      </c>
      <c r="C749" s="23">
        <f t="shared" ca="1" si="97"/>
        <v>248</v>
      </c>
      <c r="D749" s="23">
        <f t="shared" ca="1" si="92"/>
        <v>13980</v>
      </c>
      <c r="E749" s="23">
        <f t="shared" ca="1" si="93"/>
        <v>0</v>
      </c>
      <c r="F749" s="23">
        <f t="shared" si="98"/>
        <v>168</v>
      </c>
      <c r="G749" s="23">
        <f t="shared" ca="1" si="99"/>
        <v>0</v>
      </c>
      <c r="H749" s="23">
        <f t="shared" ca="1" si="94"/>
        <v>248</v>
      </c>
      <c r="I749" s="23">
        <f t="shared" ca="1" si="95"/>
        <v>13980</v>
      </c>
    </row>
    <row r="750" spans="2:9">
      <c r="B750" s="23">
        <f t="shared" ca="1" si="96"/>
        <v>290</v>
      </c>
      <c r="C750" s="23">
        <f t="shared" ca="1" si="97"/>
        <v>290</v>
      </c>
      <c r="D750" s="23">
        <f t="shared" ca="1" si="92"/>
        <v>19650</v>
      </c>
      <c r="E750" s="23">
        <f t="shared" ca="1" si="93"/>
        <v>0</v>
      </c>
      <c r="F750" s="23">
        <f t="shared" si="98"/>
        <v>168</v>
      </c>
      <c r="G750" s="23">
        <f t="shared" ca="1" si="99"/>
        <v>0</v>
      </c>
      <c r="H750" s="23">
        <f t="shared" ca="1" si="94"/>
        <v>290</v>
      </c>
      <c r="I750" s="23">
        <f t="shared" ca="1" si="95"/>
        <v>19650</v>
      </c>
    </row>
    <row r="751" spans="2:9">
      <c r="B751" s="23">
        <f t="shared" ca="1" si="96"/>
        <v>313</v>
      </c>
      <c r="C751" s="23">
        <f t="shared" ca="1" si="97"/>
        <v>300</v>
      </c>
      <c r="D751" s="23">
        <f t="shared" ca="1" si="92"/>
        <v>21000</v>
      </c>
      <c r="E751" s="23">
        <f t="shared" ca="1" si="93"/>
        <v>13</v>
      </c>
      <c r="F751" s="23">
        <f t="shared" si="98"/>
        <v>168</v>
      </c>
      <c r="G751" s="23">
        <f t="shared" ca="1" si="99"/>
        <v>13</v>
      </c>
      <c r="H751" s="23">
        <f t="shared" ca="1" si="94"/>
        <v>313</v>
      </c>
      <c r="I751" s="23">
        <f t="shared" ca="1" si="95"/>
        <v>21520</v>
      </c>
    </row>
    <row r="752" spans="2:9">
      <c r="B752" s="23">
        <f t="shared" ca="1" si="96"/>
        <v>167</v>
      </c>
      <c r="C752" s="23">
        <f t="shared" ca="1" si="97"/>
        <v>167</v>
      </c>
      <c r="D752" s="23">
        <f t="shared" ca="1" si="92"/>
        <v>3045</v>
      </c>
      <c r="E752" s="23">
        <f t="shared" ca="1" si="93"/>
        <v>0</v>
      </c>
      <c r="F752" s="23">
        <f t="shared" si="98"/>
        <v>168</v>
      </c>
      <c r="G752" s="23">
        <f t="shared" ca="1" si="99"/>
        <v>0</v>
      </c>
      <c r="H752" s="23">
        <f t="shared" ca="1" si="94"/>
        <v>167</v>
      </c>
      <c r="I752" s="23">
        <f t="shared" ca="1" si="95"/>
        <v>3045</v>
      </c>
    </row>
    <row r="753" spans="2:9">
      <c r="B753" s="23">
        <f t="shared" ca="1" si="96"/>
        <v>299</v>
      </c>
      <c r="C753" s="23">
        <f t="shared" ca="1" si="97"/>
        <v>299</v>
      </c>
      <c r="D753" s="23">
        <f t="shared" ca="1" si="92"/>
        <v>20865</v>
      </c>
      <c r="E753" s="23">
        <f t="shared" ca="1" si="93"/>
        <v>0</v>
      </c>
      <c r="F753" s="23">
        <f t="shared" si="98"/>
        <v>168</v>
      </c>
      <c r="G753" s="23">
        <f t="shared" ca="1" si="99"/>
        <v>0</v>
      </c>
      <c r="H753" s="23">
        <f t="shared" ca="1" si="94"/>
        <v>299</v>
      </c>
      <c r="I753" s="23">
        <f t="shared" ca="1" si="95"/>
        <v>20865</v>
      </c>
    </row>
    <row r="754" spans="2:9">
      <c r="B754" s="23">
        <f t="shared" ca="1" si="96"/>
        <v>281</v>
      </c>
      <c r="C754" s="23">
        <f t="shared" ca="1" si="97"/>
        <v>281</v>
      </c>
      <c r="D754" s="23">
        <f t="shared" ca="1" si="92"/>
        <v>18435</v>
      </c>
      <c r="E754" s="23">
        <f t="shared" ca="1" si="93"/>
        <v>0</v>
      </c>
      <c r="F754" s="23">
        <f t="shared" si="98"/>
        <v>168</v>
      </c>
      <c r="G754" s="23">
        <f t="shared" ca="1" si="99"/>
        <v>0</v>
      </c>
      <c r="H754" s="23">
        <f t="shared" ca="1" si="94"/>
        <v>281</v>
      </c>
      <c r="I754" s="23">
        <f t="shared" ca="1" si="95"/>
        <v>18435</v>
      </c>
    </row>
    <row r="755" spans="2:9">
      <c r="B755" s="23">
        <f t="shared" ca="1" si="96"/>
        <v>235</v>
      </c>
      <c r="C755" s="23">
        <f t="shared" ca="1" si="97"/>
        <v>235</v>
      </c>
      <c r="D755" s="23">
        <f t="shared" ca="1" si="92"/>
        <v>12225</v>
      </c>
      <c r="E755" s="23">
        <f t="shared" ca="1" si="93"/>
        <v>0</v>
      </c>
      <c r="F755" s="23">
        <f t="shared" si="98"/>
        <v>168</v>
      </c>
      <c r="G755" s="23">
        <f t="shared" ca="1" si="99"/>
        <v>0</v>
      </c>
      <c r="H755" s="23">
        <f t="shared" ca="1" si="94"/>
        <v>235</v>
      </c>
      <c r="I755" s="23">
        <f t="shared" ca="1" si="95"/>
        <v>12225</v>
      </c>
    </row>
    <row r="756" spans="2:9">
      <c r="B756" s="23">
        <f t="shared" ca="1" si="96"/>
        <v>243</v>
      </c>
      <c r="C756" s="23">
        <f t="shared" ca="1" si="97"/>
        <v>243</v>
      </c>
      <c r="D756" s="23">
        <f t="shared" ca="1" si="92"/>
        <v>13305</v>
      </c>
      <c r="E756" s="23">
        <f t="shared" ca="1" si="93"/>
        <v>0</v>
      </c>
      <c r="F756" s="23">
        <f t="shared" si="98"/>
        <v>168</v>
      </c>
      <c r="G756" s="23">
        <f t="shared" ca="1" si="99"/>
        <v>0</v>
      </c>
      <c r="H756" s="23">
        <f t="shared" ca="1" si="94"/>
        <v>243</v>
      </c>
      <c r="I756" s="23">
        <f t="shared" ca="1" si="95"/>
        <v>13305</v>
      </c>
    </row>
    <row r="757" spans="2:9">
      <c r="B757" s="23">
        <f t="shared" ca="1" si="96"/>
        <v>182</v>
      </c>
      <c r="C757" s="23">
        <f t="shared" ca="1" si="97"/>
        <v>182</v>
      </c>
      <c r="D757" s="23">
        <f t="shared" ca="1" si="92"/>
        <v>5070</v>
      </c>
      <c r="E757" s="23">
        <f t="shared" ca="1" si="93"/>
        <v>0</v>
      </c>
      <c r="F757" s="23">
        <f t="shared" si="98"/>
        <v>168</v>
      </c>
      <c r="G757" s="23">
        <f t="shared" ca="1" si="99"/>
        <v>0</v>
      </c>
      <c r="H757" s="23">
        <f t="shared" ca="1" si="94"/>
        <v>182</v>
      </c>
      <c r="I757" s="23">
        <f t="shared" ca="1" si="95"/>
        <v>5070</v>
      </c>
    </row>
    <row r="758" spans="2:9">
      <c r="B758" s="23">
        <f t="shared" ca="1" si="96"/>
        <v>271</v>
      </c>
      <c r="C758" s="23">
        <f t="shared" ca="1" si="97"/>
        <v>271</v>
      </c>
      <c r="D758" s="23">
        <f t="shared" ca="1" si="92"/>
        <v>17085</v>
      </c>
      <c r="E758" s="23">
        <f t="shared" ca="1" si="93"/>
        <v>0</v>
      </c>
      <c r="F758" s="23">
        <f t="shared" si="98"/>
        <v>168</v>
      </c>
      <c r="G758" s="23">
        <f t="shared" ca="1" si="99"/>
        <v>0</v>
      </c>
      <c r="H758" s="23">
        <f t="shared" ca="1" si="94"/>
        <v>271</v>
      </c>
      <c r="I758" s="23">
        <f t="shared" ca="1" si="95"/>
        <v>17085</v>
      </c>
    </row>
    <row r="759" spans="2:9">
      <c r="B759" s="23">
        <f t="shared" ca="1" si="96"/>
        <v>122</v>
      </c>
      <c r="C759" s="23">
        <f t="shared" ca="1" si="97"/>
        <v>122</v>
      </c>
      <c r="D759" s="23">
        <f t="shared" ca="1" si="92"/>
        <v>-3030</v>
      </c>
      <c r="E759" s="23">
        <f t="shared" ca="1" si="93"/>
        <v>0</v>
      </c>
      <c r="F759" s="23">
        <f t="shared" si="98"/>
        <v>168</v>
      </c>
      <c r="G759" s="23">
        <f t="shared" ca="1" si="99"/>
        <v>0</v>
      </c>
      <c r="H759" s="23">
        <f t="shared" ca="1" si="94"/>
        <v>122</v>
      </c>
      <c r="I759" s="23">
        <f t="shared" ca="1" si="95"/>
        <v>-3030</v>
      </c>
    </row>
    <row r="760" spans="2:9">
      <c r="B760" s="23">
        <f t="shared" ca="1" si="96"/>
        <v>501</v>
      </c>
      <c r="C760" s="23">
        <f t="shared" ca="1" si="97"/>
        <v>300</v>
      </c>
      <c r="D760" s="23">
        <f t="shared" ca="1" si="92"/>
        <v>21000</v>
      </c>
      <c r="E760" s="23">
        <f t="shared" ca="1" si="93"/>
        <v>201</v>
      </c>
      <c r="F760" s="23">
        <f t="shared" si="98"/>
        <v>168</v>
      </c>
      <c r="G760" s="23">
        <f t="shared" ca="1" si="99"/>
        <v>168</v>
      </c>
      <c r="H760" s="23">
        <f t="shared" ca="1" si="94"/>
        <v>468</v>
      </c>
      <c r="I760" s="23">
        <f t="shared" ca="1" si="95"/>
        <v>27720</v>
      </c>
    </row>
    <row r="761" spans="2:9">
      <c r="B761" s="23">
        <f t="shared" ca="1" si="96"/>
        <v>218</v>
      </c>
      <c r="C761" s="23">
        <f t="shared" ca="1" si="97"/>
        <v>218</v>
      </c>
      <c r="D761" s="23">
        <f t="shared" ca="1" si="92"/>
        <v>9930</v>
      </c>
      <c r="E761" s="23">
        <f t="shared" ca="1" si="93"/>
        <v>0</v>
      </c>
      <c r="F761" s="23">
        <f t="shared" si="98"/>
        <v>168</v>
      </c>
      <c r="G761" s="23">
        <f t="shared" ca="1" si="99"/>
        <v>0</v>
      </c>
      <c r="H761" s="23">
        <f t="shared" ca="1" si="94"/>
        <v>218</v>
      </c>
      <c r="I761" s="23">
        <f t="shared" ca="1" si="95"/>
        <v>9930</v>
      </c>
    </row>
    <row r="762" spans="2:9">
      <c r="B762" s="23">
        <f t="shared" ca="1" si="96"/>
        <v>194</v>
      </c>
      <c r="C762" s="23">
        <f t="shared" ca="1" si="97"/>
        <v>194</v>
      </c>
      <c r="D762" s="23">
        <f t="shared" ca="1" si="92"/>
        <v>6690</v>
      </c>
      <c r="E762" s="23">
        <f t="shared" ca="1" si="93"/>
        <v>0</v>
      </c>
      <c r="F762" s="23">
        <f t="shared" si="98"/>
        <v>168</v>
      </c>
      <c r="G762" s="23">
        <f t="shared" ca="1" si="99"/>
        <v>0</v>
      </c>
      <c r="H762" s="23">
        <f t="shared" ca="1" si="94"/>
        <v>194</v>
      </c>
      <c r="I762" s="23">
        <f t="shared" ca="1" si="95"/>
        <v>6690</v>
      </c>
    </row>
    <row r="763" spans="2:9">
      <c r="B763" s="23">
        <f t="shared" ca="1" si="96"/>
        <v>432</v>
      </c>
      <c r="C763" s="23">
        <f t="shared" ca="1" si="97"/>
        <v>300</v>
      </c>
      <c r="D763" s="23">
        <f t="shared" ca="1" si="92"/>
        <v>21000</v>
      </c>
      <c r="E763" s="23">
        <f t="shared" ca="1" si="93"/>
        <v>132</v>
      </c>
      <c r="F763" s="23">
        <f t="shared" si="98"/>
        <v>168</v>
      </c>
      <c r="G763" s="23">
        <f t="shared" ca="1" si="99"/>
        <v>132</v>
      </c>
      <c r="H763" s="23">
        <f t="shared" ca="1" si="94"/>
        <v>432</v>
      </c>
      <c r="I763" s="23">
        <f t="shared" ca="1" si="95"/>
        <v>26280</v>
      </c>
    </row>
    <row r="764" spans="2:9">
      <c r="B764" s="23">
        <f t="shared" ca="1" si="96"/>
        <v>313</v>
      </c>
      <c r="C764" s="23">
        <f t="shared" ca="1" si="97"/>
        <v>300</v>
      </c>
      <c r="D764" s="23">
        <f t="shared" ca="1" si="92"/>
        <v>21000</v>
      </c>
      <c r="E764" s="23">
        <f t="shared" ca="1" si="93"/>
        <v>13</v>
      </c>
      <c r="F764" s="23">
        <f t="shared" si="98"/>
        <v>168</v>
      </c>
      <c r="G764" s="23">
        <f t="shared" ca="1" si="99"/>
        <v>13</v>
      </c>
      <c r="H764" s="23">
        <f t="shared" ca="1" si="94"/>
        <v>313</v>
      </c>
      <c r="I764" s="23">
        <f t="shared" ca="1" si="95"/>
        <v>21520</v>
      </c>
    </row>
    <row r="765" spans="2:9">
      <c r="B765" s="23">
        <f t="shared" ca="1" si="96"/>
        <v>395</v>
      </c>
      <c r="C765" s="23">
        <f t="shared" ca="1" si="97"/>
        <v>300</v>
      </c>
      <c r="D765" s="23">
        <f t="shared" ca="1" si="92"/>
        <v>21000</v>
      </c>
      <c r="E765" s="23">
        <f t="shared" ca="1" si="93"/>
        <v>95</v>
      </c>
      <c r="F765" s="23">
        <f t="shared" si="98"/>
        <v>168</v>
      </c>
      <c r="G765" s="23">
        <f t="shared" ca="1" si="99"/>
        <v>95</v>
      </c>
      <c r="H765" s="23">
        <f t="shared" ca="1" si="94"/>
        <v>395</v>
      </c>
      <c r="I765" s="23">
        <f t="shared" ca="1" si="95"/>
        <v>24800</v>
      </c>
    </row>
    <row r="766" spans="2:9">
      <c r="B766" s="23">
        <f t="shared" ca="1" si="96"/>
        <v>320</v>
      </c>
      <c r="C766" s="23">
        <f t="shared" ca="1" si="97"/>
        <v>300</v>
      </c>
      <c r="D766" s="23">
        <f t="shared" ca="1" si="92"/>
        <v>21000</v>
      </c>
      <c r="E766" s="23">
        <f t="shared" ca="1" si="93"/>
        <v>20</v>
      </c>
      <c r="F766" s="23">
        <f t="shared" si="98"/>
        <v>168</v>
      </c>
      <c r="G766" s="23">
        <f t="shared" ca="1" si="99"/>
        <v>20</v>
      </c>
      <c r="H766" s="23">
        <f t="shared" ca="1" si="94"/>
        <v>320</v>
      </c>
      <c r="I766" s="23">
        <f t="shared" ca="1" si="95"/>
        <v>21800</v>
      </c>
    </row>
    <row r="767" spans="2:9">
      <c r="B767" s="23">
        <f t="shared" ca="1" si="96"/>
        <v>261</v>
      </c>
      <c r="C767" s="23">
        <f t="shared" ca="1" si="97"/>
        <v>261</v>
      </c>
      <c r="D767" s="23">
        <f t="shared" ca="1" si="92"/>
        <v>15735</v>
      </c>
      <c r="E767" s="23">
        <f t="shared" ca="1" si="93"/>
        <v>0</v>
      </c>
      <c r="F767" s="23">
        <f t="shared" si="98"/>
        <v>168</v>
      </c>
      <c r="G767" s="23">
        <f t="shared" ca="1" si="99"/>
        <v>0</v>
      </c>
      <c r="H767" s="23">
        <f t="shared" ca="1" si="94"/>
        <v>261</v>
      </c>
      <c r="I767" s="23">
        <f t="shared" ca="1" si="95"/>
        <v>15735</v>
      </c>
    </row>
    <row r="768" spans="2:9">
      <c r="B768" s="23">
        <f t="shared" ca="1" si="96"/>
        <v>115</v>
      </c>
      <c r="C768" s="23">
        <f t="shared" ca="1" si="97"/>
        <v>115</v>
      </c>
      <c r="D768" s="23">
        <f t="shared" ca="1" si="92"/>
        <v>-3975</v>
      </c>
      <c r="E768" s="23">
        <f t="shared" ca="1" si="93"/>
        <v>0</v>
      </c>
      <c r="F768" s="23">
        <f t="shared" si="98"/>
        <v>168</v>
      </c>
      <c r="G768" s="23">
        <f t="shared" ca="1" si="99"/>
        <v>0</v>
      </c>
      <c r="H768" s="23">
        <f t="shared" ca="1" si="94"/>
        <v>115</v>
      </c>
      <c r="I768" s="23">
        <f t="shared" ca="1" si="95"/>
        <v>-3975</v>
      </c>
    </row>
    <row r="769" spans="2:9">
      <c r="B769" s="23">
        <f t="shared" ca="1" si="96"/>
        <v>491</v>
      </c>
      <c r="C769" s="23">
        <f t="shared" ca="1" si="97"/>
        <v>300</v>
      </c>
      <c r="D769" s="23">
        <f t="shared" ca="1" si="92"/>
        <v>21000</v>
      </c>
      <c r="E769" s="23">
        <f t="shared" ca="1" si="93"/>
        <v>191</v>
      </c>
      <c r="F769" s="23">
        <f t="shared" si="98"/>
        <v>168</v>
      </c>
      <c r="G769" s="23">
        <f t="shared" ca="1" si="99"/>
        <v>168</v>
      </c>
      <c r="H769" s="23">
        <f t="shared" ca="1" si="94"/>
        <v>468</v>
      </c>
      <c r="I769" s="23">
        <f t="shared" ca="1" si="95"/>
        <v>27720</v>
      </c>
    </row>
    <row r="770" spans="2:9">
      <c r="B770" s="23">
        <f t="shared" ca="1" si="96"/>
        <v>533</v>
      </c>
      <c r="C770" s="23">
        <f t="shared" ca="1" si="97"/>
        <v>300</v>
      </c>
      <c r="D770" s="23">
        <f t="shared" ca="1" si="92"/>
        <v>21000</v>
      </c>
      <c r="E770" s="23">
        <f t="shared" ca="1" si="93"/>
        <v>233</v>
      </c>
      <c r="F770" s="23">
        <f t="shared" si="98"/>
        <v>168</v>
      </c>
      <c r="G770" s="23">
        <f t="shared" ca="1" si="99"/>
        <v>168</v>
      </c>
      <c r="H770" s="23">
        <f t="shared" ca="1" si="94"/>
        <v>468</v>
      </c>
      <c r="I770" s="23">
        <f t="shared" ca="1" si="95"/>
        <v>27720</v>
      </c>
    </row>
    <row r="771" spans="2:9">
      <c r="B771" s="23">
        <f t="shared" ca="1" si="96"/>
        <v>238</v>
      </c>
      <c r="C771" s="23">
        <f t="shared" ca="1" si="97"/>
        <v>238</v>
      </c>
      <c r="D771" s="23">
        <f t="shared" ca="1" si="92"/>
        <v>12630</v>
      </c>
      <c r="E771" s="23">
        <f t="shared" ca="1" si="93"/>
        <v>0</v>
      </c>
      <c r="F771" s="23">
        <f t="shared" si="98"/>
        <v>168</v>
      </c>
      <c r="G771" s="23">
        <f t="shared" ca="1" si="99"/>
        <v>0</v>
      </c>
      <c r="H771" s="23">
        <f t="shared" ca="1" si="94"/>
        <v>238</v>
      </c>
      <c r="I771" s="23">
        <f t="shared" ca="1" si="95"/>
        <v>12630</v>
      </c>
    </row>
    <row r="772" spans="2:9">
      <c r="B772" s="23">
        <f t="shared" ca="1" si="96"/>
        <v>103</v>
      </c>
      <c r="C772" s="23">
        <f t="shared" ca="1" si="97"/>
        <v>103</v>
      </c>
      <c r="D772" s="23">
        <f t="shared" ca="1" si="92"/>
        <v>-5595</v>
      </c>
      <c r="E772" s="23">
        <f t="shared" ca="1" si="93"/>
        <v>0</v>
      </c>
      <c r="F772" s="23">
        <f t="shared" si="98"/>
        <v>168</v>
      </c>
      <c r="G772" s="23">
        <f t="shared" ca="1" si="99"/>
        <v>0</v>
      </c>
      <c r="H772" s="23">
        <f t="shared" ca="1" si="94"/>
        <v>103</v>
      </c>
      <c r="I772" s="23">
        <f t="shared" ca="1" si="95"/>
        <v>-5595</v>
      </c>
    </row>
    <row r="773" spans="2:9">
      <c r="B773" s="23">
        <f t="shared" ca="1" si="96"/>
        <v>367</v>
      </c>
      <c r="C773" s="23">
        <f t="shared" ca="1" si="97"/>
        <v>300</v>
      </c>
      <c r="D773" s="23">
        <f t="shared" ca="1" si="92"/>
        <v>21000</v>
      </c>
      <c r="E773" s="23">
        <f t="shared" ca="1" si="93"/>
        <v>67</v>
      </c>
      <c r="F773" s="23">
        <f t="shared" si="98"/>
        <v>168</v>
      </c>
      <c r="G773" s="23">
        <f t="shared" ca="1" si="99"/>
        <v>67</v>
      </c>
      <c r="H773" s="23">
        <f t="shared" ca="1" si="94"/>
        <v>367</v>
      </c>
      <c r="I773" s="23">
        <f t="shared" ca="1" si="95"/>
        <v>23680</v>
      </c>
    </row>
    <row r="774" spans="2:9">
      <c r="B774" s="23">
        <f t="shared" ca="1" si="96"/>
        <v>301</v>
      </c>
      <c r="C774" s="23">
        <f t="shared" ca="1" si="97"/>
        <v>300</v>
      </c>
      <c r="D774" s="23">
        <f t="shared" ca="1" si="92"/>
        <v>21000</v>
      </c>
      <c r="E774" s="23">
        <f t="shared" ca="1" si="93"/>
        <v>1</v>
      </c>
      <c r="F774" s="23">
        <f t="shared" si="98"/>
        <v>168</v>
      </c>
      <c r="G774" s="23">
        <f t="shared" ca="1" si="99"/>
        <v>1</v>
      </c>
      <c r="H774" s="23">
        <f t="shared" ca="1" si="94"/>
        <v>301</v>
      </c>
      <c r="I774" s="23">
        <f t="shared" ca="1" si="95"/>
        <v>21040</v>
      </c>
    </row>
    <row r="775" spans="2:9">
      <c r="B775" s="23">
        <f t="shared" ca="1" si="96"/>
        <v>311</v>
      </c>
      <c r="C775" s="23">
        <f t="shared" ca="1" si="97"/>
        <v>300</v>
      </c>
      <c r="D775" s="23">
        <f t="shared" ca="1" si="92"/>
        <v>21000</v>
      </c>
      <c r="E775" s="23">
        <f t="shared" ca="1" si="93"/>
        <v>11</v>
      </c>
      <c r="F775" s="23">
        <f t="shared" si="98"/>
        <v>168</v>
      </c>
      <c r="G775" s="23">
        <f t="shared" ca="1" si="99"/>
        <v>11</v>
      </c>
      <c r="H775" s="23">
        <f t="shared" ca="1" si="94"/>
        <v>311</v>
      </c>
      <c r="I775" s="23">
        <f t="shared" ca="1" si="95"/>
        <v>21440</v>
      </c>
    </row>
    <row r="776" spans="2:9">
      <c r="B776" s="23">
        <f t="shared" ca="1" si="96"/>
        <v>202</v>
      </c>
      <c r="C776" s="23">
        <f t="shared" ca="1" si="97"/>
        <v>202</v>
      </c>
      <c r="D776" s="23">
        <f t="shared" ca="1" si="92"/>
        <v>7770</v>
      </c>
      <c r="E776" s="23">
        <f t="shared" ca="1" si="93"/>
        <v>0</v>
      </c>
      <c r="F776" s="23">
        <f t="shared" si="98"/>
        <v>168</v>
      </c>
      <c r="G776" s="23">
        <f t="shared" ca="1" si="99"/>
        <v>0</v>
      </c>
      <c r="H776" s="23">
        <f t="shared" ca="1" si="94"/>
        <v>202</v>
      </c>
      <c r="I776" s="23">
        <f t="shared" ca="1" si="95"/>
        <v>7770</v>
      </c>
    </row>
    <row r="777" spans="2:9">
      <c r="B777" s="23">
        <f t="shared" ca="1" si="96"/>
        <v>279</v>
      </c>
      <c r="C777" s="23">
        <f t="shared" ca="1" si="97"/>
        <v>279</v>
      </c>
      <c r="D777" s="23">
        <f t="shared" ca="1" si="92"/>
        <v>18165</v>
      </c>
      <c r="E777" s="23">
        <f t="shared" ca="1" si="93"/>
        <v>0</v>
      </c>
      <c r="F777" s="23">
        <f t="shared" si="98"/>
        <v>168</v>
      </c>
      <c r="G777" s="23">
        <f t="shared" ca="1" si="99"/>
        <v>0</v>
      </c>
      <c r="H777" s="23">
        <f t="shared" ca="1" si="94"/>
        <v>279</v>
      </c>
      <c r="I777" s="23">
        <f t="shared" ca="1" si="95"/>
        <v>18165</v>
      </c>
    </row>
    <row r="778" spans="2:9">
      <c r="B778" s="23">
        <f t="shared" ca="1" si="96"/>
        <v>336</v>
      </c>
      <c r="C778" s="23">
        <f t="shared" ca="1" si="97"/>
        <v>300</v>
      </c>
      <c r="D778" s="23">
        <f t="shared" ca="1" si="92"/>
        <v>21000</v>
      </c>
      <c r="E778" s="23">
        <f t="shared" ca="1" si="93"/>
        <v>36</v>
      </c>
      <c r="F778" s="23">
        <f t="shared" si="98"/>
        <v>168</v>
      </c>
      <c r="G778" s="23">
        <f t="shared" ca="1" si="99"/>
        <v>36</v>
      </c>
      <c r="H778" s="23">
        <f t="shared" ca="1" si="94"/>
        <v>336</v>
      </c>
      <c r="I778" s="23">
        <f t="shared" ca="1" si="95"/>
        <v>22440</v>
      </c>
    </row>
    <row r="779" spans="2:9">
      <c r="B779" s="23">
        <f t="shared" ca="1" si="96"/>
        <v>112</v>
      </c>
      <c r="C779" s="23">
        <f t="shared" ca="1" si="97"/>
        <v>112</v>
      </c>
      <c r="D779" s="23">
        <f t="shared" ca="1" si="92"/>
        <v>-4380</v>
      </c>
      <c r="E779" s="23">
        <f t="shared" ca="1" si="93"/>
        <v>0</v>
      </c>
      <c r="F779" s="23">
        <f t="shared" si="98"/>
        <v>168</v>
      </c>
      <c r="G779" s="23">
        <f t="shared" ca="1" si="99"/>
        <v>0</v>
      </c>
      <c r="H779" s="23">
        <f t="shared" ca="1" si="94"/>
        <v>112</v>
      </c>
      <c r="I779" s="23">
        <f t="shared" ca="1" si="95"/>
        <v>-4380</v>
      </c>
    </row>
    <row r="780" spans="2:9">
      <c r="B780" s="23">
        <f t="shared" ca="1" si="96"/>
        <v>252</v>
      </c>
      <c r="C780" s="23">
        <f t="shared" ca="1" si="97"/>
        <v>252</v>
      </c>
      <c r="D780" s="23">
        <f t="shared" ref="D780:D843" ca="1" si="100">C780*$B$3-$D$8*$B$2</f>
        <v>14520</v>
      </c>
      <c r="E780" s="23">
        <f t="shared" ref="E780:E843" ca="1" si="101">MAX(0, B780-$D$8)</f>
        <v>0</v>
      </c>
      <c r="F780" s="23">
        <f t="shared" si="98"/>
        <v>168</v>
      </c>
      <c r="G780" s="23">
        <f t="shared" ca="1" si="99"/>
        <v>0</v>
      </c>
      <c r="H780" s="23">
        <f t="shared" ref="H780:H843" ca="1" si="102">MIN(B780, $D$8+G780)</f>
        <v>252</v>
      </c>
      <c r="I780" s="23">
        <f t="shared" ref="I780:I843" ca="1" si="103">H780*$B$3-$D$8*$B$2-$B$1*G780</f>
        <v>14520</v>
      </c>
    </row>
    <row r="781" spans="2:9">
      <c r="B781" s="23">
        <f t="shared" ref="B781:B844" ca="1" si="104">_xlfn.FLOOR.MATH(_xlfn.NORM.INV(RAND(),$B$4,$B$5))</f>
        <v>277</v>
      </c>
      <c r="C781" s="23">
        <f t="shared" ref="C781:C844" ca="1" si="105">MIN(B781,$D$8)</f>
        <v>277</v>
      </c>
      <c r="D781" s="23">
        <f t="shared" ca="1" si="100"/>
        <v>17895</v>
      </c>
      <c r="E781" s="23">
        <f t="shared" ca="1" si="101"/>
        <v>0</v>
      </c>
      <c r="F781" s="23">
        <f t="shared" ref="F781:F844" si="106">12*(21-7)</f>
        <v>168</v>
      </c>
      <c r="G781" s="23">
        <f t="shared" ca="1" si="99"/>
        <v>0</v>
      </c>
      <c r="H781" s="23">
        <f t="shared" ca="1" si="102"/>
        <v>277</v>
      </c>
      <c r="I781" s="23">
        <f t="shared" ca="1" si="103"/>
        <v>17895</v>
      </c>
    </row>
    <row r="782" spans="2:9">
      <c r="B782" s="23">
        <f t="shared" ca="1" si="104"/>
        <v>466</v>
      </c>
      <c r="C782" s="23">
        <f t="shared" ca="1" si="105"/>
        <v>300</v>
      </c>
      <c r="D782" s="23">
        <f t="shared" ca="1" si="100"/>
        <v>21000</v>
      </c>
      <c r="E782" s="23">
        <f t="shared" ca="1" si="101"/>
        <v>166</v>
      </c>
      <c r="F782" s="23">
        <f t="shared" si="106"/>
        <v>168</v>
      </c>
      <c r="G782" s="23">
        <f t="shared" ca="1" si="99"/>
        <v>166</v>
      </c>
      <c r="H782" s="23">
        <f t="shared" ca="1" si="102"/>
        <v>466</v>
      </c>
      <c r="I782" s="23">
        <f t="shared" ca="1" si="103"/>
        <v>27640</v>
      </c>
    </row>
    <row r="783" spans="2:9">
      <c r="B783" s="23">
        <f t="shared" ca="1" si="104"/>
        <v>229</v>
      </c>
      <c r="C783" s="23">
        <f t="shared" ca="1" si="105"/>
        <v>229</v>
      </c>
      <c r="D783" s="23">
        <f t="shared" ca="1" si="100"/>
        <v>11415</v>
      </c>
      <c r="E783" s="23">
        <f t="shared" ca="1" si="101"/>
        <v>0</v>
      </c>
      <c r="F783" s="23">
        <f t="shared" si="106"/>
        <v>168</v>
      </c>
      <c r="G783" s="23">
        <f t="shared" ca="1" si="99"/>
        <v>0</v>
      </c>
      <c r="H783" s="23">
        <f t="shared" ca="1" si="102"/>
        <v>229</v>
      </c>
      <c r="I783" s="23">
        <f t="shared" ca="1" si="103"/>
        <v>11415</v>
      </c>
    </row>
    <row r="784" spans="2:9">
      <c r="B784" s="23">
        <f t="shared" ca="1" si="104"/>
        <v>243</v>
      </c>
      <c r="C784" s="23">
        <f t="shared" ca="1" si="105"/>
        <v>243</v>
      </c>
      <c r="D784" s="23">
        <f t="shared" ca="1" si="100"/>
        <v>13305</v>
      </c>
      <c r="E784" s="23">
        <f t="shared" ca="1" si="101"/>
        <v>0</v>
      </c>
      <c r="F784" s="23">
        <f t="shared" si="106"/>
        <v>168</v>
      </c>
      <c r="G784" s="23">
        <f t="shared" ref="G784:G847" ca="1" si="107">MIN(E784,F784)</f>
        <v>0</v>
      </c>
      <c r="H784" s="23">
        <f t="shared" ca="1" si="102"/>
        <v>243</v>
      </c>
      <c r="I784" s="23">
        <f t="shared" ca="1" si="103"/>
        <v>13305</v>
      </c>
    </row>
    <row r="785" spans="2:9">
      <c r="B785" s="23">
        <f t="shared" ca="1" si="104"/>
        <v>385</v>
      </c>
      <c r="C785" s="23">
        <f t="shared" ca="1" si="105"/>
        <v>300</v>
      </c>
      <c r="D785" s="23">
        <f t="shared" ca="1" si="100"/>
        <v>21000</v>
      </c>
      <c r="E785" s="23">
        <f t="shared" ca="1" si="101"/>
        <v>85</v>
      </c>
      <c r="F785" s="23">
        <f t="shared" si="106"/>
        <v>168</v>
      </c>
      <c r="G785" s="23">
        <f t="shared" ca="1" si="107"/>
        <v>85</v>
      </c>
      <c r="H785" s="23">
        <f t="shared" ca="1" si="102"/>
        <v>385</v>
      </c>
      <c r="I785" s="23">
        <f t="shared" ca="1" si="103"/>
        <v>24400</v>
      </c>
    </row>
    <row r="786" spans="2:9">
      <c r="B786" s="23">
        <f t="shared" ca="1" si="104"/>
        <v>265</v>
      </c>
      <c r="C786" s="23">
        <f t="shared" ca="1" si="105"/>
        <v>265</v>
      </c>
      <c r="D786" s="23">
        <f t="shared" ca="1" si="100"/>
        <v>16275</v>
      </c>
      <c r="E786" s="23">
        <f t="shared" ca="1" si="101"/>
        <v>0</v>
      </c>
      <c r="F786" s="23">
        <f t="shared" si="106"/>
        <v>168</v>
      </c>
      <c r="G786" s="23">
        <f t="shared" ca="1" si="107"/>
        <v>0</v>
      </c>
      <c r="H786" s="23">
        <f t="shared" ca="1" si="102"/>
        <v>265</v>
      </c>
      <c r="I786" s="23">
        <f t="shared" ca="1" si="103"/>
        <v>16275</v>
      </c>
    </row>
    <row r="787" spans="2:9">
      <c r="B787" s="23">
        <f t="shared" ca="1" si="104"/>
        <v>196</v>
      </c>
      <c r="C787" s="23">
        <f t="shared" ca="1" si="105"/>
        <v>196</v>
      </c>
      <c r="D787" s="23">
        <f t="shared" ca="1" si="100"/>
        <v>6960</v>
      </c>
      <c r="E787" s="23">
        <f t="shared" ca="1" si="101"/>
        <v>0</v>
      </c>
      <c r="F787" s="23">
        <f t="shared" si="106"/>
        <v>168</v>
      </c>
      <c r="G787" s="23">
        <f t="shared" ca="1" si="107"/>
        <v>0</v>
      </c>
      <c r="H787" s="23">
        <f t="shared" ca="1" si="102"/>
        <v>196</v>
      </c>
      <c r="I787" s="23">
        <f t="shared" ca="1" si="103"/>
        <v>6960</v>
      </c>
    </row>
    <row r="788" spans="2:9">
      <c r="B788" s="23">
        <f t="shared" ca="1" si="104"/>
        <v>428</v>
      </c>
      <c r="C788" s="23">
        <f t="shared" ca="1" si="105"/>
        <v>300</v>
      </c>
      <c r="D788" s="23">
        <f t="shared" ca="1" si="100"/>
        <v>21000</v>
      </c>
      <c r="E788" s="23">
        <f t="shared" ca="1" si="101"/>
        <v>128</v>
      </c>
      <c r="F788" s="23">
        <f t="shared" si="106"/>
        <v>168</v>
      </c>
      <c r="G788" s="23">
        <f t="shared" ca="1" si="107"/>
        <v>128</v>
      </c>
      <c r="H788" s="23">
        <f t="shared" ca="1" si="102"/>
        <v>428</v>
      </c>
      <c r="I788" s="23">
        <f t="shared" ca="1" si="103"/>
        <v>26120</v>
      </c>
    </row>
    <row r="789" spans="2:9">
      <c r="B789" s="23">
        <f t="shared" ca="1" si="104"/>
        <v>266</v>
      </c>
      <c r="C789" s="23">
        <f t="shared" ca="1" si="105"/>
        <v>266</v>
      </c>
      <c r="D789" s="23">
        <f t="shared" ca="1" si="100"/>
        <v>16410</v>
      </c>
      <c r="E789" s="23">
        <f t="shared" ca="1" si="101"/>
        <v>0</v>
      </c>
      <c r="F789" s="23">
        <f t="shared" si="106"/>
        <v>168</v>
      </c>
      <c r="G789" s="23">
        <f t="shared" ca="1" si="107"/>
        <v>0</v>
      </c>
      <c r="H789" s="23">
        <f t="shared" ca="1" si="102"/>
        <v>266</v>
      </c>
      <c r="I789" s="23">
        <f t="shared" ca="1" si="103"/>
        <v>16410</v>
      </c>
    </row>
    <row r="790" spans="2:9">
      <c r="B790" s="23">
        <f t="shared" ca="1" si="104"/>
        <v>165</v>
      </c>
      <c r="C790" s="23">
        <f t="shared" ca="1" si="105"/>
        <v>165</v>
      </c>
      <c r="D790" s="23">
        <f t="shared" ca="1" si="100"/>
        <v>2775</v>
      </c>
      <c r="E790" s="23">
        <f t="shared" ca="1" si="101"/>
        <v>0</v>
      </c>
      <c r="F790" s="23">
        <f t="shared" si="106"/>
        <v>168</v>
      </c>
      <c r="G790" s="23">
        <f t="shared" ca="1" si="107"/>
        <v>0</v>
      </c>
      <c r="H790" s="23">
        <f t="shared" ca="1" si="102"/>
        <v>165</v>
      </c>
      <c r="I790" s="23">
        <f t="shared" ca="1" si="103"/>
        <v>2775</v>
      </c>
    </row>
    <row r="791" spans="2:9">
      <c r="B791" s="23">
        <f t="shared" ca="1" si="104"/>
        <v>163</v>
      </c>
      <c r="C791" s="23">
        <f t="shared" ca="1" si="105"/>
        <v>163</v>
      </c>
      <c r="D791" s="23">
        <f t="shared" ca="1" si="100"/>
        <v>2505</v>
      </c>
      <c r="E791" s="23">
        <f t="shared" ca="1" si="101"/>
        <v>0</v>
      </c>
      <c r="F791" s="23">
        <f t="shared" si="106"/>
        <v>168</v>
      </c>
      <c r="G791" s="23">
        <f t="shared" ca="1" si="107"/>
        <v>0</v>
      </c>
      <c r="H791" s="23">
        <f t="shared" ca="1" si="102"/>
        <v>163</v>
      </c>
      <c r="I791" s="23">
        <f t="shared" ca="1" si="103"/>
        <v>2505</v>
      </c>
    </row>
    <row r="792" spans="2:9">
      <c r="B792" s="23">
        <f t="shared" ca="1" si="104"/>
        <v>351</v>
      </c>
      <c r="C792" s="23">
        <f t="shared" ca="1" si="105"/>
        <v>300</v>
      </c>
      <c r="D792" s="23">
        <f t="shared" ca="1" si="100"/>
        <v>21000</v>
      </c>
      <c r="E792" s="23">
        <f t="shared" ca="1" si="101"/>
        <v>51</v>
      </c>
      <c r="F792" s="23">
        <f t="shared" si="106"/>
        <v>168</v>
      </c>
      <c r="G792" s="23">
        <f t="shared" ca="1" si="107"/>
        <v>51</v>
      </c>
      <c r="H792" s="23">
        <f t="shared" ca="1" si="102"/>
        <v>351</v>
      </c>
      <c r="I792" s="23">
        <f t="shared" ca="1" si="103"/>
        <v>23040</v>
      </c>
    </row>
    <row r="793" spans="2:9">
      <c r="B793" s="23">
        <f t="shared" ca="1" si="104"/>
        <v>453</v>
      </c>
      <c r="C793" s="23">
        <f t="shared" ca="1" si="105"/>
        <v>300</v>
      </c>
      <c r="D793" s="23">
        <f t="shared" ca="1" si="100"/>
        <v>21000</v>
      </c>
      <c r="E793" s="23">
        <f t="shared" ca="1" si="101"/>
        <v>153</v>
      </c>
      <c r="F793" s="23">
        <f t="shared" si="106"/>
        <v>168</v>
      </c>
      <c r="G793" s="23">
        <f t="shared" ca="1" si="107"/>
        <v>153</v>
      </c>
      <c r="H793" s="23">
        <f t="shared" ca="1" si="102"/>
        <v>453</v>
      </c>
      <c r="I793" s="23">
        <f t="shared" ca="1" si="103"/>
        <v>27120</v>
      </c>
    </row>
    <row r="794" spans="2:9">
      <c r="B794" s="23">
        <f t="shared" ca="1" si="104"/>
        <v>127</v>
      </c>
      <c r="C794" s="23">
        <f t="shared" ca="1" si="105"/>
        <v>127</v>
      </c>
      <c r="D794" s="23">
        <f t="shared" ca="1" si="100"/>
        <v>-2355</v>
      </c>
      <c r="E794" s="23">
        <f t="shared" ca="1" si="101"/>
        <v>0</v>
      </c>
      <c r="F794" s="23">
        <f t="shared" si="106"/>
        <v>168</v>
      </c>
      <c r="G794" s="23">
        <f t="shared" ca="1" si="107"/>
        <v>0</v>
      </c>
      <c r="H794" s="23">
        <f t="shared" ca="1" si="102"/>
        <v>127</v>
      </c>
      <c r="I794" s="23">
        <f t="shared" ca="1" si="103"/>
        <v>-2355</v>
      </c>
    </row>
    <row r="795" spans="2:9">
      <c r="B795" s="23">
        <f t="shared" ca="1" si="104"/>
        <v>214</v>
      </c>
      <c r="C795" s="23">
        <f t="shared" ca="1" si="105"/>
        <v>214</v>
      </c>
      <c r="D795" s="23">
        <f t="shared" ca="1" si="100"/>
        <v>9390</v>
      </c>
      <c r="E795" s="23">
        <f t="shared" ca="1" si="101"/>
        <v>0</v>
      </c>
      <c r="F795" s="23">
        <f t="shared" si="106"/>
        <v>168</v>
      </c>
      <c r="G795" s="23">
        <f t="shared" ca="1" si="107"/>
        <v>0</v>
      </c>
      <c r="H795" s="23">
        <f t="shared" ca="1" si="102"/>
        <v>214</v>
      </c>
      <c r="I795" s="23">
        <f t="shared" ca="1" si="103"/>
        <v>9390</v>
      </c>
    </row>
    <row r="796" spans="2:9">
      <c r="B796" s="23">
        <f t="shared" ca="1" si="104"/>
        <v>233</v>
      </c>
      <c r="C796" s="23">
        <f t="shared" ca="1" si="105"/>
        <v>233</v>
      </c>
      <c r="D796" s="23">
        <f t="shared" ca="1" si="100"/>
        <v>11955</v>
      </c>
      <c r="E796" s="23">
        <f t="shared" ca="1" si="101"/>
        <v>0</v>
      </c>
      <c r="F796" s="23">
        <f t="shared" si="106"/>
        <v>168</v>
      </c>
      <c r="G796" s="23">
        <f t="shared" ca="1" si="107"/>
        <v>0</v>
      </c>
      <c r="H796" s="23">
        <f t="shared" ca="1" si="102"/>
        <v>233</v>
      </c>
      <c r="I796" s="23">
        <f t="shared" ca="1" si="103"/>
        <v>11955</v>
      </c>
    </row>
    <row r="797" spans="2:9">
      <c r="B797" s="23">
        <f t="shared" ca="1" si="104"/>
        <v>445</v>
      </c>
      <c r="C797" s="23">
        <f t="shared" ca="1" si="105"/>
        <v>300</v>
      </c>
      <c r="D797" s="23">
        <f t="shared" ca="1" si="100"/>
        <v>21000</v>
      </c>
      <c r="E797" s="23">
        <f t="shared" ca="1" si="101"/>
        <v>145</v>
      </c>
      <c r="F797" s="23">
        <f t="shared" si="106"/>
        <v>168</v>
      </c>
      <c r="G797" s="23">
        <f t="shared" ca="1" si="107"/>
        <v>145</v>
      </c>
      <c r="H797" s="23">
        <f t="shared" ca="1" si="102"/>
        <v>445</v>
      </c>
      <c r="I797" s="23">
        <f t="shared" ca="1" si="103"/>
        <v>26800</v>
      </c>
    </row>
    <row r="798" spans="2:9">
      <c r="B798" s="23">
        <f t="shared" ca="1" si="104"/>
        <v>264</v>
      </c>
      <c r="C798" s="23">
        <f t="shared" ca="1" si="105"/>
        <v>264</v>
      </c>
      <c r="D798" s="23">
        <f t="shared" ca="1" si="100"/>
        <v>16140</v>
      </c>
      <c r="E798" s="23">
        <f t="shared" ca="1" si="101"/>
        <v>0</v>
      </c>
      <c r="F798" s="23">
        <f t="shared" si="106"/>
        <v>168</v>
      </c>
      <c r="G798" s="23">
        <f t="shared" ca="1" si="107"/>
        <v>0</v>
      </c>
      <c r="H798" s="23">
        <f t="shared" ca="1" si="102"/>
        <v>264</v>
      </c>
      <c r="I798" s="23">
        <f t="shared" ca="1" si="103"/>
        <v>16140</v>
      </c>
    </row>
    <row r="799" spans="2:9">
      <c r="B799" s="23">
        <f t="shared" ca="1" si="104"/>
        <v>264</v>
      </c>
      <c r="C799" s="23">
        <f t="shared" ca="1" si="105"/>
        <v>264</v>
      </c>
      <c r="D799" s="23">
        <f t="shared" ca="1" si="100"/>
        <v>16140</v>
      </c>
      <c r="E799" s="23">
        <f t="shared" ca="1" si="101"/>
        <v>0</v>
      </c>
      <c r="F799" s="23">
        <f t="shared" si="106"/>
        <v>168</v>
      </c>
      <c r="G799" s="23">
        <f t="shared" ca="1" si="107"/>
        <v>0</v>
      </c>
      <c r="H799" s="23">
        <f t="shared" ca="1" si="102"/>
        <v>264</v>
      </c>
      <c r="I799" s="23">
        <f t="shared" ca="1" si="103"/>
        <v>16140</v>
      </c>
    </row>
    <row r="800" spans="2:9">
      <c r="B800" s="23">
        <f t="shared" ca="1" si="104"/>
        <v>276</v>
      </c>
      <c r="C800" s="23">
        <f t="shared" ca="1" si="105"/>
        <v>276</v>
      </c>
      <c r="D800" s="23">
        <f t="shared" ca="1" si="100"/>
        <v>17760</v>
      </c>
      <c r="E800" s="23">
        <f t="shared" ca="1" si="101"/>
        <v>0</v>
      </c>
      <c r="F800" s="23">
        <f t="shared" si="106"/>
        <v>168</v>
      </c>
      <c r="G800" s="23">
        <f t="shared" ca="1" si="107"/>
        <v>0</v>
      </c>
      <c r="H800" s="23">
        <f t="shared" ca="1" si="102"/>
        <v>276</v>
      </c>
      <c r="I800" s="23">
        <f t="shared" ca="1" si="103"/>
        <v>17760</v>
      </c>
    </row>
    <row r="801" spans="2:9">
      <c r="B801" s="23">
        <f t="shared" ca="1" si="104"/>
        <v>267</v>
      </c>
      <c r="C801" s="23">
        <f t="shared" ca="1" si="105"/>
        <v>267</v>
      </c>
      <c r="D801" s="23">
        <f t="shared" ca="1" si="100"/>
        <v>16545</v>
      </c>
      <c r="E801" s="23">
        <f t="shared" ca="1" si="101"/>
        <v>0</v>
      </c>
      <c r="F801" s="23">
        <f t="shared" si="106"/>
        <v>168</v>
      </c>
      <c r="G801" s="23">
        <f t="shared" ca="1" si="107"/>
        <v>0</v>
      </c>
      <c r="H801" s="23">
        <f t="shared" ca="1" si="102"/>
        <v>267</v>
      </c>
      <c r="I801" s="23">
        <f t="shared" ca="1" si="103"/>
        <v>16545</v>
      </c>
    </row>
    <row r="802" spans="2:9">
      <c r="B802" s="23">
        <f t="shared" ca="1" si="104"/>
        <v>265</v>
      </c>
      <c r="C802" s="23">
        <f t="shared" ca="1" si="105"/>
        <v>265</v>
      </c>
      <c r="D802" s="23">
        <f t="shared" ca="1" si="100"/>
        <v>16275</v>
      </c>
      <c r="E802" s="23">
        <f t="shared" ca="1" si="101"/>
        <v>0</v>
      </c>
      <c r="F802" s="23">
        <f t="shared" si="106"/>
        <v>168</v>
      </c>
      <c r="G802" s="23">
        <f t="shared" ca="1" si="107"/>
        <v>0</v>
      </c>
      <c r="H802" s="23">
        <f t="shared" ca="1" si="102"/>
        <v>265</v>
      </c>
      <c r="I802" s="23">
        <f t="shared" ca="1" si="103"/>
        <v>16275</v>
      </c>
    </row>
    <row r="803" spans="2:9">
      <c r="B803" s="23">
        <f t="shared" ca="1" si="104"/>
        <v>275</v>
      </c>
      <c r="C803" s="23">
        <f t="shared" ca="1" si="105"/>
        <v>275</v>
      </c>
      <c r="D803" s="23">
        <f t="shared" ca="1" si="100"/>
        <v>17625</v>
      </c>
      <c r="E803" s="23">
        <f t="shared" ca="1" si="101"/>
        <v>0</v>
      </c>
      <c r="F803" s="23">
        <f t="shared" si="106"/>
        <v>168</v>
      </c>
      <c r="G803" s="23">
        <f t="shared" ca="1" si="107"/>
        <v>0</v>
      </c>
      <c r="H803" s="23">
        <f t="shared" ca="1" si="102"/>
        <v>275</v>
      </c>
      <c r="I803" s="23">
        <f t="shared" ca="1" si="103"/>
        <v>17625</v>
      </c>
    </row>
    <row r="804" spans="2:9">
      <c r="B804" s="23">
        <f t="shared" ca="1" si="104"/>
        <v>266</v>
      </c>
      <c r="C804" s="23">
        <f t="shared" ca="1" si="105"/>
        <v>266</v>
      </c>
      <c r="D804" s="23">
        <f t="shared" ca="1" si="100"/>
        <v>16410</v>
      </c>
      <c r="E804" s="23">
        <f t="shared" ca="1" si="101"/>
        <v>0</v>
      </c>
      <c r="F804" s="23">
        <f t="shared" si="106"/>
        <v>168</v>
      </c>
      <c r="G804" s="23">
        <f t="shared" ca="1" si="107"/>
        <v>0</v>
      </c>
      <c r="H804" s="23">
        <f t="shared" ca="1" si="102"/>
        <v>266</v>
      </c>
      <c r="I804" s="23">
        <f t="shared" ca="1" si="103"/>
        <v>16410</v>
      </c>
    </row>
    <row r="805" spans="2:9">
      <c r="B805" s="23">
        <f t="shared" ca="1" si="104"/>
        <v>162</v>
      </c>
      <c r="C805" s="23">
        <f t="shared" ca="1" si="105"/>
        <v>162</v>
      </c>
      <c r="D805" s="23">
        <f t="shared" ca="1" si="100"/>
        <v>2370</v>
      </c>
      <c r="E805" s="23">
        <f t="shared" ca="1" si="101"/>
        <v>0</v>
      </c>
      <c r="F805" s="23">
        <f t="shared" si="106"/>
        <v>168</v>
      </c>
      <c r="G805" s="23">
        <f t="shared" ca="1" si="107"/>
        <v>0</v>
      </c>
      <c r="H805" s="23">
        <f t="shared" ca="1" si="102"/>
        <v>162</v>
      </c>
      <c r="I805" s="23">
        <f t="shared" ca="1" si="103"/>
        <v>2370</v>
      </c>
    </row>
    <row r="806" spans="2:9">
      <c r="B806" s="23">
        <f t="shared" ca="1" si="104"/>
        <v>144</v>
      </c>
      <c r="C806" s="23">
        <f t="shared" ca="1" si="105"/>
        <v>144</v>
      </c>
      <c r="D806" s="23">
        <f t="shared" ca="1" si="100"/>
        <v>-60</v>
      </c>
      <c r="E806" s="23">
        <f t="shared" ca="1" si="101"/>
        <v>0</v>
      </c>
      <c r="F806" s="23">
        <f t="shared" si="106"/>
        <v>168</v>
      </c>
      <c r="G806" s="23">
        <f t="shared" ca="1" si="107"/>
        <v>0</v>
      </c>
      <c r="H806" s="23">
        <f t="shared" ca="1" si="102"/>
        <v>144</v>
      </c>
      <c r="I806" s="23">
        <f t="shared" ca="1" si="103"/>
        <v>-60</v>
      </c>
    </row>
    <row r="807" spans="2:9">
      <c r="B807" s="23">
        <f t="shared" ca="1" si="104"/>
        <v>435</v>
      </c>
      <c r="C807" s="23">
        <f t="shared" ca="1" si="105"/>
        <v>300</v>
      </c>
      <c r="D807" s="23">
        <f t="shared" ca="1" si="100"/>
        <v>21000</v>
      </c>
      <c r="E807" s="23">
        <f t="shared" ca="1" si="101"/>
        <v>135</v>
      </c>
      <c r="F807" s="23">
        <f t="shared" si="106"/>
        <v>168</v>
      </c>
      <c r="G807" s="23">
        <f t="shared" ca="1" si="107"/>
        <v>135</v>
      </c>
      <c r="H807" s="23">
        <f t="shared" ca="1" si="102"/>
        <v>435</v>
      </c>
      <c r="I807" s="23">
        <f t="shared" ca="1" si="103"/>
        <v>26400</v>
      </c>
    </row>
    <row r="808" spans="2:9">
      <c r="B808" s="23">
        <f t="shared" ca="1" si="104"/>
        <v>266</v>
      </c>
      <c r="C808" s="23">
        <f t="shared" ca="1" si="105"/>
        <v>266</v>
      </c>
      <c r="D808" s="23">
        <f t="shared" ca="1" si="100"/>
        <v>16410</v>
      </c>
      <c r="E808" s="23">
        <f t="shared" ca="1" si="101"/>
        <v>0</v>
      </c>
      <c r="F808" s="23">
        <f t="shared" si="106"/>
        <v>168</v>
      </c>
      <c r="G808" s="23">
        <f t="shared" ca="1" si="107"/>
        <v>0</v>
      </c>
      <c r="H808" s="23">
        <f t="shared" ca="1" si="102"/>
        <v>266</v>
      </c>
      <c r="I808" s="23">
        <f t="shared" ca="1" si="103"/>
        <v>16410</v>
      </c>
    </row>
    <row r="809" spans="2:9">
      <c r="B809" s="23">
        <f t="shared" ca="1" si="104"/>
        <v>252</v>
      </c>
      <c r="C809" s="23">
        <f t="shared" ca="1" si="105"/>
        <v>252</v>
      </c>
      <c r="D809" s="23">
        <f t="shared" ca="1" si="100"/>
        <v>14520</v>
      </c>
      <c r="E809" s="23">
        <f t="shared" ca="1" si="101"/>
        <v>0</v>
      </c>
      <c r="F809" s="23">
        <f t="shared" si="106"/>
        <v>168</v>
      </c>
      <c r="G809" s="23">
        <f t="shared" ca="1" si="107"/>
        <v>0</v>
      </c>
      <c r="H809" s="23">
        <f t="shared" ca="1" si="102"/>
        <v>252</v>
      </c>
      <c r="I809" s="23">
        <f t="shared" ca="1" si="103"/>
        <v>14520</v>
      </c>
    </row>
    <row r="810" spans="2:9">
      <c r="B810" s="23">
        <f t="shared" ca="1" si="104"/>
        <v>333</v>
      </c>
      <c r="C810" s="23">
        <f t="shared" ca="1" si="105"/>
        <v>300</v>
      </c>
      <c r="D810" s="23">
        <f t="shared" ca="1" si="100"/>
        <v>21000</v>
      </c>
      <c r="E810" s="23">
        <f t="shared" ca="1" si="101"/>
        <v>33</v>
      </c>
      <c r="F810" s="23">
        <f t="shared" si="106"/>
        <v>168</v>
      </c>
      <c r="G810" s="23">
        <f t="shared" ca="1" si="107"/>
        <v>33</v>
      </c>
      <c r="H810" s="23">
        <f t="shared" ca="1" si="102"/>
        <v>333</v>
      </c>
      <c r="I810" s="23">
        <f t="shared" ca="1" si="103"/>
        <v>22320</v>
      </c>
    </row>
    <row r="811" spans="2:9">
      <c r="B811" s="23">
        <f t="shared" ca="1" si="104"/>
        <v>329</v>
      </c>
      <c r="C811" s="23">
        <f t="shared" ca="1" si="105"/>
        <v>300</v>
      </c>
      <c r="D811" s="23">
        <f t="shared" ca="1" si="100"/>
        <v>21000</v>
      </c>
      <c r="E811" s="23">
        <f t="shared" ca="1" si="101"/>
        <v>29</v>
      </c>
      <c r="F811" s="23">
        <f t="shared" si="106"/>
        <v>168</v>
      </c>
      <c r="G811" s="23">
        <f t="shared" ca="1" si="107"/>
        <v>29</v>
      </c>
      <c r="H811" s="23">
        <f t="shared" ca="1" si="102"/>
        <v>329</v>
      </c>
      <c r="I811" s="23">
        <f t="shared" ca="1" si="103"/>
        <v>22160</v>
      </c>
    </row>
    <row r="812" spans="2:9">
      <c r="B812" s="23">
        <f t="shared" ca="1" si="104"/>
        <v>373</v>
      </c>
      <c r="C812" s="23">
        <f t="shared" ca="1" si="105"/>
        <v>300</v>
      </c>
      <c r="D812" s="23">
        <f t="shared" ca="1" si="100"/>
        <v>21000</v>
      </c>
      <c r="E812" s="23">
        <f t="shared" ca="1" si="101"/>
        <v>73</v>
      </c>
      <c r="F812" s="23">
        <f t="shared" si="106"/>
        <v>168</v>
      </c>
      <c r="G812" s="23">
        <f t="shared" ca="1" si="107"/>
        <v>73</v>
      </c>
      <c r="H812" s="23">
        <f t="shared" ca="1" si="102"/>
        <v>373</v>
      </c>
      <c r="I812" s="23">
        <f t="shared" ca="1" si="103"/>
        <v>23920</v>
      </c>
    </row>
    <row r="813" spans="2:9">
      <c r="B813" s="23">
        <f t="shared" ca="1" si="104"/>
        <v>380</v>
      </c>
      <c r="C813" s="23">
        <f t="shared" ca="1" si="105"/>
        <v>300</v>
      </c>
      <c r="D813" s="23">
        <f t="shared" ca="1" si="100"/>
        <v>21000</v>
      </c>
      <c r="E813" s="23">
        <f t="shared" ca="1" si="101"/>
        <v>80</v>
      </c>
      <c r="F813" s="23">
        <f t="shared" si="106"/>
        <v>168</v>
      </c>
      <c r="G813" s="23">
        <f t="shared" ca="1" si="107"/>
        <v>80</v>
      </c>
      <c r="H813" s="23">
        <f t="shared" ca="1" si="102"/>
        <v>380</v>
      </c>
      <c r="I813" s="23">
        <f t="shared" ca="1" si="103"/>
        <v>24200</v>
      </c>
    </row>
    <row r="814" spans="2:9">
      <c r="B814" s="23">
        <f t="shared" ca="1" si="104"/>
        <v>65</v>
      </c>
      <c r="C814" s="23">
        <f t="shared" ca="1" si="105"/>
        <v>65</v>
      </c>
      <c r="D814" s="23">
        <f t="shared" ca="1" si="100"/>
        <v>-10725</v>
      </c>
      <c r="E814" s="23">
        <f t="shared" ca="1" si="101"/>
        <v>0</v>
      </c>
      <c r="F814" s="23">
        <f t="shared" si="106"/>
        <v>168</v>
      </c>
      <c r="G814" s="23">
        <f t="shared" ca="1" si="107"/>
        <v>0</v>
      </c>
      <c r="H814" s="23">
        <f t="shared" ca="1" si="102"/>
        <v>65</v>
      </c>
      <c r="I814" s="23">
        <f t="shared" ca="1" si="103"/>
        <v>-10725</v>
      </c>
    </row>
    <row r="815" spans="2:9">
      <c r="B815" s="23">
        <f t="shared" ca="1" si="104"/>
        <v>218</v>
      </c>
      <c r="C815" s="23">
        <f t="shared" ca="1" si="105"/>
        <v>218</v>
      </c>
      <c r="D815" s="23">
        <f t="shared" ca="1" si="100"/>
        <v>9930</v>
      </c>
      <c r="E815" s="23">
        <f t="shared" ca="1" si="101"/>
        <v>0</v>
      </c>
      <c r="F815" s="23">
        <f t="shared" si="106"/>
        <v>168</v>
      </c>
      <c r="G815" s="23">
        <f t="shared" ca="1" si="107"/>
        <v>0</v>
      </c>
      <c r="H815" s="23">
        <f t="shared" ca="1" si="102"/>
        <v>218</v>
      </c>
      <c r="I815" s="23">
        <f t="shared" ca="1" si="103"/>
        <v>9930</v>
      </c>
    </row>
    <row r="816" spans="2:9">
      <c r="B816" s="23">
        <f t="shared" ca="1" si="104"/>
        <v>307</v>
      </c>
      <c r="C816" s="23">
        <f t="shared" ca="1" si="105"/>
        <v>300</v>
      </c>
      <c r="D816" s="23">
        <f t="shared" ca="1" si="100"/>
        <v>21000</v>
      </c>
      <c r="E816" s="23">
        <f t="shared" ca="1" si="101"/>
        <v>7</v>
      </c>
      <c r="F816" s="23">
        <f t="shared" si="106"/>
        <v>168</v>
      </c>
      <c r="G816" s="23">
        <f t="shared" ca="1" si="107"/>
        <v>7</v>
      </c>
      <c r="H816" s="23">
        <f t="shared" ca="1" si="102"/>
        <v>307</v>
      </c>
      <c r="I816" s="23">
        <f t="shared" ca="1" si="103"/>
        <v>21280</v>
      </c>
    </row>
    <row r="817" spans="2:9">
      <c r="B817" s="23">
        <f t="shared" ca="1" si="104"/>
        <v>288</v>
      </c>
      <c r="C817" s="23">
        <f t="shared" ca="1" si="105"/>
        <v>288</v>
      </c>
      <c r="D817" s="23">
        <f t="shared" ca="1" si="100"/>
        <v>19380</v>
      </c>
      <c r="E817" s="23">
        <f t="shared" ca="1" si="101"/>
        <v>0</v>
      </c>
      <c r="F817" s="23">
        <f t="shared" si="106"/>
        <v>168</v>
      </c>
      <c r="G817" s="23">
        <f t="shared" ca="1" si="107"/>
        <v>0</v>
      </c>
      <c r="H817" s="23">
        <f t="shared" ca="1" si="102"/>
        <v>288</v>
      </c>
      <c r="I817" s="23">
        <f t="shared" ca="1" si="103"/>
        <v>19380</v>
      </c>
    </row>
    <row r="818" spans="2:9">
      <c r="B818" s="23">
        <f t="shared" ca="1" si="104"/>
        <v>425</v>
      </c>
      <c r="C818" s="23">
        <f t="shared" ca="1" si="105"/>
        <v>300</v>
      </c>
      <c r="D818" s="23">
        <f t="shared" ca="1" si="100"/>
        <v>21000</v>
      </c>
      <c r="E818" s="23">
        <f t="shared" ca="1" si="101"/>
        <v>125</v>
      </c>
      <c r="F818" s="23">
        <f t="shared" si="106"/>
        <v>168</v>
      </c>
      <c r="G818" s="23">
        <f t="shared" ca="1" si="107"/>
        <v>125</v>
      </c>
      <c r="H818" s="23">
        <f t="shared" ca="1" si="102"/>
        <v>425</v>
      </c>
      <c r="I818" s="23">
        <f t="shared" ca="1" si="103"/>
        <v>26000</v>
      </c>
    </row>
    <row r="819" spans="2:9">
      <c r="B819" s="23">
        <f t="shared" ca="1" si="104"/>
        <v>149</v>
      </c>
      <c r="C819" s="23">
        <f t="shared" ca="1" si="105"/>
        <v>149</v>
      </c>
      <c r="D819" s="23">
        <f t="shared" ca="1" si="100"/>
        <v>615</v>
      </c>
      <c r="E819" s="23">
        <f t="shared" ca="1" si="101"/>
        <v>0</v>
      </c>
      <c r="F819" s="23">
        <f t="shared" si="106"/>
        <v>168</v>
      </c>
      <c r="G819" s="23">
        <f t="shared" ca="1" si="107"/>
        <v>0</v>
      </c>
      <c r="H819" s="23">
        <f t="shared" ca="1" si="102"/>
        <v>149</v>
      </c>
      <c r="I819" s="23">
        <f t="shared" ca="1" si="103"/>
        <v>615</v>
      </c>
    </row>
    <row r="820" spans="2:9">
      <c r="B820" s="23">
        <f t="shared" ca="1" si="104"/>
        <v>211</v>
      </c>
      <c r="C820" s="23">
        <f t="shared" ca="1" si="105"/>
        <v>211</v>
      </c>
      <c r="D820" s="23">
        <f t="shared" ca="1" si="100"/>
        <v>8985</v>
      </c>
      <c r="E820" s="23">
        <f t="shared" ca="1" si="101"/>
        <v>0</v>
      </c>
      <c r="F820" s="23">
        <f t="shared" si="106"/>
        <v>168</v>
      </c>
      <c r="G820" s="23">
        <f t="shared" ca="1" si="107"/>
        <v>0</v>
      </c>
      <c r="H820" s="23">
        <f t="shared" ca="1" si="102"/>
        <v>211</v>
      </c>
      <c r="I820" s="23">
        <f t="shared" ca="1" si="103"/>
        <v>8985</v>
      </c>
    </row>
    <row r="821" spans="2:9">
      <c r="B821" s="23">
        <f t="shared" ca="1" si="104"/>
        <v>288</v>
      </c>
      <c r="C821" s="23">
        <f t="shared" ca="1" si="105"/>
        <v>288</v>
      </c>
      <c r="D821" s="23">
        <f t="shared" ca="1" si="100"/>
        <v>19380</v>
      </c>
      <c r="E821" s="23">
        <f t="shared" ca="1" si="101"/>
        <v>0</v>
      </c>
      <c r="F821" s="23">
        <f t="shared" si="106"/>
        <v>168</v>
      </c>
      <c r="G821" s="23">
        <f t="shared" ca="1" si="107"/>
        <v>0</v>
      </c>
      <c r="H821" s="23">
        <f t="shared" ca="1" si="102"/>
        <v>288</v>
      </c>
      <c r="I821" s="23">
        <f t="shared" ca="1" si="103"/>
        <v>19380</v>
      </c>
    </row>
    <row r="822" spans="2:9">
      <c r="B822" s="23">
        <f t="shared" ca="1" si="104"/>
        <v>305</v>
      </c>
      <c r="C822" s="23">
        <f t="shared" ca="1" si="105"/>
        <v>300</v>
      </c>
      <c r="D822" s="23">
        <f t="shared" ca="1" si="100"/>
        <v>21000</v>
      </c>
      <c r="E822" s="23">
        <f t="shared" ca="1" si="101"/>
        <v>5</v>
      </c>
      <c r="F822" s="23">
        <f t="shared" si="106"/>
        <v>168</v>
      </c>
      <c r="G822" s="23">
        <f t="shared" ca="1" si="107"/>
        <v>5</v>
      </c>
      <c r="H822" s="23">
        <f t="shared" ca="1" si="102"/>
        <v>305</v>
      </c>
      <c r="I822" s="23">
        <f t="shared" ca="1" si="103"/>
        <v>21200</v>
      </c>
    </row>
    <row r="823" spans="2:9">
      <c r="B823" s="23">
        <f t="shared" ca="1" si="104"/>
        <v>360</v>
      </c>
      <c r="C823" s="23">
        <f t="shared" ca="1" si="105"/>
        <v>300</v>
      </c>
      <c r="D823" s="23">
        <f t="shared" ca="1" si="100"/>
        <v>21000</v>
      </c>
      <c r="E823" s="23">
        <f t="shared" ca="1" si="101"/>
        <v>60</v>
      </c>
      <c r="F823" s="23">
        <f t="shared" si="106"/>
        <v>168</v>
      </c>
      <c r="G823" s="23">
        <f t="shared" ca="1" si="107"/>
        <v>60</v>
      </c>
      <c r="H823" s="23">
        <f t="shared" ca="1" si="102"/>
        <v>360</v>
      </c>
      <c r="I823" s="23">
        <f t="shared" ca="1" si="103"/>
        <v>23400</v>
      </c>
    </row>
    <row r="824" spans="2:9">
      <c r="B824" s="23">
        <f t="shared" ca="1" si="104"/>
        <v>432</v>
      </c>
      <c r="C824" s="23">
        <f t="shared" ca="1" si="105"/>
        <v>300</v>
      </c>
      <c r="D824" s="23">
        <f t="shared" ca="1" si="100"/>
        <v>21000</v>
      </c>
      <c r="E824" s="23">
        <f t="shared" ca="1" si="101"/>
        <v>132</v>
      </c>
      <c r="F824" s="23">
        <f t="shared" si="106"/>
        <v>168</v>
      </c>
      <c r="G824" s="23">
        <f t="shared" ca="1" si="107"/>
        <v>132</v>
      </c>
      <c r="H824" s="23">
        <f t="shared" ca="1" si="102"/>
        <v>432</v>
      </c>
      <c r="I824" s="23">
        <f t="shared" ca="1" si="103"/>
        <v>26280</v>
      </c>
    </row>
    <row r="825" spans="2:9">
      <c r="B825" s="23">
        <f t="shared" ca="1" si="104"/>
        <v>334</v>
      </c>
      <c r="C825" s="23">
        <f t="shared" ca="1" si="105"/>
        <v>300</v>
      </c>
      <c r="D825" s="23">
        <f t="shared" ca="1" si="100"/>
        <v>21000</v>
      </c>
      <c r="E825" s="23">
        <f t="shared" ca="1" si="101"/>
        <v>34</v>
      </c>
      <c r="F825" s="23">
        <f t="shared" si="106"/>
        <v>168</v>
      </c>
      <c r="G825" s="23">
        <f t="shared" ca="1" si="107"/>
        <v>34</v>
      </c>
      <c r="H825" s="23">
        <f t="shared" ca="1" si="102"/>
        <v>334</v>
      </c>
      <c r="I825" s="23">
        <f t="shared" ca="1" si="103"/>
        <v>22360</v>
      </c>
    </row>
    <row r="826" spans="2:9">
      <c r="B826" s="23">
        <f t="shared" ca="1" si="104"/>
        <v>390</v>
      </c>
      <c r="C826" s="23">
        <f t="shared" ca="1" si="105"/>
        <v>300</v>
      </c>
      <c r="D826" s="23">
        <f t="shared" ca="1" si="100"/>
        <v>21000</v>
      </c>
      <c r="E826" s="23">
        <f t="shared" ca="1" si="101"/>
        <v>90</v>
      </c>
      <c r="F826" s="23">
        <f t="shared" si="106"/>
        <v>168</v>
      </c>
      <c r="G826" s="23">
        <f t="shared" ca="1" si="107"/>
        <v>90</v>
      </c>
      <c r="H826" s="23">
        <f t="shared" ca="1" si="102"/>
        <v>390</v>
      </c>
      <c r="I826" s="23">
        <f t="shared" ca="1" si="103"/>
        <v>24600</v>
      </c>
    </row>
    <row r="827" spans="2:9">
      <c r="B827" s="23">
        <f t="shared" ca="1" si="104"/>
        <v>336</v>
      </c>
      <c r="C827" s="23">
        <f t="shared" ca="1" si="105"/>
        <v>300</v>
      </c>
      <c r="D827" s="23">
        <f t="shared" ca="1" si="100"/>
        <v>21000</v>
      </c>
      <c r="E827" s="23">
        <f t="shared" ca="1" si="101"/>
        <v>36</v>
      </c>
      <c r="F827" s="23">
        <f t="shared" si="106"/>
        <v>168</v>
      </c>
      <c r="G827" s="23">
        <f t="shared" ca="1" si="107"/>
        <v>36</v>
      </c>
      <c r="H827" s="23">
        <f t="shared" ca="1" si="102"/>
        <v>336</v>
      </c>
      <c r="I827" s="23">
        <f t="shared" ca="1" si="103"/>
        <v>22440</v>
      </c>
    </row>
    <row r="828" spans="2:9">
      <c r="B828" s="23">
        <f t="shared" ca="1" si="104"/>
        <v>185</v>
      </c>
      <c r="C828" s="23">
        <f t="shared" ca="1" si="105"/>
        <v>185</v>
      </c>
      <c r="D828" s="23">
        <f t="shared" ca="1" si="100"/>
        <v>5475</v>
      </c>
      <c r="E828" s="23">
        <f t="shared" ca="1" si="101"/>
        <v>0</v>
      </c>
      <c r="F828" s="23">
        <f t="shared" si="106"/>
        <v>168</v>
      </c>
      <c r="G828" s="23">
        <f t="shared" ca="1" si="107"/>
        <v>0</v>
      </c>
      <c r="H828" s="23">
        <f t="shared" ca="1" si="102"/>
        <v>185</v>
      </c>
      <c r="I828" s="23">
        <f t="shared" ca="1" si="103"/>
        <v>5475</v>
      </c>
    </row>
    <row r="829" spans="2:9">
      <c r="B829" s="23">
        <f t="shared" ca="1" si="104"/>
        <v>195</v>
      </c>
      <c r="C829" s="23">
        <f t="shared" ca="1" si="105"/>
        <v>195</v>
      </c>
      <c r="D829" s="23">
        <f t="shared" ca="1" si="100"/>
        <v>6825</v>
      </c>
      <c r="E829" s="23">
        <f t="shared" ca="1" si="101"/>
        <v>0</v>
      </c>
      <c r="F829" s="23">
        <f t="shared" si="106"/>
        <v>168</v>
      </c>
      <c r="G829" s="23">
        <f t="shared" ca="1" si="107"/>
        <v>0</v>
      </c>
      <c r="H829" s="23">
        <f t="shared" ca="1" si="102"/>
        <v>195</v>
      </c>
      <c r="I829" s="23">
        <f t="shared" ca="1" si="103"/>
        <v>6825</v>
      </c>
    </row>
    <row r="830" spans="2:9">
      <c r="B830" s="23">
        <f t="shared" ca="1" si="104"/>
        <v>370</v>
      </c>
      <c r="C830" s="23">
        <f t="shared" ca="1" si="105"/>
        <v>300</v>
      </c>
      <c r="D830" s="23">
        <f t="shared" ca="1" si="100"/>
        <v>21000</v>
      </c>
      <c r="E830" s="23">
        <f t="shared" ca="1" si="101"/>
        <v>70</v>
      </c>
      <c r="F830" s="23">
        <f t="shared" si="106"/>
        <v>168</v>
      </c>
      <c r="G830" s="23">
        <f t="shared" ca="1" si="107"/>
        <v>70</v>
      </c>
      <c r="H830" s="23">
        <f t="shared" ca="1" si="102"/>
        <v>370</v>
      </c>
      <c r="I830" s="23">
        <f t="shared" ca="1" si="103"/>
        <v>23800</v>
      </c>
    </row>
    <row r="831" spans="2:9">
      <c r="B831" s="23">
        <f t="shared" ca="1" si="104"/>
        <v>297</v>
      </c>
      <c r="C831" s="23">
        <f t="shared" ca="1" si="105"/>
        <v>297</v>
      </c>
      <c r="D831" s="23">
        <f t="shared" ca="1" si="100"/>
        <v>20595</v>
      </c>
      <c r="E831" s="23">
        <f t="shared" ca="1" si="101"/>
        <v>0</v>
      </c>
      <c r="F831" s="23">
        <f t="shared" si="106"/>
        <v>168</v>
      </c>
      <c r="G831" s="23">
        <f t="shared" ca="1" si="107"/>
        <v>0</v>
      </c>
      <c r="H831" s="23">
        <f t="shared" ca="1" si="102"/>
        <v>297</v>
      </c>
      <c r="I831" s="23">
        <f t="shared" ca="1" si="103"/>
        <v>20595</v>
      </c>
    </row>
    <row r="832" spans="2:9">
      <c r="B832" s="23">
        <f t="shared" ca="1" si="104"/>
        <v>261</v>
      </c>
      <c r="C832" s="23">
        <f t="shared" ca="1" si="105"/>
        <v>261</v>
      </c>
      <c r="D832" s="23">
        <f t="shared" ca="1" si="100"/>
        <v>15735</v>
      </c>
      <c r="E832" s="23">
        <f t="shared" ca="1" si="101"/>
        <v>0</v>
      </c>
      <c r="F832" s="23">
        <f t="shared" si="106"/>
        <v>168</v>
      </c>
      <c r="G832" s="23">
        <f t="shared" ca="1" si="107"/>
        <v>0</v>
      </c>
      <c r="H832" s="23">
        <f t="shared" ca="1" si="102"/>
        <v>261</v>
      </c>
      <c r="I832" s="23">
        <f t="shared" ca="1" si="103"/>
        <v>15735</v>
      </c>
    </row>
    <row r="833" spans="2:9">
      <c r="B833" s="23">
        <f t="shared" ca="1" si="104"/>
        <v>280</v>
      </c>
      <c r="C833" s="23">
        <f t="shared" ca="1" si="105"/>
        <v>280</v>
      </c>
      <c r="D833" s="23">
        <f t="shared" ca="1" si="100"/>
        <v>18300</v>
      </c>
      <c r="E833" s="23">
        <f t="shared" ca="1" si="101"/>
        <v>0</v>
      </c>
      <c r="F833" s="23">
        <f t="shared" si="106"/>
        <v>168</v>
      </c>
      <c r="G833" s="23">
        <f t="shared" ca="1" si="107"/>
        <v>0</v>
      </c>
      <c r="H833" s="23">
        <f t="shared" ca="1" si="102"/>
        <v>280</v>
      </c>
      <c r="I833" s="23">
        <f t="shared" ca="1" si="103"/>
        <v>18300</v>
      </c>
    </row>
    <row r="834" spans="2:9">
      <c r="B834" s="23">
        <f t="shared" ca="1" si="104"/>
        <v>407</v>
      </c>
      <c r="C834" s="23">
        <f t="shared" ca="1" si="105"/>
        <v>300</v>
      </c>
      <c r="D834" s="23">
        <f t="shared" ca="1" si="100"/>
        <v>21000</v>
      </c>
      <c r="E834" s="23">
        <f t="shared" ca="1" si="101"/>
        <v>107</v>
      </c>
      <c r="F834" s="23">
        <f t="shared" si="106"/>
        <v>168</v>
      </c>
      <c r="G834" s="23">
        <f t="shared" ca="1" si="107"/>
        <v>107</v>
      </c>
      <c r="H834" s="23">
        <f t="shared" ca="1" si="102"/>
        <v>407</v>
      </c>
      <c r="I834" s="23">
        <f t="shared" ca="1" si="103"/>
        <v>25280</v>
      </c>
    </row>
    <row r="835" spans="2:9">
      <c r="B835" s="23">
        <f t="shared" ca="1" si="104"/>
        <v>298</v>
      </c>
      <c r="C835" s="23">
        <f t="shared" ca="1" si="105"/>
        <v>298</v>
      </c>
      <c r="D835" s="23">
        <f t="shared" ca="1" si="100"/>
        <v>20730</v>
      </c>
      <c r="E835" s="23">
        <f t="shared" ca="1" si="101"/>
        <v>0</v>
      </c>
      <c r="F835" s="23">
        <f t="shared" si="106"/>
        <v>168</v>
      </c>
      <c r="G835" s="23">
        <f t="shared" ca="1" si="107"/>
        <v>0</v>
      </c>
      <c r="H835" s="23">
        <f t="shared" ca="1" si="102"/>
        <v>298</v>
      </c>
      <c r="I835" s="23">
        <f t="shared" ca="1" si="103"/>
        <v>20730</v>
      </c>
    </row>
    <row r="836" spans="2:9">
      <c r="B836" s="23">
        <f t="shared" ca="1" si="104"/>
        <v>262</v>
      </c>
      <c r="C836" s="23">
        <f t="shared" ca="1" si="105"/>
        <v>262</v>
      </c>
      <c r="D836" s="23">
        <f t="shared" ca="1" si="100"/>
        <v>15870</v>
      </c>
      <c r="E836" s="23">
        <f t="shared" ca="1" si="101"/>
        <v>0</v>
      </c>
      <c r="F836" s="23">
        <f t="shared" si="106"/>
        <v>168</v>
      </c>
      <c r="G836" s="23">
        <f t="shared" ca="1" si="107"/>
        <v>0</v>
      </c>
      <c r="H836" s="23">
        <f t="shared" ca="1" si="102"/>
        <v>262</v>
      </c>
      <c r="I836" s="23">
        <f t="shared" ca="1" si="103"/>
        <v>15870</v>
      </c>
    </row>
    <row r="837" spans="2:9">
      <c r="B837" s="23">
        <f t="shared" ca="1" si="104"/>
        <v>264</v>
      </c>
      <c r="C837" s="23">
        <f t="shared" ca="1" si="105"/>
        <v>264</v>
      </c>
      <c r="D837" s="23">
        <f t="shared" ca="1" si="100"/>
        <v>16140</v>
      </c>
      <c r="E837" s="23">
        <f t="shared" ca="1" si="101"/>
        <v>0</v>
      </c>
      <c r="F837" s="23">
        <f t="shared" si="106"/>
        <v>168</v>
      </c>
      <c r="G837" s="23">
        <f t="shared" ca="1" si="107"/>
        <v>0</v>
      </c>
      <c r="H837" s="23">
        <f t="shared" ca="1" si="102"/>
        <v>264</v>
      </c>
      <c r="I837" s="23">
        <f t="shared" ca="1" si="103"/>
        <v>16140</v>
      </c>
    </row>
    <row r="838" spans="2:9">
      <c r="B838" s="23">
        <f t="shared" ca="1" si="104"/>
        <v>450</v>
      </c>
      <c r="C838" s="23">
        <f t="shared" ca="1" si="105"/>
        <v>300</v>
      </c>
      <c r="D838" s="23">
        <f t="shared" ca="1" si="100"/>
        <v>21000</v>
      </c>
      <c r="E838" s="23">
        <f t="shared" ca="1" si="101"/>
        <v>150</v>
      </c>
      <c r="F838" s="23">
        <f t="shared" si="106"/>
        <v>168</v>
      </c>
      <c r="G838" s="23">
        <f t="shared" ca="1" si="107"/>
        <v>150</v>
      </c>
      <c r="H838" s="23">
        <f t="shared" ca="1" si="102"/>
        <v>450</v>
      </c>
      <c r="I838" s="23">
        <f t="shared" ca="1" si="103"/>
        <v>27000</v>
      </c>
    </row>
    <row r="839" spans="2:9">
      <c r="B839" s="23">
        <f t="shared" ca="1" si="104"/>
        <v>267</v>
      </c>
      <c r="C839" s="23">
        <f t="shared" ca="1" si="105"/>
        <v>267</v>
      </c>
      <c r="D839" s="23">
        <f t="shared" ca="1" si="100"/>
        <v>16545</v>
      </c>
      <c r="E839" s="23">
        <f t="shared" ca="1" si="101"/>
        <v>0</v>
      </c>
      <c r="F839" s="23">
        <f t="shared" si="106"/>
        <v>168</v>
      </c>
      <c r="G839" s="23">
        <f t="shared" ca="1" si="107"/>
        <v>0</v>
      </c>
      <c r="H839" s="23">
        <f t="shared" ca="1" si="102"/>
        <v>267</v>
      </c>
      <c r="I839" s="23">
        <f t="shared" ca="1" si="103"/>
        <v>16545</v>
      </c>
    </row>
    <row r="840" spans="2:9">
      <c r="B840" s="23">
        <f t="shared" ca="1" si="104"/>
        <v>34</v>
      </c>
      <c r="C840" s="23">
        <f t="shared" ca="1" si="105"/>
        <v>34</v>
      </c>
      <c r="D840" s="23">
        <f t="shared" ca="1" si="100"/>
        <v>-14910</v>
      </c>
      <c r="E840" s="23">
        <f t="shared" ca="1" si="101"/>
        <v>0</v>
      </c>
      <c r="F840" s="23">
        <f t="shared" si="106"/>
        <v>168</v>
      </c>
      <c r="G840" s="23">
        <f t="shared" ca="1" si="107"/>
        <v>0</v>
      </c>
      <c r="H840" s="23">
        <f t="shared" ca="1" si="102"/>
        <v>34</v>
      </c>
      <c r="I840" s="23">
        <f t="shared" ca="1" si="103"/>
        <v>-14910</v>
      </c>
    </row>
    <row r="841" spans="2:9">
      <c r="B841" s="23">
        <f t="shared" ca="1" si="104"/>
        <v>357</v>
      </c>
      <c r="C841" s="23">
        <f t="shared" ca="1" si="105"/>
        <v>300</v>
      </c>
      <c r="D841" s="23">
        <f t="shared" ca="1" si="100"/>
        <v>21000</v>
      </c>
      <c r="E841" s="23">
        <f t="shared" ca="1" si="101"/>
        <v>57</v>
      </c>
      <c r="F841" s="23">
        <f t="shared" si="106"/>
        <v>168</v>
      </c>
      <c r="G841" s="23">
        <f t="shared" ca="1" si="107"/>
        <v>57</v>
      </c>
      <c r="H841" s="23">
        <f t="shared" ca="1" si="102"/>
        <v>357</v>
      </c>
      <c r="I841" s="23">
        <f t="shared" ca="1" si="103"/>
        <v>23280</v>
      </c>
    </row>
    <row r="842" spans="2:9">
      <c r="B842" s="23">
        <f t="shared" ca="1" si="104"/>
        <v>380</v>
      </c>
      <c r="C842" s="23">
        <f t="shared" ca="1" si="105"/>
        <v>300</v>
      </c>
      <c r="D842" s="23">
        <f t="shared" ca="1" si="100"/>
        <v>21000</v>
      </c>
      <c r="E842" s="23">
        <f t="shared" ca="1" si="101"/>
        <v>80</v>
      </c>
      <c r="F842" s="23">
        <f t="shared" si="106"/>
        <v>168</v>
      </c>
      <c r="G842" s="23">
        <f t="shared" ca="1" si="107"/>
        <v>80</v>
      </c>
      <c r="H842" s="23">
        <f t="shared" ca="1" si="102"/>
        <v>380</v>
      </c>
      <c r="I842" s="23">
        <f t="shared" ca="1" si="103"/>
        <v>24200</v>
      </c>
    </row>
    <row r="843" spans="2:9">
      <c r="B843" s="23">
        <f t="shared" ca="1" si="104"/>
        <v>156</v>
      </c>
      <c r="C843" s="23">
        <f t="shared" ca="1" si="105"/>
        <v>156</v>
      </c>
      <c r="D843" s="23">
        <f t="shared" ca="1" si="100"/>
        <v>1560</v>
      </c>
      <c r="E843" s="23">
        <f t="shared" ca="1" si="101"/>
        <v>0</v>
      </c>
      <c r="F843" s="23">
        <f t="shared" si="106"/>
        <v>168</v>
      </c>
      <c r="G843" s="23">
        <f t="shared" ca="1" si="107"/>
        <v>0</v>
      </c>
      <c r="H843" s="23">
        <f t="shared" ca="1" si="102"/>
        <v>156</v>
      </c>
      <c r="I843" s="23">
        <f t="shared" ca="1" si="103"/>
        <v>1560</v>
      </c>
    </row>
    <row r="844" spans="2:9">
      <c r="B844" s="23">
        <f t="shared" ca="1" si="104"/>
        <v>318</v>
      </c>
      <c r="C844" s="23">
        <f t="shared" ca="1" si="105"/>
        <v>300</v>
      </c>
      <c r="D844" s="23">
        <f t="shared" ref="D844:D907" ca="1" si="108">C844*$B$3-$D$8*$B$2</f>
        <v>21000</v>
      </c>
      <c r="E844" s="23">
        <f t="shared" ref="E844:E907" ca="1" si="109">MAX(0, B844-$D$8)</f>
        <v>18</v>
      </c>
      <c r="F844" s="23">
        <f t="shared" si="106"/>
        <v>168</v>
      </c>
      <c r="G844" s="23">
        <f t="shared" ca="1" si="107"/>
        <v>18</v>
      </c>
      <c r="H844" s="23">
        <f t="shared" ref="H844:H907" ca="1" si="110">MIN(B844, $D$8+G844)</f>
        <v>318</v>
      </c>
      <c r="I844" s="23">
        <f t="shared" ref="I844:I907" ca="1" si="111">H844*$B$3-$D$8*$B$2-$B$1*G844</f>
        <v>21720</v>
      </c>
    </row>
    <row r="845" spans="2:9">
      <c r="B845" s="23">
        <f t="shared" ref="B845:B908" ca="1" si="112">_xlfn.FLOOR.MATH(_xlfn.NORM.INV(RAND(),$B$4,$B$5))</f>
        <v>218</v>
      </c>
      <c r="C845" s="23">
        <f t="shared" ref="C845:C908" ca="1" si="113">MIN(B845,$D$8)</f>
        <v>218</v>
      </c>
      <c r="D845" s="23">
        <f t="shared" ca="1" si="108"/>
        <v>9930</v>
      </c>
      <c r="E845" s="23">
        <f t="shared" ca="1" si="109"/>
        <v>0</v>
      </c>
      <c r="F845" s="23">
        <f t="shared" ref="F845:F908" si="114">12*(21-7)</f>
        <v>168</v>
      </c>
      <c r="G845" s="23">
        <f t="shared" ca="1" si="107"/>
        <v>0</v>
      </c>
      <c r="H845" s="23">
        <f t="shared" ca="1" si="110"/>
        <v>218</v>
      </c>
      <c r="I845" s="23">
        <f t="shared" ca="1" si="111"/>
        <v>9930</v>
      </c>
    </row>
    <row r="846" spans="2:9">
      <c r="B846" s="23">
        <f t="shared" ca="1" si="112"/>
        <v>223</v>
      </c>
      <c r="C846" s="23">
        <f t="shared" ca="1" si="113"/>
        <v>223</v>
      </c>
      <c r="D846" s="23">
        <f t="shared" ca="1" si="108"/>
        <v>10605</v>
      </c>
      <c r="E846" s="23">
        <f t="shared" ca="1" si="109"/>
        <v>0</v>
      </c>
      <c r="F846" s="23">
        <f t="shared" si="114"/>
        <v>168</v>
      </c>
      <c r="G846" s="23">
        <f t="shared" ca="1" si="107"/>
        <v>0</v>
      </c>
      <c r="H846" s="23">
        <f t="shared" ca="1" si="110"/>
        <v>223</v>
      </c>
      <c r="I846" s="23">
        <f t="shared" ca="1" si="111"/>
        <v>10605</v>
      </c>
    </row>
    <row r="847" spans="2:9">
      <c r="B847" s="23">
        <f t="shared" ca="1" si="112"/>
        <v>219</v>
      </c>
      <c r="C847" s="23">
        <f t="shared" ca="1" si="113"/>
        <v>219</v>
      </c>
      <c r="D847" s="23">
        <f t="shared" ca="1" si="108"/>
        <v>10065</v>
      </c>
      <c r="E847" s="23">
        <f t="shared" ca="1" si="109"/>
        <v>0</v>
      </c>
      <c r="F847" s="23">
        <f t="shared" si="114"/>
        <v>168</v>
      </c>
      <c r="G847" s="23">
        <f t="shared" ca="1" si="107"/>
        <v>0</v>
      </c>
      <c r="H847" s="23">
        <f t="shared" ca="1" si="110"/>
        <v>219</v>
      </c>
      <c r="I847" s="23">
        <f t="shared" ca="1" si="111"/>
        <v>10065</v>
      </c>
    </row>
    <row r="848" spans="2:9">
      <c r="B848" s="23">
        <f t="shared" ca="1" si="112"/>
        <v>284</v>
      </c>
      <c r="C848" s="23">
        <f t="shared" ca="1" si="113"/>
        <v>284</v>
      </c>
      <c r="D848" s="23">
        <f t="shared" ca="1" si="108"/>
        <v>18840</v>
      </c>
      <c r="E848" s="23">
        <f t="shared" ca="1" si="109"/>
        <v>0</v>
      </c>
      <c r="F848" s="23">
        <f t="shared" si="114"/>
        <v>168</v>
      </c>
      <c r="G848" s="23">
        <f t="shared" ref="G848:G911" ca="1" si="115">MIN(E848,F848)</f>
        <v>0</v>
      </c>
      <c r="H848" s="23">
        <f t="shared" ca="1" si="110"/>
        <v>284</v>
      </c>
      <c r="I848" s="23">
        <f t="shared" ca="1" si="111"/>
        <v>18840</v>
      </c>
    </row>
    <row r="849" spans="2:9">
      <c r="B849" s="23">
        <f t="shared" ca="1" si="112"/>
        <v>241</v>
      </c>
      <c r="C849" s="23">
        <f t="shared" ca="1" si="113"/>
        <v>241</v>
      </c>
      <c r="D849" s="23">
        <f t="shared" ca="1" si="108"/>
        <v>13035</v>
      </c>
      <c r="E849" s="23">
        <f t="shared" ca="1" si="109"/>
        <v>0</v>
      </c>
      <c r="F849" s="23">
        <f t="shared" si="114"/>
        <v>168</v>
      </c>
      <c r="G849" s="23">
        <f t="shared" ca="1" si="115"/>
        <v>0</v>
      </c>
      <c r="H849" s="23">
        <f t="shared" ca="1" si="110"/>
        <v>241</v>
      </c>
      <c r="I849" s="23">
        <f t="shared" ca="1" si="111"/>
        <v>13035</v>
      </c>
    </row>
    <row r="850" spans="2:9">
      <c r="B850" s="23">
        <f t="shared" ca="1" si="112"/>
        <v>341</v>
      </c>
      <c r="C850" s="23">
        <f t="shared" ca="1" si="113"/>
        <v>300</v>
      </c>
      <c r="D850" s="23">
        <f t="shared" ca="1" si="108"/>
        <v>21000</v>
      </c>
      <c r="E850" s="23">
        <f t="shared" ca="1" si="109"/>
        <v>41</v>
      </c>
      <c r="F850" s="23">
        <f t="shared" si="114"/>
        <v>168</v>
      </c>
      <c r="G850" s="23">
        <f t="shared" ca="1" si="115"/>
        <v>41</v>
      </c>
      <c r="H850" s="23">
        <f t="shared" ca="1" si="110"/>
        <v>341</v>
      </c>
      <c r="I850" s="23">
        <f t="shared" ca="1" si="111"/>
        <v>22640</v>
      </c>
    </row>
    <row r="851" spans="2:9">
      <c r="B851" s="23">
        <f t="shared" ca="1" si="112"/>
        <v>305</v>
      </c>
      <c r="C851" s="23">
        <f t="shared" ca="1" si="113"/>
        <v>300</v>
      </c>
      <c r="D851" s="23">
        <f t="shared" ca="1" si="108"/>
        <v>21000</v>
      </c>
      <c r="E851" s="23">
        <f t="shared" ca="1" si="109"/>
        <v>5</v>
      </c>
      <c r="F851" s="23">
        <f t="shared" si="114"/>
        <v>168</v>
      </c>
      <c r="G851" s="23">
        <f t="shared" ca="1" si="115"/>
        <v>5</v>
      </c>
      <c r="H851" s="23">
        <f t="shared" ca="1" si="110"/>
        <v>305</v>
      </c>
      <c r="I851" s="23">
        <f t="shared" ca="1" si="111"/>
        <v>21200</v>
      </c>
    </row>
    <row r="852" spans="2:9">
      <c r="B852" s="23">
        <f t="shared" ca="1" si="112"/>
        <v>327</v>
      </c>
      <c r="C852" s="23">
        <f t="shared" ca="1" si="113"/>
        <v>300</v>
      </c>
      <c r="D852" s="23">
        <f t="shared" ca="1" si="108"/>
        <v>21000</v>
      </c>
      <c r="E852" s="23">
        <f t="shared" ca="1" si="109"/>
        <v>27</v>
      </c>
      <c r="F852" s="23">
        <f t="shared" si="114"/>
        <v>168</v>
      </c>
      <c r="G852" s="23">
        <f t="shared" ca="1" si="115"/>
        <v>27</v>
      </c>
      <c r="H852" s="23">
        <f t="shared" ca="1" si="110"/>
        <v>327</v>
      </c>
      <c r="I852" s="23">
        <f t="shared" ca="1" si="111"/>
        <v>22080</v>
      </c>
    </row>
    <row r="853" spans="2:9">
      <c r="B853" s="23">
        <f t="shared" ca="1" si="112"/>
        <v>336</v>
      </c>
      <c r="C853" s="23">
        <f t="shared" ca="1" si="113"/>
        <v>300</v>
      </c>
      <c r="D853" s="23">
        <f t="shared" ca="1" si="108"/>
        <v>21000</v>
      </c>
      <c r="E853" s="23">
        <f t="shared" ca="1" si="109"/>
        <v>36</v>
      </c>
      <c r="F853" s="23">
        <f t="shared" si="114"/>
        <v>168</v>
      </c>
      <c r="G853" s="23">
        <f t="shared" ca="1" si="115"/>
        <v>36</v>
      </c>
      <c r="H853" s="23">
        <f t="shared" ca="1" si="110"/>
        <v>336</v>
      </c>
      <c r="I853" s="23">
        <f t="shared" ca="1" si="111"/>
        <v>22440</v>
      </c>
    </row>
    <row r="854" spans="2:9">
      <c r="B854" s="23">
        <f t="shared" ca="1" si="112"/>
        <v>106</v>
      </c>
      <c r="C854" s="23">
        <f t="shared" ca="1" si="113"/>
        <v>106</v>
      </c>
      <c r="D854" s="23">
        <f t="shared" ca="1" si="108"/>
        <v>-5190</v>
      </c>
      <c r="E854" s="23">
        <f t="shared" ca="1" si="109"/>
        <v>0</v>
      </c>
      <c r="F854" s="23">
        <f t="shared" si="114"/>
        <v>168</v>
      </c>
      <c r="G854" s="23">
        <f t="shared" ca="1" si="115"/>
        <v>0</v>
      </c>
      <c r="H854" s="23">
        <f t="shared" ca="1" si="110"/>
        <v>106</v>
      </c>
      <c r="I854" s="23">
        <f t="shared" ca="1" si="111"/>
        <v>-5190</v>
      </c>
    </row>
    <row r="855" spans="2:9">
      <c r="B855" s="23">
        <f t="shared" ca="1" si="112"/>
        <v>322</v>
      </c>
      <c r="C855" s="23">
        <f t="shared" ca="1" si="113"/>
        <v>300</v>
      </c>
      <c r="D855" s="23">
        <f t="shared" ca="1" si="108"/>
        <v>21000</v>
      </c>
      <c r="E855" s="23">
        <f t="shared" ca="1" si="109"/>
        <v>22</v>
      </c>
      <c r="F855" s="23">
        <f t="shared" si="114"/>
        <v>168</v>
      </c>
      <c r="G855" s="23">
        <f t="shared" ca="1" si="115"/>
        <v>22</v>
      </c>
      <c r="H855" s="23">
        <f t="shared" ca="1" si="110"/>
        <v>322</v>
      </c>
      <c r="I855" s="23">
        <f t="shared" ca="1" si="111"/>
        <v>21880</v>
      </c>
    </row>
    <row r="856" spans="2:9">
      <c r="B856" s="23">
        <f t="shared" ca="1" si="112"/>
        <v>251</v>
      </c>
      <c r="C856" s="23">
        <f t="shared" ca="1" si="113"/>
        <v>251</v>
      </c>
      <c r="D856" s="23">
        <f t="shared" ca="1" si="108"/>
        <v>14385</v>
      </c>
      <c r="E856" s="23">
        <f t="shared" ca="1" si="109"/>
        <v>0</v>
      </c>
      <c r="F856" s="23">
        <f t="shared" si="114"/>
        <v>168</v>
      </c>
      <c r="G856" s="23">
        <f t="shared" ca="1" si="115"/>
        <v>0</v>
      </c>
      <c r="H856" s="23">
        <f t="shared" ca="1" si="110"/>
        <v>251</v>
      </c>
      <c r="I856" s="23">
        <f t="shared" ca="1" si="111"/>
        <v>14385</v>
      </c>
    </row>
    <row r="857" spans="2:9">
      <c r="B857" s="23">
        <f t="shared" ca="1" si="112"/>
        <v>305</v>
      </c>
      <c r="C857" s="23">
        <f t="shared" ca="1" si="113"/>
        <v>300</v>
      </c>
      <c r="D857" s="23">
        <f t="shared" ca="1" si="108"/>
        <v>21000</v>
      </c>
      <c r="E857" s="23">
        <f t="shared" ca="1" si="109"/>
        <v>5</v>
      </c>
      <c r="F857" s="23">
        <f t="shared" si="114"/>
        <v>168</v>
      </c>
      <c r="G857" s="23">
        <f t="shared" ca="1" si="115"/>
        <v>5</v>
      </c>
      <c r="H857" s="23">
        <f t="shared" ca="1" si="110"/>
        <v>305</v>
      </c>
      <c r="I857" s="23">
        <f t="shared" ca="1" si="111"/>
        <v>21200</v>
      </c>
    </row>
    <row r="858" spans="2:9">
      <c r="B858" s="23">
        <f t="shared" ca="1" si="112"/>
        <v>215</v>
      </c>
      <c r="C858" s="23">
        <f t="shared" ca="1" si="113"/>
        <v>215</v>
      </c>
      <c r="D858" s="23">
        <f t="shared" ca="1" si="108"/>
        <v>9525</v>
      </c>
      <c r="E858" s="23">
        <f t="shared" ca="1" si="109"/>
        <v>0</v>
      </c>
      <c r="F858" s="23">
        <f t="shared" si="114"/>
        <v>168</v>
      </c>
      <c r="G858" s="23">
        <f t="shared" ca="1" si="115"/>
        <v>0</v>
      </c>
      <c r="H858" s="23">
        <f t="shared" ca="1" si="110"/>
        <v>215</v>
      </c>
      <c r="I858" s="23">
        <f t="shared" ca="1" si="111"/>
        <v>9525</v>
      </c>
    </row>
    <row r="859" spans="2:9">
      <c r="B859" s="23">
        <f t="shared" ca="1" si="112"/>
        <v>207</v>
      </c>
      <c r="C859" s="23">
        <f t="shared" ca="1" si="113"/>
        <v>207</v>
      </c>
      <c r="D859" s="23">
        <f t="shared" ca="1" si="108"/>
        <v>8445</v>
      </c>
      <c r="E859" s="23">
        <f t="shared" ca="1" si="109"/>
        <v>0</v>
      </c>
      <c r="F859" s="23">
        <f t="shared" si="114"/>
        <v>168</v>
      </c>
      <c r="G859" s="23">
        <f t="shared" ca="1" si="115"/>
        <v>0</v>
      </c>
      <c r="H859" s="23">
        <f t="shared" ca="1" si="110"/>
        <v>207</v>
      </c>
      <c r="I859" s="23">
        <f t="shared" ca="1" si="111"/>
        <v>8445</v>
      </c>
    </row>
    <row r="860" spans="2:9">
      <c r="B860" s="23">
        <f t="shared" ca="1" si="112"/>
        <v>228</v>
      </c>
      <c r="C860" s="23">
        <f t="shared" ca="1" si="113"/>
        <v>228</v>
      </c>
      <c r="D860" s="23">
        <f t="shared" ca="1" si="108"/>
        <v>11280</v>
      </c>
      <c r="E860" s="23">
        <f t="shared" ca="1" si="109"/>
        <v>0</v>
      </c>
      <c r="F860" s="23">
        <f t="shared" si="114"/>
        <v>168</v>
      </c>
      <c r="G860" s="23">
        <f t="shared" ca="1" si="115"/>
        <v>0</v>
      </c>
      <c r="H860" s="23">
        <f t="shared" ca="1" si="110"/>
        <v>228</v>
      </c>
      <c r="I860" s="23">
        <f t="shared" ca="1" si="111"/>
        <v>11280</v>
      </c>
    </row>
    <row r="861" spans="2:9">
      <c r="B861" s="23">
        <f t="shared" ca="1" si="112"/>
        <v>264</v>
      </c>
      <c r="C861" s="23">
        <f t="shared" ca="1" si="113"/>
        <v>264</v>
      </c>
      <c r="D861" s="23">
        <f t="shared" ca="1" si="108"/>
        <v>16140</v>
      </c>
      <c r="E861" s="23">
        <f t="shared" ca="1" si="109"/>
        <v>0</v>
      </c>
      <c r="F861" s="23">
        <f t="shared" si="114"/>
        <v>168</v>
      </c>
      <c r="G861" s="23">
        <f t="shared" ca="1" si="115"/>
        <v>0</v>
      </c>
      <c r="H861" s="23">
        <f t="shared" ca="1" si="110"/>
        <v>264</v>
      </c>
      <c r="I861" s="23">
        <f t="shared" ca="1" si="111"/>
        <v>16140</v>
      </c>
    </row>
    <row r="862" spans="2:9">
      <c r="B862" s="23">
        <f t="shared" ca="1" si="112"/>
        <v>400</v>
      </c>
      <c r="C862" s="23">
        <f t="shared" ca="1" si="113"/>
        <v>300</v>
      </c>
      <c r="D862" s="23">
        <f t="shared" ca="1" si="108"/>
        <v>21000</v>
      </c>
      <c r="E862" s="23">
        <f t="shared" ca="1" si="109"/>
        <v>100</v>
      </c>
      <c r="F862" s="23">
        <f t="shared" si="114"/>
        <v>168</v>
      </c>
      <c r="G862" s="23">
        <f t="shared" ca="1" si="115"/>
        <v>100</v>
      </c>
      <c r="H862" s="23">
        <f t="shared" ca="1" si="110"/>
        <v>400</v>
      </c>
      <c r="I862" s="23">
        <f t="shared" ca="1" si="111"/>
        <v>25000</v>
      </c>
    </row>
    <row r="863" spans="2:9">
      <c r="B863" s="23">
        <f t="shared" ca="1" si="112"/>
        <v>176</v>
      </c>
      <c r="C863" s="23">
        <f t="shared" ca="1" si="113"/>
        <v>176</v>
      </c>
      <c r="D863" s="23">
        <f t="shared" ca="1" si="108"/>
        <v>4260</v>
      </c>
      <c r="E863" s="23">
        <f t="shared" ca="1" si="109"/>
        <v>0</v>
      </c>
      <c r="F863" s="23">
        <f t="shared" si="114"/>
        <v>168</v>
      </c>
      <c r="G863" s="23">
        <f t="shared" ca="1" si="115"/>
        <v>0</v>
      </c>
      <c r="H863" s="23">
        <f t="shared" ca="1" si="110"/>
        <v>176</v>
      </c>
      <c r="I863" s="23">
        <f t="shared" ca="1" si="111"/>
        <v>4260</v>
      </c>
    </row>
    <row r="864" spans="2:9">
      <c r="B864" s="23">
        <f t="shared" ca="1" si="112"/>
        <v>239</v>
      </c>
      <c r="C864" s="23">
        <f t="shared" ca="1" si="113"/>
        <v>239</v>
      </c>
      <c r="D864" s="23">
        <f t="shared" ca="1" si="108"/>
        <v>12765</v>
      </c>
      <c r="E864" s="23">
        <f t="shared" ca="1" si="109"/>
        <v>0</v>
      </c>
      <c r="F864" s="23">
        <f t="shared" si="114"/>
        <v>168</v>
      </c>
      <c r="G864" s="23">
        <f t="shared" ca="1" si="115"/>
        <v>0</v>
      </c>
      <c r="H864" s="23">
        <f t="shared" ca="1" si="110"/>
        <v>239</v>
      </c>
      <c r="I864" s="23">
        <f t="shared" ca="1" si="111"/>
        <v>12765</v>
      </c>
    </row>
    <row r="865" spans="2:9">
      <c r="B865" s="23">
        <f t="shared" ca="1" si="112"/>
        <v>263</v>
      </c>
      <c r="C865" s="23">
        <f t="shared" ca="1" si="113"/>
        <v>263</v>
      </c>
      <c r="D865" s="23">
        <f t="shared" ca="1" si="108"/>
        <v>16005</v>
      </c>
      <c r="E865" s="23">
        <f t="shared" ca="1" si="109"/>
        <v>0</v>
      </c>
      <c r="F865" s="23">
        <f t="shared" si="114"/>
        <v>168</v>
      </c>
      <c r="G865" s="23">
        <f t="shared" ca="1" si="115"/>
        <v>0</v>
      </c>
      <c r="H865" s="23">
        <f t="shared" ca="1" si="110"/>
        <v>263</v>
      </c>
      <c r="I865" s="23">
        <f t="shared" ca="1" si="111"/>
        <v>16005</v>
      </c>
    </row>
    <row r="866" spans="2:9">
      <c r="B866" s="23">
        <f t="shared" ca="1" si="112"/>
        <v>145</v>
      </c>
      <c r="C866" s="23">
        <f t="shared" ca="1" si="113"/>
        <v>145</v>
      </c>
      <c r="D866" s="23">
        <f t="shared" ca="1" si="108"/>
        <v>75</v>
      </c>
      <c r="E866" s="23">
        <f t="shared" ca="1" si="109"/>
        <v>0</v>
      </c>
      <c r="F866" s="23">
        <f t="shared" si="114"/>
        <v>168</v>
      </c>
      <c r="G866" s="23">
        <f t="shared" ca="1" si="115"/>
        <v>0</v>
      </c>
      <c r="H866" s="23">
        <f t="shared" ca="1" si="110"/>
        <v>145</v>
      </c>
      <c r="I866" s="23">
        <f t="shared" ca="1" si="111"/>
        <v>75</v>
      </c>
    </row>
    <row r="867" spans="2:9">
      <c r="B867" s="23">
        <f t="shared" ca="1" si="112"/>
        <v>362</v>
      </c>
      <c r="C867" s="23">
        <f t="shared" ca="1" si="113"/>
        <v>300</v>
      </c>
      <c r="D867" s="23">
        <f t="shared" ca="1" si="108"/>
        <v>21000</v>
      </c>
      <c r="E867" s="23">
        <f t="shared" ca="1" si="109"/>
        <v>62</v>
      </c>
      <c r="F867" s="23">
        <f t="shared" si="114"/>
        <v>168</v>
      </c>
      <c r="G867" s="23">
        <f t="shared" ca="1" si="115"/>
        <v>62</v>
      </c>
      <c r="H867" s="23">
        <f t="shared" ca="1" si="110"/>
        <v>362</v>
      </c>
      <c r="I867" s="23">
        <f t="shared" ca="1" si="111"/>
        <v>23480</v>
      </c>
    </row>
    <row r="868" spans="2:9">
      <c r="B868" s="23">
        <f t="shared" ca="1" si="112"/>
        <v>298</v>
      </c>
      <c r="C868" s="23">
        <f t="shared" ca="1" si="113"/>
        <v>298</v>
      </c>
      <c r="D868" s="23">
        <f t="shared" ca="1" si="108"/>
        <v>20730</v>
      </c>
      <c r="E868" s="23">
        <f t="shared" ca="1" si="109"/>
        <v>0</v>
      </c>
      <c r="F868" s="23">
        <f t="shared" si="114"/>
        <v>168</v>
      </c>
      <c r="G868" s="23">
        <f t="shared" ca="1" si="115"/>
        <v>0</v>
      </c>
      <c r="H868" s="23">
        <f t="shared" ca="1" si="110"/>
        <v>298</v>
      </c>
      <c r="I868" s="23">
        <f t="shared" ca="1" si="111"/>
        <v>20730</v>
      </c>
    </row>
    <row r="869" spans="2:9">
      <c r="B869" s="23">
        <f t="shared" ca="1" si="112"/>
        <v>171</v>
      </c>
      <c r="C869" s="23">
        <f t="shared" ca="1" si="113"/>
        <v>171</v>
      </c>
      <c r="D869" s="23">
        <f t="shared" ca="1" si="108"/>
        <v>3585</v>
      </c>
      <c r="E869" s="23">
        <f t="shared" ca="1" si="109"/>
        <v>0</v>
      </c>
      <c r="F869" s="23">
        <f t="shared" si="114"/>
        <v>168</v>
      </c>
      <c r="G869" s="23">
        <f t="shared" ca="1" si="115"/>
        <v>0</v>
      </c>
      <c r="H869" s="23">
        <f t="shared" ca="1" si="110"/>
        <v>171</v>
      </c>
      <c r="I869" s="23">
        <f t="shared" ca="1" si="111"/>
        <v>3585</v>
      </c>
    </row>
    <row r="870" spans="2:9">
      <c r="B870" s="23">
        <f t="shared" ca="1" si="112"/>
        <v>155</v>
      </c>
      <c r="C870" s="23">
        <f t="shared" ca="1" si="113"/>
        <v>155</v>
      </c>
      <c r="D870" s="23">
        <f t="shared" ca="1" si="108"/>
        <v>1425</v>
      </c>
      <c r="E870" s="23">
        <f t="shared" ca="1" si="109"/>
        <v>0</v>
      </c>
      <c r="F870" s="23">
        <f t="shared" si="114"/>
        <v>168</v>
      </c>
      <c r="G870" s="23">
        <f t="shared" ca="1" si="115"/>
        <v>0</v>
      </c>
      <c r="H870" s="23">
        <f t="shared" ca="1" si="110"/>
        <v>155</v>
      </c>
      <c r="I870" s="23">
        <f t="shared" ca="1" si="111"/>
        <v>1425</v>
      </c>
    </row>
    <row r="871" spans="2:9">
      <c r="B871" s="23">
        <f t="shared" ca="1" si="112"/>
        <v>270</v>
      </c>
      <c r="C871" s="23">
        <f t="shared" ca="1" si="113"/>
        <v>270</v>
      </c>
      <c r="D871" s="23">
        <f t="shared" ca="1" si="108"/>
        <v>16950</v>
      </c>
      <c r="E871" s="23">
        <f t="shared" ca="1" si="109"/>
        <v>0</v>
      </c>
      <c r="F871" s="23">
        <f t="shared" si="114"/>
        <v>168</v>
      </c>
      <c r="G871" s="23">
        <f t="shared" ca="1" si="115"/>
        <v>0</v>
      </c>
      <c r="H871" s="23">
        <f t="shared" ca="1" si="110"/>
        <v>270</v>
      </c>
      <c r="I871" s="23">
        <f t="shared" ca="1" si="111"/>
        <v>16950</v>
      </c>
    </row>
    <row r="872" spans="2:9">
      <c r="B872" s="23">
        <f t="shared" ca="1" si="112"/>
        <v>127</v>
      </c>
      <c r="C872" s="23">
        <f t="shared" ca="1" si="113"/>
        <v>127</v>
      </c>
      <c r="D872" s="23">
        <f t="shared" ca="1" si="108"/>
        <v>-2355</v>
      </c>
      <c r="E872" s="23">
        <f t="shared" ca="1" si="109"/>
        <v>0</v>
      </c>
      <c r="F872" s="23">
        <f t="shared" si="114"/>
        <v>168</v>
      </c>
      <c r="G872" s="23">
        <f t="shared" ca="1" si="115"/>
        <v>0</v>
      </c>
      <c r="H872" s="23">
        <f t="shared" ca="1" si="110"/>
        <v>127</v>
      </c>
      <c r="I872" s="23">
        <f t="shared" ca="1" si="111"/>
        <v>-2355</v>
      </c>
    </row>
    <row r="873" spans="2:9">
      <c r="B873" s="23">
        <f t="shared" ca="1" si="112"/>
        <v>327</v>
      </c>
      <c r="C873" s="23">
        <f t="shared" ca="1" si="113"/>
        <v>300</v>
      </c>
      <c r="D873" s="23">
        <f t="shared" ca="1" si="108"/>
        <v>21000</v>
      </c>
      <c r="E873" s="23">
        <f t="shared" ca="1" si="109"/>
        <v>27</v>
      </c>
      <c r="F873" s="23">
        <f t="shared" si="114"/>
        <v>168</v>
      </c>
      <c r="G873" s="23">
        <f t="shared" ca="1" si="115"/>
        <v>27</v>
      </c>
      <c r="H873" s="23">
        <f t="shared" ca="1" si="110"/>
        <v>327</v>
      </c>
      <c r="I873" s="23">
        <f t="shared" ca="1" si="111"/>
        <v>22080</v>
      </c>
    </row>
    <row r="874" spans="2:9">
      <c r="B874" s="23">
        <f t="shared" ca="1" si="112"/>
        <v>396</v>
      </c>
      <c r="C874" s="23">
        <f t="shared" ca="1" si="113"/>
        <v>300</v>
      </c>
      <c r="D874" s="23">
        <f t="shared" ca="1" si="108"/>
        <v>21000</v>
      </c>
      <c r="E874" s="23">
        <f t="shared" ca="1" si="109"/>
        <v>96</v>
      </c>
      <c r="F874" s="23">
        <f t="shared" si="114"/>
        <v>168</v>
      </c>
      <c r="G874" s="23">
        <f t="shared" ca="1" si="115"/>
        <v>96</v>
      </c>
      <c r="H874" s="23">
        <f t="shared" ca="1" si="110"/>
        <v>396</v>
      </c>
      <c r="I874" s="23">
        <f t="shared" ca="1" si="111"/>
        <v>24840</v>
      </c>
    </row>
    <row r="875" spans="2:9">
      <c r="B875" s="23">
        <f t="shared" ca="1" si="112"/>
        <v>482</v>
      </c>
      <c r="C875" s="23">
        <f t="shared" ca="1" si="113"/>
        <v>300</v>
      </c>
      <c r="D875" s="23">
        <f t="shared" ca="1" si="108"/>
        <v>21000</v>
      </c>
      <c r="E875" s="23">
        <f t="shared" ca="1" si="109"/>
        <v>182</v>
      </c>
      <c r="F875" s="23">
        <f t="shared" si="114"/>
        <v>168</v>
      </c>
      <c r="G875" s="23">
        <f t="shared" ca="1" si="115"/>
        <v>168</v>
      </c>
      <c r="H875" s="23">
        <f t="shared" ca="1" si="110"/>
        <v>468</v>
      </c>
      <c r="I875" s="23">
        <f t="shared" ca="1" si="111"/>
        <v>27720</v>
      </c>
    </row>
    <row r="876" spans="2:9">
      <c r="B876" s="23">
        <f t="shared" ca="1" si="112"/>
        <v>145</v>
      </c>
      <c r="C876" s="23">
        <f t="shared" ca="1" si="113"/>
        <v>145</v>
      </c>
      <c r="D876" s="23">
        <f t="shared" ca="1" si="108"/>
        <v>75</v>
      </c>
      <c r="E876" s="23">
        <f t="shared" ca="1" si="109"/>
        <v>0</v>
      </c>
      <c r="F876" s="23">
        <f t="shared" si="114"/>
        <v>168</v>
      </c>
      <c r="G876" s="23">
        <f t="shared" ca="1" si="115"/>
        <v>0</v>
      </c>
      <c r="H876" s="23">
        <f t="shared" ca="1" si="110"/>
        <v>145</v>
      </c>
      <c r="I876" s="23">
        <f t="shared" ca="1" si="111"/>
        <v>75</v>
      </c>
    </row>
    <row r="877" spans="2:9">
      <c r="B877" s="23">
        <f t="shared" ca="1" si="112"/>
        <v>341</v>
      </c>
      <c r="C877" s="23">
        <f t="shared" ca="1" si="113"/>
        <v>300</v>
      </c>
      <c r="D877" s="23">
        <f t="shared" ca="1" si="108"/>
        <v>21000</v>
      </c>
      <c r="E877" s="23">
        <f t="shared" ca="1" si="109"/>
        <v>41</v>
      </c>
      <c r="F877" s="23">
        <f t="shared" si="114"/>
        <v>168</v>
      </c>
      <c r="G877" s="23">
        <f t="shared" ca="1" si="115"/>
        <v>41</v>
      </c>
      <c r="H877" s="23">
        <f t="shared" ca="1" si="110"/>
        <v>341</v>
      </c>
      <c r="I877" s="23">
        <f t="shared" ca="1" si="111"/>
        <v>22640</v>
      </c>
    </row>
    <row r="878" spans="2:9">
      <c r="B878" s="23">
        <f t="shared" ca="1" si="112"/>
        <v>340</v>
      </c>
      <c r="C878" s="23">
        <f t="shared" ca="1" si="113"/>
        <v>300</v>
      </c>
      <c r="D878" s="23">
        <f t="shared" ca="1" si="108"/>
        <v>21000</v>
      </c>
      <c r="E878" s="23">
        <f t="shared" ca="1" si="109"/>
        <v>40</v>
      </c>
      <c r="F878" s="23">
        <f t="shared" si="114"/>
        <v>168</v>
      </c>
      <c r="G878" s="23">
        <f t="shared" ca="1" si="115"/>
        <v>40</v>
      </c>
      <c r="H878" s="23">
        <f t="shared" ca="1" si="110"/>
        <v>340</v>
      </c>
      <c r="I878" s="23">
        <f t="shared" ca="1" si="111"/>
        <v>22600</v>
      </c>
    </row>
    <row r="879" spans="2:9">
      <c r="B879" s="23">
        <f t="shared" ca="1" si="112"/>
        <v>177</v>
      </c>
      <c r="C879" s="23">
        <f t="shared" ca="1" si="113"/>
        <v>177</v>
      </c>
      <c r="D879" s="23">
        <f t="shared" ca="1" si="108"/>
        <v>4395</v>
      </c>
      <c r="E879" s="23">
        <f t="shared" ca="1" si="109"/>
        <v>0</v>
      </c>
      <c r="F879" s="23">
        <f t="shared" si="114"/>
        <v>168</v>
      </c>
      <c r="G879" s="23">
        <f t="shared" ca="1" si="115"/>
        <v>0</v>
      </c>
      <c r="H879" s="23">
        <f t="shared" ca="1" si="110"/>
        <v>177</v>
      </c>
      <c r="I879" s="23">
        <f t="shared" ca="1" si="111"/>
        <v>4395</v>
      </c>
    </row>
    <row r="880" spans="2:9">
      <c r="B880" s="23">
        <f t="shared" ca="1" si="112"/>
        <v>188</v>
      </c>
      <c r="C880" s="23">
        <f t="shared" ca="1" si="113"/>
        <v>188</v>
      </c>
      <c r="D880" s="23">
        <f t="shared" ca="1" si="108"/>
        <v>5880</v>
      </c>
      <c r="E880" s="23">
        <f t="shared" ca="1" si="109"/>
        <v>0</v>
      </c>
      <c r="F880" s="23">
        <f t="shared" si="114"/>
        <v>168</v>
      </c>
      <c r="G880" s="23">
        <f t="shared" ca="1" si="115"/>
        <v>0</v>
      </c>
      <c r="H880" s="23">
        <f t="shared" ca="1" si="110"/>
        <v>188</v>
      </c>
      <c r="I880" s="23">
        <f t="shared" ca="1" si="111"/>
        <v>5880</v>
      </c>
    </row>
    <row r="881" spans="2:9">
      <c r="B881" s="23">
        <f t="shared" ca="1" si="112"/>
        <v>193</v>
      </c>
      <c r="C881" s="23">
        <f t="shared" ca="1" si="113"/>
        <v>193</v>
      </c>
      <c r="D881" s="23">
        <f t="shared" ca="1" si="108"/>
        <v>6555</v>
      </c>
      <c r="E881" s="23">
        <f t="shared" ca="1" si="109"/>
        <v>0</v>
      </c>
      <c r="F881" s="23">
        <f t="shared" si="114"/>
        <v>168</v>
      </c>
      <c r="G881" s="23">
        <f t="shared" ca="1" si="115"/>
        <v>0</v>
      </c>
      <c r="H881" s="23">
        <f t="shared" ca="1" si="110"/>
        <v>193</v>
      </c>
      <c r="I881" s="23">
        <f t="shared" ca="1" si="111"/>
        <v>6555</v>
      </c>
    </row>
    <row r="882" spans="2:9">
      <c r="B882" s="23">
        <f t="shared" ca="1" si="112"/>
        <v>351</v>
      </c>
      <c r="C882" s="23">
        <f t="shared" ca="1" si="113"/>
        <v>300</v>
      </c>
      <c r="D882" s="23">
        <f t="shared" ca="1" si="108"/>
        <v>21000</v>
      </c>
      <c r="E882" s="23">
        <f t="shared" ca="1" si="109"/>
        <v>51</v>
      </c>
      <c r="F882" s="23">
        <f t="shared" si="114"/>
        <v>168</v>
      </c>
      <c r="G882" s="23">
        <f t="shared" ca="1" si="115"/>
        <v>51</v>
      </c>
      <c r="H882" s="23">
        <f t="shared" ca="1" si="110"/>
        <v>351</v>
      </c>
      <c r="I882" s="23">
        <f t="shared" ca="1" si="111"/>
        <v>23040</v>
      </c>
    </row>
    <row r="883" spans="2:9">
      <c r="B883" s="23">
        <f t="shared" ca="1" si="112"/>
        <v>412</v>
      </c>
      <c r="C883" s="23">
        <f t="shared" ca="1" si="113"/>
        <v>300</v>
      </c>
      <c r="D883" s="23">
        <f t="shared" ca="1" si="108"/>
        <v>21000</v>
      </c>
      <c r="E883" s="23">
        <f t="shared" ca="1" si="109"/>
        <v>112</v>
      </c>
      <c r="F883" s="23">
        <f t="shared" si="114"/>
        <v>168</v>
      </c>
      <c r="G883" s="23">
        <f t="shared" ca="1" si="115"/>
        <v>112</v>
      </c>
      <c r="H883" s="23">
        <f t="shared" ca="1" si="110"/>
        <v>412</v>
      </c>
      <c r="I883" s="23">
        <f t="shared" ca="1" si="111"/>
        <v>25480</v>
      </c>
    </row>
    <row r="884" spans="2:9">
      <c r="B884" s="23">
        <f t="shared" ca="1" si="112"/>
        <v>183</v>
      </c>
      <c r="C884" s="23">
        <f t="shared" ca="1" si="113"/>
        <v>183</v>
      </c>
      <c r="D884" s="23">
        <f t="shared" ca="1" si="108"/>
        <v>5205</v>
      </c>
      <c r="E884" s="23">
        <f t="shared" ca="1" si="109"/>
        <v>0</v>
      </c>
      <c r="F884" s="23">
        <f t="shared" si="114"/>
        <v>168</v>
      </c>
      <c r="G884" s="23">
        <f t="shared" ca="1" si="115"/>
        <v>0</v>
      </c>
      <c r="H884" s="23">
        <f t="shared" ca="1" si="110"/>
        <v>183</v>
      </c>
      <c r="I884" s="23">
        <f t="shared" ca="1" si="111"/>
        <v>5205</v>
      </c>
    </row>
    <row r="885" spans="2:9">
      <c r="B885" s="23">
        <f t="shared" ca="1" si="112"/>
        <v>303</v>
      </c>
      <c r="C885" s="23">
        <f t="shared" ca="1" si="113"/>
        <v>300</v>
      </c>
      <c r="D885" s="23">
        <f t="shared" ca="1" si="108"/>
        <v>21000</v>
      </c>
      <c r="E885" s="23">
        <f t="shared" ca="1" si="109"/>
        <v>3</v>
      </c>
      <c r="F885" s="23">
        <f t="shared" si="114"/>
        <v>168</v>
      </c>
      <c r="G885" s="23">
        <f t="shared" ca="1" si="115"/>
        <v>3</v>
      </c>
      <c r="H885" s="23">
        <f t="shared" ca="1" si="110"/>
        <v>303</v>
      </c>
      <c r="I885" s="23">
        <f t="shared" ca="1" si="111"/>
        <v>21120</v>
      </c>
    </row>
    <row r="886" spans="2:9">
      <c r="B886" s="23">
        <f t="shared" ca="1" si="112"/>
        <v>171</v>
      </c>
      <c r="C886" s="23">
        <f t="shared" ca="1" si="113"/>
        <v>171</v>
      </c>
      <c r="D886" s="23">
        <f t="shared" ca="1" si="108"/>
        <v>3585</v>
      </c>
      <c r="E886" s="23">
        <f t="shared" ca="1" si="109"/>
        <v>0</v>
      </c>
      <c r="F886" s="23">
        <f t="shared" si="114"/>
        <v>168</v>
      </c>
      <c r="G886" s="23">
        <f t="shared" ca="1" si="115"/>
        <v>0</v>
      </c>
      <c r="H886" s="23">
        <f t="shared" ca="1" si="110"/>
        <v>171</v>
      </c>
      <c r="I886" s="23">
        <f t="shared" ca="1" si="111"/>
        <v>3585</v>
      </c>
    </row>
    <row r="887" spans="2:9">
      <c r="B887" s="23">
        <f t="shared" ca="1" si="112"/>
        <v>376</v>
      </c>
      <c r="C887" s="23">
        <f t="shared" ca="1" si="113"/>
        <v>300</v>
      </c>
      <c r="D887" s="23">
        <f t="shared" ca="1" si="108"/>
        <v>21000</v>
      </c>
      <c r="E887" s="23">
        <f t="shared" ca="1" si="109"/>
        <v>76</v>
      </c>
      <c r="F887" s="23">
        <f t="shared" si="114"/>
        <v>168</v>
      </c>
      <c r="G887" s="23">
        <f t="shared" ca="1" si="115"/>
        <v>76</v>
      </c>
      <c r="H887" s="23">
        <f t="shared" ca="1" si="110"/>
        <v>376</v>
      </c>
      <c r="I887" s="23">
        <f t="shared" ca="1" si="111"/>
        <v>24040</v>
      </c>
    </row>
    <row r="888" spans="2:9">
      <c r="B888" s="23">
        <f t="shared" ca="1" si="112"/>
        <v>374</v>
      </c>
      <c r="C888" s="23">
        <f t="shared" ca="1" si="113"/>
        <v>300</v>
      </c>
      <c r="D888" s="23">
        <f t="shared" ca="1" si="108"/>
        <v>21000</v>
      </c>
      <c r="E888" s="23">
        <f t="shared" ca="1" si="109"/>
        <v>74</v>
      </c>
      <c r="F888" s="23">
        <f t="shared" si="114"/>
        <v>168</v>
      </c>
      <c r="G888" s="23">
        <f t="shared" ca="1" si="115"/>
        <v>74</v>
      </c>
      <c r="H888" s="23">
        <f t="shared" ca="1" si="110"/>
        <v>374</v>
      </c>
      <c r="I888" s="23">
        <f t="shared" ca="1" si="111"/>
        <v>23960</v>
      </c>
    </row>
    <row r="889" spans="2:9">
      <c r="B889" s="23">
        <f t="shared" ca="1" si="112"/>
        <v>191</v>
      </c>
      <c r="C889" s="23">
        <f t="shared" ca="1" si="113"/>
        <v>191</v>
      </c>
      <c r="D889" s="23">
        <f t="shared" ca="1" si="108"/>
        <v>6285</v>
      </c>
      <c r="E889" s="23">
        <f t="shared" ca="1" si="109"/>
        <v>0</v>
      </c>
      <c r="F889" s="23">
        <f t="shared" si="114"/>
        <v>168</v>
      </c>
      <c r="G889" s="23">
        <f t="shared" ca="1" si="115"/>
        <v>0</v>
      </c>
      <c r="H889" s="23">
        <f t="shared" ca="1" si="110"/>
        <v>191</v>
      </c>
      <c r="I889" s="23">
        <f t="shared" ca="1" si="111"/>
        <v>6285</v>
      </c>
    </row>
    <row r="890" spans="2:9">
      <c r="B890" s="23">
        <f t="shared" ca="1" si="112"/>
        <v>63</v>
      </c>
      <c r="C890" s="23">
        <f t="shared" ca="1" si="113"/>
        <v>63</v>
      </c>
      <c r="D890" s="23">
        <f t="shared" ca="1" si="108"/>
        <v>-10995</v>
      </c>
      <c r="E890" s="23">
        <f t="shared" ca="1" si="109"/>
        <v>0</v>
      </c>
      <c r="F890" s="23">
        <f t="shared" si="114"/>
        <v>168</v>
      </c>
      <c r="G890" s="23">
        <f t="shared" ca="1" si="115"/>
        <v>0</v>
      </c>
      <c r="H890" s="23">
        <f t="shared" ca="1" si="110"/>
        <v>63</v>
      </c>
      <c r="I890" s="23">
        <f t="shared" ca="1" si="111"/>
        <v>-10995</v>
      </c>
    </row>
    <row r="891" spans="2:9">
      <c r="B891" s="23">
        <f t="shared" ca="1" si="112"/>
        <v>232</v>
      </c>
      <c r="C891" s="23">
        <f t="shared" ca="1" si="113"/>
        <v>232</v>
      </c>
      <c r="D891" s="23">
        <f t="shared" ca="1" si="108"/>
        <v>11820</v>
      </c>
      <c r="E891" s="23">
        <f t="shared" ca="1" si="109"/>
        <v>0</v>
      </c>
      <c r="F891" s="23">
        <f t="shared" si="114"/>
        <v>168</v>
      </c>
      <c r="G891" s="23">
        <f t="shared" ca="1" si="115"/>
        <v>0</v>
      </c>
      <c r="H891" s="23">
        <f t="shared" ca="1" si="110"/>
        <v>232</v>
      </c>
      <c r="I891" s="23">
        <f t="shared" ca="1" si="111"/>
        <v>11820</v>
      </c>
    </row>
    <row r="892" spans="2:9">
      <c r="B892" s="23">
        <f t="shared" ca="1" si="112"/>
        <v>371</v>
      </c>
      <c r="C892" s="23">
        <f t="shared" ca="1" si="113"/>
        <v>300</v>
      </c>
      <c r="D892" s="23">
        <f t="shared" ca="1" si="108"/>
        <v>21000</v>
      </c>
      <c r="E892" s="23">
        <f t="shared" ca="1" si="109"/>
        <v>71</v>
      </c>
      <c r="F892" s="23">
        <f t="shared" si="114"/>
        <v>168</v>
      </c>
      <c r="G892" s="23">
        <f t="shared" ca="1" si="115"/>
        <v>71</v>
      </c>
      <c r="H892" s="23">
        <f t="shared" ca="1" si="110"/>
        <v>371</v>
      </c>
      <c r="I892" s="23">
        <f t="shared" ca="1" si="111"/>
        <v>23840</v>
      </c>
    </row>
    <row r="893" spans="2:9">
      <c r="B893" s="23">
        <f t="shared" ca="1" si="112"/>
        <v>468</v>
      </c>
      <c r="C893" s="23">
        <f t="shared" ca="1" si="113"/>
        <v>300</v>
      </c>
      <c r="D893" s="23">
        <f t="shared" ca="1" si="108"/>
        <v>21000</v>
      </c>
      <c r="E893" s="23">
        <f t="shared" ca="1" si="109"/>
        <v>168</v>
      </c>
      <c r="F893" s="23">
        <f t="shared" si="114"/>
        <v>168</v>
      </c>
      <c r="G893" s="23">
        <f t="shared" ca="1" si="115"/>
        <v>168</v>
      </c>
      <c r="H893" s="23">
        <f t="shared" ca="1" si="110"/>
        <v>468</v>
      </c>
      <c r="I893" s="23">
        <f t="shared" ca="1" si="111"/>
        <v>27720</v>
      </c>
    </row>
    <row r="894" spans="2:9">
      <c r="B894" s="23">
        <f t="shared" ca="1" si="112"/>
        <v>248</v>
      </c>
      <c r="C894" s="23">
        <f t="shared" ca="1" si="113"/>
        <v>248</v>
      </c>
      <c r="D894" s="23">
        <f t="shared" ca="1" si="108"/>
        <v>13980</v>
      </c>
      <c r="E894" s="23">
        <f t="shared" ca="1" si="109"/>
        <v>0</v>
      </c>
      <c r="F894" s="23">
        <f t="shared" si="114"/>
        <v>168</v>
      </c>
      <c r="G894" s="23">
        <f t="shared" ca="1" si="115"/>
        <v>0</v>
      </c>
      <c r="H894" s="23">
        <f t="shared" ca="1" si="110"/>
        <v>248</v>
      </c>
      <c r="I894" s="23">
        <f t="shared" ca="1" si="111"/>
        <v>13980</v>
      </c>
    </row>
    <row r="895" spans="2:9">
      <c r="B895" s="23">
        <f t="shared" ca="1" si="112"/>
        <v>336</v>
      </c>
      <c r="C895" s="23">
        <f t="shared" ca="1" si="113"/>
        <v>300</v>
      </c>
      <c r="D895" s="23">
        <f t="shared" ca="1" si="108"/>
        <v>21000</v>
      </c>
      <c r="E895" s="23">
        <f t="shared" ca="1" si="109"/>
        <v>36</v>
      </c>
      <c r="F895" s="23">
        <f t="shared" si="114"/>
        <v>168</v>
      </c>
      <c r="G895" s="23">
        <f t="shared" ca="1" si="115"/>
        <v>36</v>
      </c>
      <c r="H895" s="23">
        <f t="shared" ca="1" si="110"/>
        <v>336</v>
      </c>
      <c r="I895" s="23">
        <f t="shared" ca="1" si="111"/>
        <v>22440</v>
      </c>
    </row>
    <row r="896" spans="2:9">
      <c r="B896" s="23">
        <f t="shared" ca="1" si="112"/>
        <v>265</v>
      </c>
      <c r="C896" s="23">
        <f t="shared" ca="1" si="113"/>
        <v>265</v>
      </c>
      <c r="D896" s="23">
        <f t="shared" ca="1" si="108"/>
        <v>16275</v>
      </c>
      <c r="E896" s="23">
        <f t="shared" ca="1" si="109"/>
        <v>0</v>
      </c>
      <c r="F896" s="23">
        <f t="shared" si="114"/>
        <v>168</v>
      </c>
      <c r="G896" s="23">
        <f t="shared" ca="1" si="115"/>
        <v>0</v>
      </c>
      <c r="H896" s="23">
        <f t="shared" ca="1" si="110"/>
        <v>265</v>
      </c>
      <c r="I896" s="23">
        <f t="shared" ca="1" si="111"/>
        <v>16275</v>
      </c>
    </row>
    <row r="897" spans="2:9">
      <c r="B897" s="23">
        <f t="shared" ca="1" si="112"/>
        <v>98</v>
      </c>
      <c r="C897" s="23">
        <f t="shared" ca="1" si="113"/>
        <v>98</v>
      </c>
      <c r="D897" s="23">
        <f t="shared" ca="1" si="108"/>
        <v>-6270</v>
      </c>
      <c r="E897" s="23">
        <f t="shared" ca="1" si="109"/>
        <v>0</v>
      </c>
      <c r="F897" s="23">
        <f t="shared" si="114"/>
        <v>168</v>
      </c>
      <c r="G897" s="23">
        <f t="shared" ca="1" si="115"/>
        <v>0</v>
      </c>
      <c r="H897" s="23">
        <f t="shared" ca="1" si="110"/>
        <v>98</v>
      </c>
      <c r="I897" s="23">
        <f t="shared" ca="1" si="111"/>
        <v>-6270</v>
      </c>
    </row>
    <row r="898" spans="2:9">
      <c r="B898" s="23">
        <f t="shared" ca="1" si="112"/>
        <v>156</v>
      </c>
      <c r="C898" s="23">
        <f t="shared" ca="1" si="113"/>
        <v>156</v>
      </c>
      <c r="D898" s="23">
        <f t="shared" ca="1" si="108"/>
        <v>1560</v>
      </c>
      <c r="E898" s="23">
        <f t="shared" ca="1" si="109"/>
        <v>0</v>
      </c>
      <c r="F898" s="23">
        <f t="shared" si="114"/>
        <v>168</v>
      </c>
      <c r="G898" s="23">
        <f t="shared" ca="1" si="115"/>
        <v>0</v>
      </c>
      <c r="H898" s="23">
        <f t="shared" ca="1" si="110"/>
        <v>156</v>
      </c>
      <c r="I898" s="23">
        <f t="shared" ca="1" si="111"/>
        <v>1560</v>
      </c>
    </row>
    <row r="899" spans="2:9">
      <c r="B899" s="23">
        <f t="shared" ca="1" si="112"/>
        <v>175</v>
      </c>
      <c r="C899" s="23">
        <f t="shared" ca="1" si="113"/>
        <v>175</v>
      </c>
      <c r="D899" s="23">
        <f t="shared" ca="1" si="108"/>
        <v>4125</v>
      </c>
      <c r="E899" s="23">
        <f t="shared" ca="1" si="109"/>
        <v>0</v>
      </c>
      <c r="F899" s="23">
        <f t="shared" si="114"/>
        <v>168</v>
      </c>
      <c r="G899" s="23">
        <f t="shared" ca="1" si="115"/>
        <v>0</v>
      </c>
      <c r="H899" s="23">
        <f t="shared" ca="1" si="110"/>
        <v>175</v>
      </c>
      <c r="I899" s="23">
        <f t="shared" ca="1" si="111"/>
        <v>4125</v>
      </c>
    </row>
    <row r="900" spans="2:9">
      <c r="B900" s="23">
        <f t="shared" ca="1" si="112"/>
        <v>335</v>
      </c>
      <c r="C900" s="23">
        <f t="shared" ca="1" si="113"/>
        <v>300</v>
      </c>
      <c r="D900" s="23">
        <f t="shared" ca="1" si="108"/>
        <v>21000</v>
      </c>
      <c r="E900" s="23">
        <f t="shared" ca="1" si="109"/>
        <v>35</v>
      </c>
      <c r="F900" s="23">
        <f t="shared" si="114"/>
        <v>168</v>
      </c>
      <c r="G900" s="23">
        <f t="shared" ca="1" si="115"/>
        <v>35</v>
      </c>
      <c r="H900" s="23">
        <f t="shared" ca="1" si="110"/>
        <v>335</v>
      </c>
      <c r="I900" s="23">
        <f t="shared" ca="1" si="111"/>
        <v>22400</v>
      </c>
    </row>
    <row r="901" spans="2:9">
      <c r="B901" s="23">
        <f t="shared" ca="1" si="112"/>
        <v>463</v>
      </c>
      <c r="C901" s="23">
        <f t="shared" ca="1" si="113"/>
        <v>300</v>
      </c>
      <c r="D901" s="23">
        <f t="shared" ca="1" si="108"/>
        <v>21000</v>
      </c>
      <c r="E901" s="23">
        <f t="shared" ca="1" si="109"/>
        <v>163</v>
      </c>
      <c r="F901" s="23">
        <f t="shared" si="114"/>
        <v>168</v>
      </c>
      <c r="G901" s="23">
        <f t="shared" ca="1" si="115"/>
        <v>163</v>
      </c>
      <c r="H901" s="23">
        <f t="shared" ca="1" si="110"/>
        <v>463</v>
      </c>
      <c r="I901" s="23">
        <f t="shared" ca="1" si="111"/>
        <v>27520</v>
      </c>
    </row>
    <row r="902" spans="2:9">
      <c r="B902" s="23">
        <f t="shared" ca="1" si="112"/>
        <v>344</v>
      </c>
      <c r="C902" s="23">
        <f t="shared" ca="1" si="113"/>
        <v>300</v>
      </c>
      <c r="D902" s="23">
        <f t="shared" ca="1" si="108"/>
        <v>21000</v>
      </c>
      <c r="E902" s="23">
        <f t="shared" ca="1" si="109"/>
        <v>44</v>
      </c>
      <c r="F902" s="23">
        <f t="shared" si="114"/>
        <v>168</v>
      </c>
      <c r="G902" s="23">
        <f t="shared" ca="1" si="115"/>
        <v>44</v>
      </c>
      <c r="H902" s="23">
        <f t="shared" ca="1" si="110"/>
        <v>344</v>
      </c>
      <c r="I902" s="23">
        <f t="shared" ca="1" si="111"/>
        <v>22760</v>
      </c>
    </row>
    <row r="903" spans="2:9">
      <c r="B903" s="23">
        <f t="shared" ca="1" si="112"/>
        <v>347</v>
      </c>
      <c r="C903" s="23">
        <f t="shared" ca="1" si="113"/>
        <v>300</v>
      </c>
      <c r="D903" s="23">
        <f t="shared" ca="1" si="108"/>
        <v>21000</v>
      </c>
      <c r="E903" s="23">
        <f t="shared" ca="1" si="109"/>
        <v>47</v>
      </c>
      <c r="F903" s="23">
        <f t="shared" si="114"/>
        <v>168</v>
      </c>
      <c r="G903" s="23">
        <f t="shared" ca="1" si="115"/>
        <v>47</v>
      </c>
      <c r="H903" s="23">
        <f t="shared" ca="1" si="110"/>
        <v>347</v>
      </c>
      <c r="I903" s="23">
        <f t="shared" ca="1" si="111"/>
        <v>22880</v>
      </c>
    </row>
    <row r="904" spans="2:9">
      <c r="B904" s="23">
        <f t="shared" ca="1" si="112"/>
        <v>286</v>
      </c>
      <c r="C904" s="23">
        <f t="shared" ca="1" si="113"/>
        <v>286</v>
      </c>
      <c r="D904" s="23">
        <f t="shared" ca="1" si="108"/>
        <v>19110</v>
      </c>
      <c r="E904" s="23">
        <f t="shared" ca="1" si="109"/>
        <v>0</v>
      </c>
      <c r="F904" s="23">
        <f t="shared" si="114"/>
        <v>168</v>
      </c>
      <c r="G904" s="23">
        <f t="shared" ca="1" si="115"/>
        <v>0</v>
      </c>
      <c r="H904" s="23">
        <f t="shared" ca="1" si="110"/>
        <v>286</v>
      </c>
      <c r="I904" s="23">
        <f t="shared" ca="1" si="111"/>
        <v>19110</v>
      </c>
    </row>
    <row r="905" spans="2:9">
      <c r="B905" s="23">
        <f t="shared" ca="1" si="112"/>
        <v>410</v>
      </c>
      <c r="C905" s="23">
        <f t="shared" ca="1" si="113"/>
        <v>300</v>
      </c>
      <c r="D905" s="23">
        <f t="shared" ca="1" si="108"/>
        <v>21000</v>
      </c>
      <c r="E905" s="23">
        <f t="shared" ca="1" si="109"/>
        <v>110</v>
      </c>
      <c r="F905" s="23">
        <f t="shared" si="114"/>
        <v>168</v>
      </c>
      <c r="G905" s="23">
        <f t="shared" ca="1" si="115"/>
        <v>110</v>
      </c>
      <c r="H905" s="23">
        <f t="shared" ca="1" si="110"/>
        <v>410</v>
      </c>
      <c r="I905" s="23">
        <f t="shared" ca="1" si="111"/>
        <v>25400</v>
      </c>
    </row>
    <row r="906" spans="2:9">
      <c r="B906" s="23">
        <f t="shared" ca="1" si="112"/>
        <v>306</v>
      </c>
      <c r="C906" s="23">
        <f t="shared" ca="1" si="113"/>
        <v>300</v>
      </c>
      <c r="D906" s="23">
        <f t="shared" ca="1" si="108"/>
        <v>21000</v>
      </c>
      <c r="E906" s="23">
        <f t="shared" ca="1" si="109"/>
        <v>6</v>
      </c>
      <c r="F906" s="23">
        <f t="shared" si="114"/>
        <v>168</v>
      </c>
      <c r="G906" s="23">
        <f t="shared" ca="1" si="115"/>
        <v>6</v>
      </c>
      <c r="H906" s="23">
        <f t="shared" ca="1" si="110"/>
        <v>306</v>
      </c>
      <c r="I906" s="23">
        <f t="shared" ca="1" si="111"/>
        <v>21240</v>
      </c>
    </row>
    <row r="907" spans="2:9">
      <c r="B907" s="23">
        <f t="shared" ca="1" si="112"/>
        <v>160</v>
      </c>
      <c r="C907" s="23">
        <f t="shared" ca="1" si="113"/>
        <v>160</v>
      </c>
      <c r="D907" s="23">
        <f t="shared" ca="1" si="108"/>
        <v>2100</v>
      </c>
      <c r="E907" s="23">
        <f t="shared" ca="1" si="109"/>
        <v>0</v>
      </c>
      <c r="F907" s="23">
        <f t="shared" si="114"/>
        <v>168</v>
      </c>
      <c r="G907" s="23">
        <f t="shared" ca="1" si="115"/>
        <v>0</v>
      </c>
      <c r="H907" s="23">
        <f t="shared" ca="1" si="110"/>
        <v>160</v>
      </c>
      <c r="I907" s="23">
        <f t="shared" ca="1" si="111"/>
        <v>2100</v>
      </c>
    </row>
    <row r="908" spans="2:9">
      <c r="B908" s="23">
        <f t="shared" ca="1" si="112"/>
        <v>359</v>
      </c>
      <c r="C908" s="23">
        <f t="shared" ca="1" si="113"/>
        <v>300</v>
      </c>
      <c r="D908" s="23">
        <f t="shared" ref="D908:D971" ca="1" si="116">C908*$B$3-$D$8*$B$2</f>
        <v>21000</v>
      </c>
      <c r="E908" s="23">
        <f t="shared" ref="E908:E971" ca="1" si="117">MAX(0, B908-$D$8)</f>
        <v>59</v>
      </c>
      <c r="F908" s="23">
        <f t="shared" si="114"/>
        <v>168</v>
      </c>
      <c r="G908" s="23">
        <f t="shared" ca="1" si="115"/>
        <v>59</v>
      </c>
      <c r="H908" s="23">
        <f t="shared" ref="H908:H971" ca="1" si="118">MIN(B908, $D$8+G908)</f>
        <v>359</v>
      </c>
      <c r="I908" s="23">
        <f t="shared" ref="I908:I971" ca="1" si="119">H908*$B$3-$D$8*$B$2-$B$1*G908</f>
        <v>23360</v>
      </c>
    </row>
    <row r="909" spans="2:9">
      <c r="B909" s="23">
        <f t="shared" ref="B909:B972" ca="1" si="120">_xlfn.FLOOR.MATH(_xlfn.NORM.INV(RAND(),$B$4,$B$5))</f>
        <v>238</v>
      </c>
      <c r="C909" s="23">
        <f t="shared" ref="C909:C972" ca="1" si="121">MIN(B909,$D$8)</f>
        <v>238</v>
      </c>
      <c r="D909" s="23">
        <f t="shared" ca="1" si="116"/>
        <v>12630</v>
      </c>
      <c r="E909" s="23">
        <f t="shared" ca="1" si="117"/>
        <v>0</v>
      </c>
      <c r="F909" s="23">
        <f t="shared" ref="F909:F972" si="122">12*(21-7)</f>
        <v>168</v>
      </c>
      <c r="G909" s="23">
        <f t="shared" ca="1" si="115"/>
        <v>0</v>
      </c>
      <c r="H909" s="23">
        <f t="shared" ca="1" si="118"/>
        <v>238</v>
      </c>
      <c r="I909" s="23">
        <f t="shared" ca="1" si="119"/>
        <v>12630</v>
      </c>
    </row>
    <row r="910" spans="2:9">
      <c r="B910" s="23">
        <f t="shared" ca="1" si="120"/>
        <v>386</v>
      </c>
      <c r="C910" s="23">
        <f t="shared" ca="1" si="121"/>
        <v>300</v>
      </c>
      <c r="D910" s="23">
        <f t="shared" ca="1" si="116"/>
        <v>21000</v>
      </c>
      <c r="E910" s="23">
        <f t="shared" ca="1" si="117"/>
        <v>86</v>
      </c>
      <c r="F910" s="23">
        <f t="shared" si="122"/>
        <v>168</v>
      </c>
      <c r="G910" s="23">
        <f t="shared" ca="1" si="115"/>
        <v>86</v>
      </c>
      <c r="H910" s="23">
        <f t="shared" ca="1" si="118"/>
        <v>386</v>
      </c>
      <c r="I910" s="23">
        <f t="shared" ca="1" si="119"/>
        <v>24440</v>
      </c>
    </row>
    <row r="911" spans="2:9">
      <c r="B911" s="23">
        <f t="shared" ca="1" si="120"/>
        <v>347</v>
      </c>
      <c r="C911" s="23">
        <f t="shared" ca="1" si="121"/>
        <v>300</v>
      </c>
      <c r="D911" s="23">
        <f t="shared" ca="1" si="116"/>
        <v>21000</v>
      </c>
      <c r="E911" s="23">
        <f t="shared" ca="1" si="117"/>
        <v>47</v>
      </c>
      <c r="F911" s="23">
        <f t="shared" si="122"/>
        <v>168</v>
      </c>
      <c r="G911" s="23">
        <f t="shared" ca="1" si="115"/>
        <v>47</v>
      </c>
      <c r="H911" s="23">
        <f t="shared" ca="1" si="118"/>
        <v>347</v>
      </c>
      <c r="I911" s="23">
        <f t="shared" ca="1" si="119"/>
        <v>22880</v>
      </c>
    </row>
    <row r="912" spans="2:9">
      <c r="B912" s="23">
        <f t="shared" ca="1" si="120"/>
        <v>312</v>
      </c>
      <c r="C912" s="23">
        <f t="shared" ca="1" si="121"/>
        <v>300</v>
      </c>
      <c r="D912" s="23">
        <f t="shared" ca="1" si="116"/>
        <v>21000</v>
      </c>
      <c r="E912" s="23">
        <f t="shared" ca="1" si="117"/>
        <v>12</v>
      </c>
      <c r="F912" s="23">
        <f t="shared" si="122"/>
        <v>168</v>
      </c>
      <c r="G912" s="23">
        <f t="shared" ref="G912:G975" ca="1" si="123">MIN(E912,F912)</f>
        <v>12</v>
      </c>
      <c r="H912" s="23">
        <f t="shared" ca="1" si="118"/>
        <v>312</v>
      </c>
      <c r="I912" s="23">
        <f t="shared" ca="1" si="119"/>
        <v>21480</v>
      </c>
    </row>
    <row r="913" spans="2:9">
      <c r="B913" s="23">
        <f t="shared" ca="1" si="120"/>
        <v>338</v>
      </c>
      <c r="C913" s="23">
        <f t="shared" ca="1" si="121"/>
        <v>300</v>
      </c>
      <c r="D913" s="23">
        <f t="shared" ca="1" si="116"/>
        <v>21000</v>
      </c>
      <c r="E913" s="23">
        <f t="shared" ca="1" si="117"/>
        <v>38</v>
      </c>
      <c r="F913" s="23">
        <f t="shared" si="122"/>
        <v>168</v>
      </c>
      <c r="G913" s="23">
        <f t="shared" ca="1" si="123"/>
        <v>38</v>
      </c>
      <c r="H913" s="23">
        <f t="shared" ca="1" si="118"/>
        <v>338</v>
      </c>
      <c r="I913" s="23">
        <f t="shared" ca="1" si="119"/>
        <v>22520</v>
      </c>
    </row>
    <row r="914" spans="2:9">
      <c r="B914" s="23">
        <f t="shared" ca="1" si="120"/>
        <v>413</v>
      </c>
      <c r="C914" s="23">
        <f t="shared" ca="1" si="121"/>
        <v>300</v>
      </c>
      <c r="D914" s="23">
        <f t="shared" ca="1" si="116"/>
        <v>21000</v>
      </c>
      <c r="E914" s="23">
        <f t="shared" ca="1" si="117"/>
        <v>113</v>
      </c>
      <c r="F914" s="23">
        <f t="shared" si="122"/>
        <v>168</v>
      </c>
      <c r="G914" s="23">
        <f t="shared" ca="1" si="123"/>
        <v>113</v>
      </c>
      <c r="H914" s="23">
        <f t="shared" ca="1" si="118"/>
        <v>413</v>
      </c>
      <c r="I914" s="23">
        <f t="shared" ca="1" si="119"/>
        <v>25520</v>
      </c>
    </row>
    <row r="915" spans="2:9">
      <c r="B915" s="23">
        <f t="shared" ca="1" si="120"/>
        <v>289</v>
      </c>
      <c r="C915" s="23">
        <f t="shared" ca="1" si="121"/>
        <v>289</v>
      </c>
      <c r="D915" s="23">
        <f t="shared" ca="1" si="116"/>
        <v>19515</v>
      </c>
      <c r="E915" s="23">
        <f t="shared" ca="1" si="117"/>
        <v>0</v>
      </c>
      <c r="F915" s="23">
        <f t="shared" si="122"/>
        <v>168</v>
      </c>
      <c r="G915" s="23">
        <f t="shared" ca="1" si="123"/>
        <v>0</v>
      </c>
      <c r="H915" s="23">
        <f t="shared" ca="1" si="118"/>
        <v>289</v>
      </c>
      <c r="I915" s="23">
        <f t="shared" ca="1" si="119"/>
        <v>19515</v>
      </c>
    </row>
    <row r="916" spans="2:9">
      <c r="B916" s="23">
        <f t="shared" ca="1" si="120"/>
        <v>212</v>
      </c>
      <c r="C916" s="23">
        <f t="shared" ca="1" si="121"/>
        <v>212</v>
      </c>
      <c r="D916" s="23">
        <f t="shared" ca="1" si="116"/>
        <v>9120</v>
      </c>
      <c r="E916" s="23">
        <f t="shared" ca="1" si="117"/>
        <v>0</v>
      </c>
      <c r="F916" s="23">
        <f t="shared" si="122"/>
        <v>168</v>
      </c>
      <c r="G916" s="23">
        <f t="shared" ca="1" si="123"/>
        <v>0</v>
      </c>
      <c r="H916" s="23">
        <f t="shared" ca="1" si="118"/>
        <v>212</v>
      </c>
      <c r="I916" s="23">
        <f t="shared" ca="1" si="119"/>
        <v>9120</v>
      </c>
    </row>
    <row r="917" spans="2:9">
      <c r="B917" s="23">
        <f t="shared" ca="1" si="120"/>
        <v>357</v>
      </c>
      <c r="C917" s="23">
        <f t="shared" ca="1" si="121"/>
        <v>300</v>
      </c>
      <c r="D917" s="23">
        <f t="shared" ca="1" si="116"/>
        <v>21000</v>
      </c>
      <c r="E917" s="23">
        <f t="shared" ca="1" si="117"/>
        <v>57</v>
      </c>
      <c r="F917" s="23">
        <f t="shared" si="122"/>
        <v>168</v>
      </c>
      <c r="G917" s="23">
        <f t="shared" ca="1" si="123"/>
        <v>57</v>
      </c>
      <c r="H917" s="23">
        <f t="shared" ca="1" si="118"/>
        <v>357</v>
      </c>
      <c r="I917" s="23">
        <f t="shared" ca="1" si="119"/>
        <v>23280</v>
      </c>
    </row>
    <row r="918" spans="2:9">
      <c r="B918" s="23">
        <f t="shared" ca="1" si="120"/>
        <v>213</v>
      </c>
      <c r="C918" s="23">
        <f t="shared" ca="1" si="121"/>
        <v>213</v>
      </c>
      <c r="D918" s="23">
        <f t="shared" ca="1" si="116"/>
        <v>9255</v>
      </c>
      <c r="E918" s="23">
        <f t="shared" ca="1" si="117"/>
        <v>0</v>
      </c>
      <c r="F918" s="23">
        <f t="shared" si="122"/>
        <v>168</v>
      </c>
      <c r="G918" s="23">
        <f t="shared" ca="1" si="123"/>
        <v>0</v>
      </c>
      <c r="H918" s="23">
        <f t="shared" ca="1" si="118"/>
        <v>213</v>
      </c>
      <c r="I918" s="23">
        <f t="shared" ca="1" si="119"/>
        <v>9255</v>
      </c>
    </row>
    <row r="919" spans="2:9">
      <c r="B919" s="23">
        <f t="shared" ca="1" si="120"/>
        <v>395</v>
      </c>
      <c r="C919" s="23">
        <f t="shared" ca="1" si="121"/>
        <v>300</v>
      </c>
      <c r="D919" s="23">
        <f t="shared" ca="1" si="116"/>
        <v>21000</v>
      </c>
      <c r="E919" s="23">
        <f t="shared" ca="1" si="117"/>
        <v>95</v>
      </c>
      <c r="F919" s="23">
        <f t="shared" si="122"/>
        <v>168</v>
      </c>
      <c r="G919" s="23">
        <f t="shared" ca="1" si="123"/>
        <v>95</v>
      </c>
      <c r="H919" s="23">
        <f t="shared" ca="1" si="118"/>
        <v>395</v>
      </c>
      <c r="I919" s="23">
        <f t="shared" ca="1" si="119"/>
        <v>24800</v>
      </c>
    </row>
    <row r="920" spans="2:9">
      <c r="B920" s="23">
        <f t="shared" ca="1" si="120"/>
        <v>198</v>
      </c>
      <c r="C920" s="23">
        <f t="shared" ca="1" si="121"/>
        <v>198</v>
      </c>
      <c r="D920" s="23">
        <f t="shared" ca="1" si="116"/>
        <v>7230</v>
      </c>
      <c r="E920" s="23">
        <f t="shared" ca="1" si="117"/>
        <v>0</v>
      </c>
      <c r="F920" s="23">
        <f t="shared" si="122"/>
        <v>168</v>
      </c>
      <c r="G920" s="23">
        <f t="shared" ca="1" si="123"/>
        <v>0</v>
      </c>
      <c r="H920" s="23">
        <f t="shared" ca="1" si="118"/>
        <v>198</v>
      </c>
      <c r="I920" s="23">
        <f t="shared" ca="1" si="119"/>
        <v>7230</v>
      </c>
    </row>
    <row r="921" spans="2:9">
      <c r="B921" s="23">
        <f t="shared" ca="1" si="120"/>
        <v>268</v>
      </c>
      <c r="C921" s="23">
        <f t="shared" ca="1" si="121"/>
        <v>268</v>
      </c>
      <c r="D921" s="23">
        <f t="shared" ca="1" si="116"/>
        <v>16680</v>
      </c>
      <c r="E921" s="23">
        <f t="shared" ca="1" si="117"/>
        <v>0</v>
      </c>
      <c r="F921" s="23">
        <f t="shared" si="122"/>
        <v>168</v>
      </c>
      <c r="G921" s="23">
        <f t="shared" ca="1" si="123"/>
        <v>0</v>
      </c>
      <c r="H921" s="23">
        <f t="shared" ca="1" si="118"/>
        <v>268</v>
      </c>
      <c r="I921" s="23">
        <f t="shared" ca="1" si="119"/>
        <v>16680</v>
      </c>
    </row>
    <row r="922" spans="2:9">
      <c r="B922" s="23">
        <f t="shared" ca="1" si="120"/>
        <v>309</v>
      </c>
      <c r="C922" s="23">
        <f t="shared" ca="1" si="121"/>
        <v>300</v>
      </c>
      <c r="D922" s="23">
        <f t="shared" ca="1" si="116"/>
        <v>21000</v>
      </c>
      <c r="E922" s="23">
        <f t="shared" ca="1" si="117"/>
        <v>9</v>
      </c>
      <c r="F922" s="23">
        <f t="shared" si="122"/>
        <v>168</v>
      </c>
      <c r="G922" s="23">
        <f t="shared" ca="1" si="123"/>
        <v>9</v>
      </c>
      <c r="H922" s="23">
        <f t="shared" ca="1" si="118"/>
        <v>309</v>
      </c>
      <c r="I922" s="23">
        <f t="shared" ca="1" si="119"/>
        <v>21360</v>
      </c>
    </row>
    <row r="923" spans="2:9">
      <c r="B923" s="23">
        <f t="shared" ca="1" si="120"/>
        <v>320</v>
      </c>
      <c r="C923" s="23">
        <f t="shared" ca="1" si="121"/>
        <v>300</v>
      </c>
      <c r="D923" s="23">
        <f t="shared" ca="1" si="116"/>
        <v>21000</v>
      </c>
      <c r="E923" s="23">
        <f t="shared" ca="1" si="117"/>
        <v>20</v>
      </c>
      <c r="F923" s="23">
        <f t="shared" si="122"/>
        <v>168</v>
      </c>
      <c r="G923" s="23">
        <f t="shared" ca="1" si="123"/>
        <v>20</v>
      </c>
      <c r="H923" s="23">
        <f t="shared" ca="1" si="118"/>
        <v>320</v>
      </c>
      <c r="I923" s="23">
        <f t="shared" ca="1" si="119"/>
        <v>21800</v>
      </c>
    </row>
    <row r="924" spans="2:9">
      <c r="B924" s="23">
        <f t="shared" ca="1" si="120"/>
        <v>385</v>
      </c>
      <c r="C924" s="23">
        <f t="shared" ca="1" si="121"/>
        <v>300</v>
      </c>
      <c r="D924" s="23">
        <f t="shared" ca="1" si="116"/>
        <v>21000</v>
      </c>
      <c r="E924" s="23">
        <f t="shared" ca="1" si="117"/>
        <v>85</v>
      </c>
      <c r="F924" s="23">
        <f t="shared" si="122"/>
        <v>168</v>
      </c>
      <c r="G924" s="23">
        <f t="shared" ca="1" si="123"/>
        <v>85</v>
      </c>
      <c r="H924" s="23">
        <f t="shared" ca="1" si="118"/>
        <v>385</v>
      </c>
      <c r="I924" s="23">
        <f t="shared" ca="1" si="119"/>
        <v>24400</v>
      </c>
    </row>
    <row r="925" spans="2:9">
      <c r="B925" s="23">
        <f t="shared" ca="1" si="120"/>
        <v>394</v>
      </c>
      <c r="C925" s="23">
        <f t="shared" ca="1" si="121"/>
        <v>300</v>
      </c>
      <c r="D925" s="23">
        <f t="shared" ca="1" si="116"/>
        <v>21000</v>
      </c>
      <c r="E925" s="23">
        <f t="shared" ca="1" si="117"/>
        <v>94</v>
      </c>
      <c r="F925" s="23">
        <f t="shared" si="122"/>
        <v>168</v>
      </c>
      <c r="G925" s="23">
        <f t="shared" ca="1" si="123"/>
        <v>94</v>
      </c>
      <c r="H925" s="23">
        <f t="shared" ca="1" si="118"/>
        <v>394</v>
      </c>
      <c r="I925" s="23">
        <f t="shared" ca="1" si="119"/>
        <v>24760</v>
      </c>
    </row>
    <row r="926" spans="2:9">
      <c r="B926" s="23">
        <f t="shared" ca="1" si="120"/>
        <v>180</v>
      </c>
      <c r="C926" s="23">
        <f t="shared" ca="1" si="121"/>
        <v>180</v>
      </c>
      <c r="D926" s="23">
        <f t="shared" ca="1" si="116"/>
        <v>4800</v>
      </c>
      <c r="E926" s="23">
        <f t="shared" ca="1" si="117"/>
        <v>0</v>
      </c>
      <c r="F926" s="23">
        <f t="shared" si="122"/>
        <v>168</v>
      </c>
      <c r="G926" s="23">
        <f t="shared" ca="1" si="123"/>
        <v>0</v>
      </c>
      <c r="H926" s="23">
        <f t="shared" ca="1" si="118"/>
        <v>180</v>
      </c>
      <c r="I926" s="23">
        <f t="shared" ca="1" si="119"/>
        <v>4800</v>
      </c>
    </row>
    <row r="927" spans="2:9">
      <c r="B927" s="23">
        <f t="shared" ca="1" si="120"/>
        <v>232</v>
      </c>
      <c r="C927" s="23">
        <f t="shared" ca="1" si="121"/>
        <v>232</v>
      </c>
      <c r="D927" s="23">
        <f t="shared" ca="1" si="116"/>
        <v>11820</v>
      </c>
      <c r="E927" s="23">
        <f t="shared" ca="1" si="117"/>
        <v>0</v>
      </c>
      <c r="F927" s="23">
        <f t="shared" si="122"/>
        <v>168</v>
      </c>
      <c r="G927" s="23">
        <f t="shared" ca="1" si="123"/>
        <v>0</v>
      </c>
      <c r="H927" s="23">
        <f t="shared" ca="1" si="118"/>
        <v>232</v>
      </c>
      <c r="I927" s="23">
        <f t="shared" ca="1" si="119"/>
        <v>11820</v>
      </c>
    </row>
    <row r="928" spans="2:9">
      <c r="B928" s="23">
        <f t="shared" ca="1" si="120"/>
        <v>258</v>
      </c>
      <c r="C928" s="23">
        <f t="shared" ca="1" si="121"/>
        <v>258</v>
      </c>
      <c r="D928" s="23">
        <f t="shared" ca="1" si="116"/>
        <v>15330</v>
      </c>
      <c r="E928" s="23">
        <f t="shared" ca="1" si="117"/>
        <v>0</v>
      </c>
      <c r="F928" s="23">
        <f t="shared" si="122"/>
        <v>168</v>
      </c>
      <c r="G928" s="23">
        <f t="shared" ca="1" si="123"/>
        <v>0</v>
      </c>
      <c r="H928" s="23">
        <f t="shared" ca="1" si="118"/>
        <v>258</v>
      </c>
      <c r="I928" s="23">
        <f t="shared" ca="1" si="119"/>
        <v>15330</v>
      </c>
    </row>
    <row r="929" spans="2:9">
      <c r="B929" s="23">
        <f t="shared" ca="1" si="120"/>
        <v>272</v>
      </c>
      <c r="C929" s="23">
        <f t="shared" ca="1" si="121"/>
        <v>272</v>
      </c>
      <c r="D929" s="23">
        <f t="shared" ca="1" si="116"/>
        <v>17220</v>
      </c>
      <c r="E929" s="23">
        <f t="shared" ca="1" si="117"/>
        <v>0</v>
      </c>
      <c r="F929" s="23">
        <f t="shared" si="122"/>
        <v>168</v>
      </c>
      <c r="G929" s="23">
        <f t="shared" ca="1" si="123"/>
        <v>0</v>
      </c>
      <c r="H929" s="23">
        <f t="shared" ca="1" si="118"/>
        <v>272</v>
      </c>
      <c r="I929" s="23">
        <f t="shared" ca="1" si="119"/>
        <v>17220</v>
      </c>
    </row>
    <row r="930" spans="2:9">
      <c r="B930" s="23">
        <f t="shared" ca="1" si="120"/>
        <v>91</v>
      </c>
      <c r="C930" s="23">
        <f t="shared" ca="1" si="121"/>
        <v>91</v>
      </c>
      <c r="D930" s="23">
        <f t="shared" ca="1" si="116"/>
        <v>-7215</v>
      </c>
      <c r="E930" s="23">
        <f t="shared" ca="1" si="117"/>
        <v>0</v>
      </c>
      <c r="F930" s="23">
        <f t="shared" si="122"/>
        <v>168</v>
      </c>
      <c r="G930" s="23">
        <f t="shared" ca="1" si="123"/>
        <v>0</v>
      </c>
      <c r="H930" s="23">
        <f t="shared" ca="1" si="118"/>
        <v>91</v>
      </c>
      <c r="I930" s="23">
        <f t="shared" ca="1" si="119"/>
        <v>-7215</v>
      </c>
    </row>
    <row r="931" spans="2:9">
      <c r="B931" s="23">
        <f t="shared" ca="1" si="120"/>
        <v>272</v>
      </c>
      <c r="C931" s="23">
        <f t="shared" ca="1" si="121"/>
        <v>272</v>
      </c>
      <c r="D931" s="23">
        <f t="shared" ca="1" si="116"/>
        <v>17220</v>
      </c>
      <c r="E931" s="23">
        <f t="shared" ca="1" si="117"/>
        <v>0</v>
      </c>
      <c r="F931" s="23">
        <f t="shared" si="122"/>
        <v>168</v>
      </c>
      <c r="G931" s="23">
        <f t="shared" ca="1" si="123"/>
        <v>0</v>
      </c>
      <c r="H931" s="23">
        <f t="shared" ca="1" si="118"/>
        <v>272</v>
      </c>
      <c r="I931" s="23">
        <f t="shared" ca="1" si="119"/>
        <v>17220</v>
      </c>
    </row>
    <row r="932" spans="2:9">
      <c r="B932" s="23">
        <f t="shared" ca="1" si="120"/>
        <v>-5</v>
      </c>
      <c r="C932" s="23">
        <f t="shared" ca="1" si="121"/>
        <v>-5</v>
      </c>
      <c r="D932" s="23">
        <f t="shared" ca="1" si="116"/>
        <v>-20175</v>
      </c>
      <c r="E932" s="23">
        <f t="shared" ca="1" si="117"/>
        <v>0</v>
      </c>
      <c r="F932" s="23">
        <f t="shared" si="122"/>
        <v>168</v>
      </c>
      <c r="G932" s="23">
        <f t="shared" ca="1" si="123"/>
        <v>0</v>
      </c>
      <c r="H932" s="23">
        <f t="shared" ca="1" si="118"/>
        <v>-5</v>
      </c>
      <c r="I932" s="23">
        <f t="shared" ca="1" si="119"/>
        <v>-20175</v>
      </c>
    </row>
    <row r="933" spans="2:9">
      <c r="B933" s="23">
        <f t="shared" ca="1" si="120"/>
        <v>235</v>
      </c>
      <c r="C933" s="23">
        <f t="shared" ca="1" si="121"/>
        <v>235</v>
      </c>
      <c r="D933" s="23">
        <f t="shared" ca="1" si="116"/>
        <v>12225</v>
      </c>
      <c r="E933" s="23">
        <f t="shared" ca="1" si="117"/>
        <v>0</v>
      </c>
      <c r="F933" s="23">
        <f t="shared" si="122"/>
        <v>168</v>
      </c>
      <c r="G933" s="23">
        <f t="shared" ca="1" si="123"/>
        <v>0</v>
      </c>
      <c r="H933" s="23">
        <f t="shared" ca="1" si="118"/>
        <v>235</v>
      </c>
      <c r="I933" s="23">
        <f t="shared" ca="1" si="119"/>
        <v>12225</v>
      </c>
    </row>
    <row r="934" spans="2:9">
      <c r="B934" s="23">
        <f t="shared" ca="1" si="120"/>
        <v>88</v>
      </c>
      <c r="C934" s="23">
        <f t="shared" ca="1" si="121"/>
        <v>88</v>
      </c>
      <c r="D934" s="23">
        <f t="shared" ca="1" si="116"/>
        <v>-7620</v>
      </c>
      <c r="E934" s="23">
        <f t="shared" ca="1" si="117"/>
        <v>0</v>
      </c>
      <c r="F934" s="23">
        <f t="shared" si="122"/>
        <v>168</v>
      </c>
      <c r="G934" s="23">
        <f t="shared" ca="1" si="123"/>
        <v>0</v>
      </c>
      <c r="H934" s="23">
        <f t="shared" ca="1" si="118"/>
        <v>88</v>
      </c>
      <c r="I934" s="23">
        <f t="shared" ca="1" si="119"/>
        <v>-7620</v>
      </c>
    </row>
    <row r="935" spans="2:9">
      <c r="B935" s="23">
        <f t="shared" ca="1" si="120"/>
        <v>244</v>
      </c>
      <c r="C935" s="23">
        <f t="shared" ca="1" si="121"/>
        <v>244</v>
      </c>
      <c r="D935" s="23">
        <f t="shared" ca="1" si="116"/>
        <v>13440</v>
      </c>
      <c r="E935" s="23">
        <f t="shared" ca="1" si="117"/>
        <v>0</v>
      </c>
      <c r="F935" s="23">
        <f t="shared" si="122"/>
        <v>168</v>
      </c>
      <c r="G935" s="23">
        <f t="shared" ca="1" si="123"/>
        <v>0</v>
      </c>
      <c r="H935" s="23">
        <f t="shared" ca="1" si="118"/>
        <v>244</v>
      </c>
      <c r="I935" s="23">
        <f t="shared" ca="1" si="119"/>
        <v>13440</v>
      </c>
    </row>
    <row r="936" spans="2:9">
      <c r="B936" s="23">
        <f t="shared" ca="1" si="120"/>
        <v>322</v>
      </c>
      <c r="C936" s="23">
        <f t="shared" ca="1" si="121"/>
        <v>300</v>
      </c>
      <c r="D936" s="23">
        <f t="shared" ca="1" si="116"/>
        <v>21000</v>
      </c>
      <c r="E936" s="23">
        <f t="shared" ca="1" si="117"/>
        <v>22</v>
      </c>
      <c r="F936" s="23">
        <f t="shared" si="122"/>
        <v>168</v>
      </c>
      <c r="G936" s="23">
        <f t="shared" ca="1" si="123"/>
        <v>22</v>
      </c>
      <c r="H936" s="23">
        <f t="shared" ca="1" si="118"/>
        <v>322</v>
      </c>
      <c r="I936" s="23">
        <f t="shared" ca="1" si="119"/>
        <v>21880</v>
      </c>
    </row>
    <row r="937" spans="2:9">
      <c r="B937" s="23">
        <f t="shared" ca="1" si="120"/>
        <v>225</v>
      </c>
      <c r="C937" s="23">
        <f t="shared" ca="1" si="121"/>
        <v>225</v>
      </c>
      <c r="D937" s="23">
        <f t="shared" ca="1" si="116"/>
        <v>10875</v>
      </c>
      <c r="E937" s="23">
        <f t="shared" ca="1" si="117"/>
        <v>0</v>
      </c>
      <c r="F937" s="23">
        <f t="shared" si="122"/>
        <v>168</v>
      </c>
      <c r="G937" s="23">
        <f t="shared" ca="1" si="123"/>
        <v>0</v>
      </c>
      <c r="H937" s="23">
        <f t="shared" ca="1" si="118"/>
        <v>225</v>
      </c>
      <c r="I937" s="23">
        <f t="shared" ca="1" si="119"/>
        <v>10875</v>
      </c>
    </row>
    <row r="938" spans="2:9">
      <c r="B938" s="23">
        <f t="shared" ca="1" si="120"/>
        <v>163</v>
      </c>
      <c r="C938" s="23">
        <f t="shared" ca="1" si="121"/>
        <v>163</v>
      </c>
      <c r="D938" s="23">
        <f t="shared" ca="1" si="116"/>
        <v>2505</v>
      </c>
      <c r="E938" s="23">
        <f t="shared" ca="1" si="117"/>
        <v>0</v>
      </c>
      <c r="F938" s="23">
        <f t="shared" si="122"/>
        <v>168</v>
      </c>
      <c r="G938" s="23">
        <f t="shared" ca="1" si="123"/>
        <v>0</v>
      </c>
      <c r="H938" s="23">
        <f t="shared" ca="1" si="118"/>
        <v>163</v>
      </c>
      <c r="I938" s="23">
        <f t="shared" ca="1" si="119"/>
        <v>2505</v>
      </c>
    </row>
    <row r="939" spans="2:9">
      <c r="B939" s="23">
        <f t="shared" ca="1" si="120"/>
        <v>477</v>
      </c>
      <c r="C939" s="23">
        <f t="shared" ca="1" si="121"/>
        <v>300</v>
      </c>
      <c r="D939" s="23">
        <f t="shared" ca="1" si="116"/>
        <v>21000</v>
      </c>
      <c r="E939" s="23">
        <f t="shared" ca="1" si="117"/>
        <v>177</v>
      </c>
      <c r="F939" s="23">
        <f t="shared" si="122"/>
        <v>168</v>
      </c>
      <c r="G939" s="23">
        <f t="shared" ca="1" si="123"/>
        <v>168</v>
      </c>
      <c r="H939" s="23">
        <f t="shared" ca="1" si="118"/>
        <v>468</v>
      </c>
      <c r="I939" s="23">
        <f t="shared" ca="1" si="119"/>
        <v>27720</v>
      </c>
    </row>
    <row r="940" spans="2:9">
      <c r="B940" s="23">
        <f t="shared" ca="1" si="120"/>
        <v>255</v>
      </c>
      <c r="C940" s="23">
        <f t="shared" ca="1" si="121"/>
        <v>255</v>
      </c>
      <c r="D940" s="23">
        <f t="shared" ca="1" si="116"/>
        <v>14925</v>
      </c>
      <c r="E940" s="23">
        <f t="shared" ca="1" si="117"/>
        <v>0</v>
      </c>
      <c r="F940" s="23">
        <f t="shared" si="122"/>
        <v>168</v>
      </c>
      <c r="G940" s="23">
        <f t="shared" ca="1" si="123"/>
        <v>0</v>
      </c>
      <c r="H940" s="23">
        <f t="shared" ca="1" si="118"/>
        <v>255</v>
      </c>
      <c r="I940" s="23">
        <f t="shared" ca="1" si="119"/>
        <v>14925</v>
      </c>
    </row>
    <row r="941" spans="2:9">
      <c r="B941" s="23">
        <f t="shared" ca="1" si="120"/>
        <v>307</v>
      </c>
      <c r="C941" s="23">
        <f t="shared" ca="1" si="121"/>
        <v>300</v>
      </c>
      <c r="D941" s="23">
        <f t="shared" ca="1" si="116"/>
        <v>21000</v>
      </c>
      <c r="E941" s="23">
        <f t="shared" ca="1" si="117"/>
        <v>7</v>
      </c>
      <c r="F941" s="23">
        <f t="shared" si="122"/>
        <v>168</v>
      </c>
      <c r="G941" s="23">
        <f t="shared" ca="1" si="123"/>
        <v>7</v>
      </c>
      <c r="H941" s="23">
        <f t="shared" ca="1" si="118"/>
        <v>307</v>
      </c>
      <c r="I941" s="23">
        <f t="shared" ca="1" si="119"/>
        <v>21280</v>
      </c>
    </row>
    <row r="942" spans="2:9">
      <c r="B942" s="23">
        <f t="shared" ca="1" si="120"/>
        <v>272</v>
      </c>
      <c r="C942" s="23">
        <f t="shared" ca="1" si="121"/>
        <v>272</v>
      </c>
      <c r="D942" s="23">
        <f t="shared" ca="1" si="116"/>
        <v>17220</v>
      </c>
      <c r="E942" s="23">
        <f t="shared" ca="1" si="117"/>
        <v>0</v>
      </c>
      <c r="F942" s="23">
        <f t="shared" si="122"/>
        <v>168</v>
      </c>
      <c r="G942" s="23">
        <f t="shared" ca="1" si="123"/>
        <v>0</v>
      </c>
      <c r="H942" s="23">
        <f t="shared" ca="1" si="118"/>
        <v>272</v>
      </c>
      <c r="I942" s="23">
        <f t="shared" ca="1" si="119"/>
        <v>17220</v>
      </c>
    </row>
    <row r="943" spans="2:9">
      <c r="B943" s="23">
        <f t="shared" ca="1" si="120"/>
        <v>301</v>
      </c>
      <c r="C943" s="23">
        <f t="shared" ca="1" si="121"/>
        <v>300</v>
      </c>
      <c r="D943" s="23">
        <f t="shared" ca="1" si="116"/>
        <v>21000</v>
      </c>
      <c r="E943" s="23">
        <f t="shared" ca="1" si="117"/>
        <v>1</v>
      </c>
      <c r="F943" s="23">
        <f t="shared" si="122"/>
        <v>168</v>
      </c>
      <c r="G943" s="23">
        <f t="shared" ca="1" si="123"/>
        <v>1</v>
      </c>
      <c r="H943" s="23">
        <f t="shared" ca="1" si="118"/>
        <v>301</v>
      </c>
      <c r="I943" s="23">
        <f t="shared" ca="1" si="119"/>
        <v>21040</v>
      </c>
    </row>
    <row r="944" spans="2:9">
      <c r="B944" s="23">
        <f t="shared" ca="1" si="120"/>
        <v>283</v>
      </c>
      <c r="C944" s="23">
        <f t="shared" ca="1" si="121"/>
        <v>283</v>
      </c>
      <c r="D944" s="23">
        <f t="shared" ca="1" si="116"/>
        <v>18705</v>
      </c>
      <c r="E944" s="23">
        <f t="shared" ca="1" si="117"/>
        <v>0</v>
      </c>
      <c r="F944" s="23">
        <f t="shared" si="122"/>
        <v>168</v>
      </c>
      <c r="G944" s="23">
        <f t="shared" ca="1" si="123"/>
        <v>0</v>
      </c>
      <c r="H944" s="23">
        <f t="shared" ca="1" si="118"/>
        <v>283</v>
      </c>
      <c r="I944" s="23">
        <f t="shared" ca="1" si="119"/>
        <v>18705</v>
      </c>
    </row>
    <row r="945" spans="2:9">
      <c r="B945" s="23">
        <f t="shared" ca="1" si="120"/>
        <v>362</v>
      </c>
      <c r="C945" s="23">
        <f t="shared" ca="1" si="121"/>
        <v>300</v>
      </c>
      <c r="D945" s="23">
        <f t="shared" ca="1" si="116"/>
        <v>21000</v>
      </c>
      <c r="E945" s="23">
        <f t="shared" ca="1" si="117"/>
        <v>62</v>
      </c>
      <c r="F945" s="23">
        <f t="shared" si="122"/>
        <v>168</v>
      </c>
      <c r="G945" s="23">
        <f t="shared" ca="1" si="123"/>
        <v>62</v>
      </c>
      <c r="H945" s="23">
        <f t="shared" ca="1" si="118"/>
        <v>362</v>
      </c>
      <c r="I945" s="23">
        <f t="shared" ca="1" si="119"/>
        <v>23480</v>
      </c>
    </row>
    <row r="946" spans="2:9">
      <c r="B946" s="23">
        <f t="shared" ca="1" si="120"/>
        <v>185</v>
      </c>
      <c r="C946" s="23">
        <f t="shared" ca="1" si="121"/>
        <v>185</v>
      </c>
      <c r="D946" s="23">
        <f t="shared" ca="1" si="116"/>
        <v>5475</v>
      </c>
      <c r="E946" s="23">
        <f t="shared" ca="1" si="117"/>
        <v>0</v>
      </c>
      <c r="F946" s="23">
        <f t="shared" si="122"/>
        <v>168</v>
      </c>
      <c r="G946" s="23">
        <f t="shared" ca="1" si="123"/>
        <v>0</v>
      </c>
      <c r="H946" s="23">
        <f t="shared" ca="1" si="118"/>
        <v>185</v>
      </c>
      <c r="I946" s="23">
        <f t="shared" ca="1" si="119"/>
        <v>5475</v>
      </c>
    </row>
    <row r="947" spans="2:9">
      <c r="B947" s="23">
        <f t="shared" ca="1" si="120"/>
        <v>276</v>
      </c>
      <c r="C947" s="23">
        <f t="shared" ca="1" si="121"/>
        <v>276</v>
      </c>
      <c r="D947" s="23">
        <f t="shared" ca="1" si="116"/>
        <v>17760</v>
      </c>
      <c r="E947" s="23">
        <f t="shared" ca="1" si="117"/>
        <v>0</v>
      </c>
      <c r="F947" s="23">
        <f t="shared" si="122"/>
        <v>168</v>
      </c>
      <c r="G947" s="23">
        <f t="shared" ca="1" si="123"/>
        <v>0</v>
      </c>
      <c r="H947" s="23">
        <f t="shared" ca="1" si="118"/>
        <v>276</v>
      </c>
      <c r="I947" s="23">
        <f t="shared" ca="1" si="119"/>
        <v>17760</v>
      </c>
    </row>
    <row r="948" spans="2:9">
      <c r="B948" s="23">
        <f t="shared" ca="1" si="120"/>
        <v>335</v>
      </c>
      <c r="C948" s="23">
        <f t="shared" ca="1" si="121"/>
        <v>300</v>
      </c>
      <c r="D948" s="23">
        <f t="shared" ca="1" si="116"/>
        <v>21000</v>
      </c>
      <c r="E948" s="23">
        <f t="shared" ca="1" si="117"/>
        <v>35</v>
      </c>
      <c r="F948" s="23">
        <f t="shared" si="122"/>
        <v>168</v>
      </c>
      <c r="G948" s="23">
        <f t="shared" ca="1" si="123"/>
        <v>35</v>
      </c>
      <c r="H948" s="23">
        <f t="shared" ca="1" si="118"/>
        <v>335</v>
      </c>
      <c r="I948" s="23">
        <f t="shared" ca="1" si="119"/>
        <v>22400</v>
      </c>
    </row>
    <row r="949" spans="2:9">
      <c r="B949" s="23">
        <f t="shared" ca="1" si="120"/>
        <v>150</v>
      </c>
      <c r="C949" s="23">
        <f t="shared" ca="1" si="121"/>
        <v>150</v>
      </c>
      <c r="D949" s="23">
        <f t="shared" ca="1" si="116"/>
        <v>750</v>
      </c>
      <c r="E949" s="23">
        <f t="shared" ca="1" si="117"/>
        <v>0</v>
      </c>
      <c r="F949" s="23">
        <f t="shared" si="122"/>
        <v>168</v>
      </c>
      <c r="G949" s="23">
        <f t="shared" ca="1" si="123"/>
        <v>0</v>
      </c>
      <c r="H949" s="23">
        <f t="shared" ca="1" si="118"/>
        <v>150</v>
      </c>
      <c r="I949" s="23">
        <f t="shared" ca="1" si="119"/>
        <v>750</v>
      </c>
    </row>
    <row r="950" spans="2:9">
      <c r="B950" s="23">
        <f t="shared" ca="1" si="120"/>
        <v>317</v>
      </c>
      <c r="C950" s="23">
        <f t="shared" ca="1" si="121"/>
        <v>300</v>
      </c>
      <c r="D950" s="23">
        <f t="shared" ca="1" si="116"/>
        <v>21000</v>
      </c>
      <c r="E950" s="23">
        <f t="shared" ca="1" si="117"/>
        <v>17</v>
      </c>
      <c r="F950" s="23">
        <f t="shared" si="122"/>
        <v>168</v>
      </c>
      <c r="G950" s="23">
        <f t="shared" ca="1" si="123"/>
        <v>17</v>
      </c>
      <c r="H950" s="23">
        <f t="shared" ca="1" si="118"/>
        <v>317</v>
      </c>
      <c r="I950" s="23">
        <f t="shared" ca="1" si="119"/>
        <v>21680</v>
      </c>
    </row>
    <row r="951" spans="2:9">
      <c r="B951" s="23">
        <f t="shared" ca="1" si="120"/>
        <v>219</v>
      </c>
      <c r="C951" s="23">
        <f t="shared" ca="1" si="121"/>
        <v>219</v>
      </c>
      <c r="D951" s="23">
        <f t="shared" ca="1" si="116"/>
        <v>10065</v>
      </c>
      <c r="E951" s="23">
        <f t="shared" ca="1" si="117"/>
        <v>0</v>
      </c>
      <c r="F951" s="23">
        <f t="shared" si="122"/>
        <v>168</v>
      </c>
      <c r="G951" s="23">
        <f t="shared" ca="1" si="123"/>
        <v>0</v>
      </c>
      <c r="H951" s="23">
        <f t="shared" ca="1" si="118"/>
        <v>219</v>
      </c>
      <c r="I951" s="23">
        <f t="shared" ca="1" si="119"/>
        <v>10065</v>
      </c>
    </row>
    <row r="952" spans="2:9">
      <c r="B952" s="23">
        <f t="shared" ca="1" si="120"/>
        <v>191</v>
      </c>
      <c r="C952" s="23">
        <f t="shared" ca="1" si="121"/>
        <v>191</v>
      </c>
      <c r="D952" s="23">
        <f t="shared" ca="1" si="116"/>
        <v>6285</v>
      </c>
      <c r="E952" s="23">
        <f t="shared" ca="1" si="117"/>
        <v>0</v>
      </c>
      <c r="F952" s="23">
        <f t="shared" si="122"/>
        <v>168</v>
      </c>
      <c r="G952" s="23">
        <f t="shared" ca="1" si="123"/>
        <v>0</v>
      </c>
      <c r="H952" s="23">
        <f t="shared" ca="1" si="118"/>
        <v>191</v>
      </c>
      <c r="I952" s="23">
        <f t="shared" ca="1" si="119"/>
        <v>6285</v>
      </c>
    </row>
    <row r="953" spans="2:9">
      <c r="B953" s="23">
        <f t="shared" ca="1" si="120"/>
        <v>296</v>
      </c>
      <c r="C953" s="23">
        <f t="shared" ca="1" si="121"/>
        <v>296</v>
      </c>
      <c r="D953" s="23">
        <f t="shared" ca="1" si="116"/>
        <v>20460</v>
      </c>
      <c r="E953" s="23">
        <f t="shared" ca="1" si="117"/>
        <v>0</v>
      </c>
      <c r="F953" s="23">
        <f t="shared" si="122"/>
        <v>168</v>
      </c>
      <c r="G953" s="23">
        <f t="shared" ca="1" si="123"/>
        <v>0</v>
      </c>
      <c r="H953" s="23">
        <f t="shared" ca="1" si="118"/>
        <v>296</v>
      </c>
      <c r="I953" s="23">
        <f t="shared" ca="1" si="119"/>
        <v>20460</v>
      </c>
    </row>
    <row r="954" spans="2:9">
      <c r="B954" s="23">
        <f t="shared" ca="1" si="120"/>
        <v>282</v>
      </c>
      <c r="C954" s="23">
        <f t="shared" ca="1" si="121"/>
        <v>282</v>
      </c>
      <c r="D954" s="23">
        <f t="shared" ca="1" si="116"/>
        <v>18570</v>
      </c>
      <c r="E954" s="23">
        <f t="shared" ca="1" si="117"/>
        <v>0</v>
      </c>
      <c r="F954" s="23">
        <f t="shared" si="122"/>
        <v>168</v>
      </c>
      <c r="G954" s="23">
        <f t="shared" ca="1" si="123"/>
        <v>0</v>
      </c>
      <c r="H954" s="23">
        <f t="shared" ca="1" si="118"/>
        <v>282</v>
      </c>
      <c r="I954" s="23">
        <f t="shared" ca="1" si="119"/>
        <v>18570</v>
      </c>
    </row>
    <row r="955" spans="2:9">
      <c r="B955" s="23">
        <f t="shared" ca="1" si="120"/>
        <v>315</v>
      </c>
      <c r="C955" s="23">
        <f t="shared" ca="1" si="121"/>
        <v>300</v>
      </c>
      <c r="D955" s="23">
        <f t="shared" ca="1" si="116"/>
        <v>21000</v>
      </c>
      <c r="E955" s="23">
        <f t="shared" ca="1" si="117"/>
        <v>15</v>
      </c>
      <c r="F955" s="23">
        <f t="shared" si="122"/>
        <v>168</v>
      </c>
      <c r="G955" s="23">
        <f t="shared" ca="1" si="123"/>
        <v>15</v>
      </c>
      <c r="H955" s="23">
        <f t="shared" ca="1" si="118"/>
        <v>315</v>
      </c>
      <c r="I955" s="23">
        <f t="shared" ca="1" si="119"/>
        <v>21600</v>
      </c>
    </row>
    <row r="956" spans="2:9">
      <c r="B956" s="23">
        <f t="shared" ca="1" si="120"/>
        <v>281</v>
      </c>
      <c r="C956" s="23">
        <f t="shared" ca="1" si="121"/>
        <v>281</v>
      </c>
      <c r="D956" s="23">
        <f t="shared" ca="1" si="116"/>
        <v>18435</v>
      </c>
      <c r="E956" s="23">
        <f t="shared" ca="1" si="117"/>
        <v>0</v>
      </c>
      <c r="F956" s="23">
        <f t="shared" si="122"/>
        <v>168</v>
      </c>
      <c r="G956" s="23">
        <f t="shared" ca="1" si="123"/>
        <v>0</v>
      </c>
      <c r="H956" s="23">
        <f t="shared" ca="1" si="118"/>
        <v>281</v>
      </c>
      <c r="I956" s="23">
        <f t="shared" ca="1" si="119"/>
        <v>18435</v>
      </c>
    </row>
    <row r="957" spans="2:9">
      <c r="B957" s="23">
        <f t="shared" ca="1" si="120"/>
        <v>199</v>
      </c>
      <c r="C957" s="23">
        <f t="shared" ca="1" si="121"/>
        <v>199</v>
      </c>
      <c r="D957" s="23">
        <f t="shared" ca="1" si="116"/>
        <v>7365</v>
      </c>
      <c r="E957" s="23">
        <f t="shared" ca="1" si="117"/>
        <v>0</v>
      </c>
      <c r="F957" s="23">
        <f t="shared" si="122"/>
        <v>168</v>
      </c>
      <c r="G957" s="23">
        <f t="shared" ca="1" si="123"/>
        <v>0</v>
      </c>
      <c r="H957" s="23">
        <f t="shared" ca="1" si="118"/>
        <v>199</v>
      </c>
      <c r="I957" s="23">
        <f t="shared" ca="1" si="119"/>
        <v>7365</v>
      </c>
    </row>
    <row r="958" spans="2:9">
      <c r="B958" s="23">
        <f t="shared" ca="1" si="120"/>
        <v>312</v>
      </c>
      <c r="C958" s="23">
        <f t="shared" ca="1" si="121"/>
        <v>300</v>
      </c>
      <c r="D958" s="23">
        <f t="shared" ca="1" si="116"/>
        <v>21000</v>
      </c>
      <c r="E958" s="23">
        <f t="shared" ca="1" si="117"/>
        <v>12</v>
      </c>
      <c r="F958" s="23">
        <f t="shared" si="122"/>
        <v>168</v>
      </c>
      <c r="G958" s="23">
        <f t="shared" ca="1" si="123"/>
        <v>12</v>
      </c>
      <c r="H958" s="23">
        <f t="shared" ca="1" si="118"/>
        <v>312</v>
      </c>
      <c r="I958" s="23">
        <f t="shared" ca="1" si="119"/>
        <v>21480</v>
      </c>
    </row>
    <row r="959" spans="2:9">
      <c r="B959" s="23">
        <f t="shared" ca="1" si="120"/>
        <v>255</v>
      </c>
      <c r="C959" s="23">
        <f t="shared" ca="1" si="121"/>
        <v>255</v>
      </c>
      <c r="D959" s="23">
        <f t="shared" ca="1" si="116"/>
        <v>14925</v>
      </c>
      <c r="E959" s="23">
        <f t="shared" ca="1" si="117"/>
        <v>0</v>
      </c>
      <c r="F959" s="23">
        <f t="shared" si="122"/>
        <v>168</v>
      </c>
      <c r="G959" s="23">
        <f t="shared" ca="1" si="123"/>
        <v>0</v>
      </c>
      <c r="H959" s="23">
        <f t="shared" ca="1" si="118"/>
        <v>255</v>
      </c>
      <c r="I959" s="23">
        <f t="shared" ca="1" si="119"/>
        <v>14925</v>
      </c>
    </row>
    <row r="960" spans="2:9">
      <c r="B960" s="23">
        <f t="shared" ca="1" si="120"/>
        <v>349</v>
      </c>
      <c r="C960" s="23">
        <f t="shared" ca="1" si="121"/>
        <v>300</v>
      </c>
      <c r="D960" s="23">
        <f t="shared" ca="1" si="116"/>
        <v>21000</v>
      </c>
      <c r="E960" s="23">
        <f t="shared" ca="1" si="117"/>
        <v>49</v>
      </c>
      <c r="F960" s="23">
        <f t="shared" si="122"/>
        <v>168</v>
      </c>
      <c r="G960" s="23">
        <f t="shared" ca="1" si="123"/>
        <v>49</v>
      </c>
      <c r="H960" s="23">
        <f t="shared" ca="1" si="118"/>
        <v>349</v>
      </c>
      <c r="I960" s="23">
        <f t="shared" ca="1" si="119"/>
        <v>22960</v>
      </c>
    </row>
    <row r="961" spans="2:9">
      <c r="B961" s="23">
        <f t="shared" ca="1" si="120"/>
        <v>245</v>
      </c>
      <c r="C961" s="23">
        <f t="shared" ca="1" si="121"/>
        <v>245</v>
      </c>
      <c r="D961" s="23">
        <f t="shared" ca="1" si="116"/>
        <v>13575</v>
      </c>
      <c r="E961" s="23">
        <f t="shared" ca="1" si="117"/>
        <v>0</v>
      </c>
      <c r="F961" s="23">
        <f t="shared" si="122"/>
        <v>168</v>
      </c>
      <c r="G961" s="23">
        <f t="shared" ca="1" si="123"/>
        <v>0</v>
      </c>
      <c r="H961" s="23">
        <f t="shared" ca="1" si="118"/>
        <v>245</v>
      </c>
      <c r="I961" s="23">
        <f t="shared" ca="1" si="119"/>
        <v>13575</v>
      </c>
    </row>
    <row r="962" spans="2:9">
      <c r="B962" s="23">
        <f t="shared" ca="1" si="120"/>
        <v>266</v>
      </c>
      <c r="C962" s="23">
        <f t="shared" ca="1" si="121"/>
        <v>266</v>
      </c>
      <c r="D962" s="23">
        <f t="shared" ca="1" si="116"/>
        <v>16410</v>
      </c>
      <c r="E962" s="23">
        <f t="shared" ca="1" si="117"/>
        <v>0</v>
      </c>
      <c r="F962" s="23">
        <f t="shared" si="122"/>
        <v>168</v>
      </c>
      <c r="G962" s="23">
        <f t="shared" ca="1" si="123"/>
        <v>0</v>
      </c>
      <c r="H962" s="23">
        <f t="shared" ca="1" si="118"/>
        <v>266</v>
      </c>
      <c r="I962" s="23">
        <f t="shared" ca="1" si="119"/>
        <v>16410</v>
      </c>
    </row>
    <row r="963" spans="2:9">
      <c r="B963" s="23">
        <f t="shared" ca="1" si="120"/>
        <v>238</v>
      </c>
      <c r="C963" s="23">
        <f t="shared" ca="1" si="121"/>
        <v>238</v>
      </c>
      <c r="D963" s="23">
        <f t="shared" ca="1" si="116"/>
        <v>12630</v>
      </c>
      <c r="E963" s="23">
        <f t="shared" ca="1" si="117"/>
        <v>0</v>
      </c>
      <c r="F963" s="23">
        <f t="shared" si="122"/>
        <v>168</v>
      </c>
      <c r="G963" s="23">
        <f t="shared" ca="1" si="123"/>
        <v>0</v>
      </c>
      <c r="H963" s="23">
        <f t="shared" ca="1" si="118"/>
        <v>238</v>
      </c>
      <c r="I963" s="23">
        <f t="shared" ca="1" si="119"/>
        <v>12630</v>
      </c>
    </row>
    <row r="964" spans="2:9">
      <c r="B964" s="23">
        <f t="shared" ca="1" si="120"/>
        <v>459</v>
      </c>
      <c r="C964" s="23">
        <f t="shared" ca="1" si="121"/>
        <v>300</v>
      </c>
      <c r="D964" s="23">
        <f t="shared" ca="1" si="116"/>
        <v>21000</v>
      </c>
      <c r="E964" s="23">
        <f t="shared" ca="1" si="117"/>
        <v>159</v>
      </c>
      <c r="F964" s="23">
        <f t="shared" si="122"/>
        <v>168</v>
      </c>
      <c r="G964" s="23">
        <f t="shared" ca="1" si="123"/>
        <v>159</v>
      </c>
      <c r="H964" s="23">
        <f t="shared" ca="1" si="118"/>
        <v>459</v>
      </c>
      <c r="I964" s="23">
        <f t="shared" ca="1" si="119"/>
        <v>27360</v>
      </c>
    </row>
    <row r="965" spans="2:9">
      <c r="B965" s="23">
        <f t="shared" ca="1" si="120"/>
        <v>147</v>
      </c>
      <c r="C965" s="23">
        <f t="shared" ca="1" si="121"/>
        <v>147</v>
      </c>
      <c r="D965" s="23">
        <f t="shared" ca="1" si="116"/>
        <v>345</v>
      </c>
      <c r="E965" s="23">
        <f t="shared" ca="1" si="117"/>
        <v>0</v>
      </c>
      <c r="F965" s="23">
        <f t="shared" si="122"/>
        <v>168</v>
      </c>
      <c r="G965" s="23">
        <f t="shared" ca="1" si="123"/>
        <v>0</v>
      </c>
      <c r="H965" s="23">
        <f t="shared" ca="1" si="118"/>
        <v>147</v>
      </c>
      <c r="I965" s="23">
        <f t="shared" ca="1" si="119"/>
        <v>345</v>
      </c>
    </row>
    <row r="966" spans="2:9">
      <c r="B966" s="23">
        <f t="shared" ca="1" si="120"/>
        <v>276</v>
      </c>
      <c r="C966" s="23">
        <f t="shared" ca="1" si="121"/>
        <v>276</v>
      </c>
      <c r="D966" s="23">
        <f t="shared" ca="1" si="116"/>
        <v>17760</v>
      </c>
      <c r="E966" s="23">
        <f t="shared" ca="1" si="117"/>
        <v>0</v>
      </c>
      <c r="F966" s="23">
        <f t="shared" si="122"/>
        <v>168</v>
      </c>
      <c r="G966" s="23">
        <f t="shared" ca="1" si="123"/>
        <v>0</v>
      </c>
      <c r="H966" s="23">
        <f t="shared" ca="1" si="118"/>
        <v>276</v>
      </c>
      <c r="I966" s="23">
        <f t="shared" ca="1" si="119"/>
        <v>17760</v>
      </c>
    </row>
    <row r="967" spans="2:9">
      <c r="B967" s="23">
        <f t="shared" ca="1" si="120"/>
        <v>256</v>
      </c>
      <c r="C967" s="23">
        <f t="shared" ca="1" si="121"/>
        <v>256</v>
      </c>
      <c r="D967" s="23">
        <f t="shared" ca="1" si="116"/>
        <v>15060</v>
      </c>
      <c r="E967" s="23">
        <f t="shared" ca="1" si="117"/>
        <v>0</v>
      </c>
      <c r="F967" s="23">
        <f t="shared" si="122"/>
        <v>168</v>
      </c>
      <c r="G967" s="23">
        <f t="shared" ca="1" si="123"/>
        <v>0</v>
      </c>
      <c r="H967" s="23">
        <f t="shared" ca="1" si="118"/>
        <v>256</v>
      </c>
      <c r="I967" s="23">
        <f t="shared" ca="1" si="119"/>
        <v>15060</v>
      </c>
    </row>
    <row r="968" spans="2:9">
      <c r="B968" s="23">
        <f t="shared" ca="1" si="120"/>
        <v>109</v>
      </c>
      <c r="C968" s="23">
        <f t="shared" ca="1" si="121"/>
        <v>109</v>
      </c>
      <c r="D968" s="23">
        <f t="shared" ca="1" si="116"/>
        <v>-4785</v>
      </c>
      <c r="E968" s="23">
        <f t="shared" ca="1" si="117"/>
        <v>0</v>
      </c>
      <c r="F968" s="23">
        <f t="shared" si="122"/>
        <v>168</v>
      </c>
      <c r="G968" s="23">
        <f t="shared" ca="1" si="123"/>
        <v>0</v>
      </c>
      <c r="H968" s="23">
        <f t="shared" ca="1" si="118"/>
        <v>109</v>
      </c>
      <c r="I968" s="23">
        <f t="shared" ca="1" si="119"/>
        <v>-4785</v>
      </c>
    </row>
    <row r="969" spans="2:9">
      <c r="B969" s="23">
        <f t="shared" ca="1" si="120"/>
        <v>169</v>
      </c>
      <c r="C969" s="23">
        <f t="shared" ca="1" si="121"/>
        <v>169</v>
      </c>
      <c r="D969" s="23">
        <f t="shared" ca="1" si="116"/>
        <v>3315</v>
      </c>
      <c r="E969" s="23">
        <f t="shared" ca="1" si="117"/>
        <v>0</v>
      </c>
      <c r="F969" s="23">
        <f t="shared" si="122"/>
        <v>168</v>
      </c>
      <c r="G969" s="23">
        <f t="shared" ca="1" si="123"/>
        <v>0</v>
      </c>
      <c r="H969" s="23">
        <f t="shared" ca="1" si="118"/>
        <v>169</v>
      </c>
      <c r="I969" s="23">
        <f t="shared" ca="1" si="119"/>
        <v>3315</v>
      </c>
    </row>
    <row r="970" spans="2:9">
      <c r="B970" s="23">
        <f t="shared" ca="1" si="120"/>
        <v>38</v>
      </c>
      <c r="C970" s="23">
        <f t="shared" ca="1" si="121"/>
        <v>38</v>
      </c>
      <c r="D970" s="23">
        <f t="shared" ca="1" si="116"/>
        <v>-14370</v>
      </c>
      <c r="E970" s="23">
        <f t="shared" ca="1" si="117"/>
        <v>0</v>
      </c>
      <c r="F970" s="23">
        <f t="shared" si="122"/>
        <v>168</v>
      </c>
      <c r="G970" s="23">
        <f t="shared" ca="1" si="123"/>
        <v>0</v>
      </c>
      <c r="H970" s="23">
        <f t="shared" ca="1" si="118"/>
        <v>38</v>
      </c>
      <c r="I970" s="23">
        <f t="shared" ca="1" si="119"/>
        <v>-14370</v>
      </c>
    </row>
    <row r="971" spans="2:9">
      <c r="B971" s="23">
        <f t="shared" ca="1" si="120"/>
        <v>405</v>
      </c>
      <c r="C971" s="23">
        <f t="shared" ca="1" si="121"/>
        <v>300</v>
      </c>
      <c r="D971" s="23">
        <f t="shared" ca="1" si="116"/>
        <v>21000</v>
      </c>
      <c r="E971" s="23">
        <f t="shared" ca="1" si="117"/>
        <v>105</v>
      </c>
      <c r="F971" s="23">
        <f t="shared" si="122"/>
        <v>168</v>
      </c>
      <c r="G971" s="23">
        <f t="shared" ca="1" si="123"/>
        <v>105</v>
      </c>
      <c r="H971" s="23">
        <f t="shared" ca="1" si="118"/>
        <v>405</v>
      </c>
      <c r="I971" s="23">
        <f t="shared" ca="1" si="119"/>
        <v>25200</v>
      </c>
    </row>
    <row r="972" spans="2:9">
      <c r="B972" s="23">
        <f t="shared" ca="1" si="120"/>
        <v>102</v>
      </c>
      <c r="C972" s="23">
        <f t="shared" ca="1" si="121"/>
        <v>102</v>
      </c>
      <c r="D972" s="23">
        <f t="shared" ref="D972:D1016" ca="1" si="124">C972*$B$3-$D$8*$B$2</f>
        <v>-5730</v>
      </c>
      <c r="E972" s="23">
        <f t="shared" ref="E972:E1016" ca="1" si="125">MAX(0, B972-$D$8)</f>
        <v>0</v>
      </c>
      <c r="F972" s="23">
        <f t="shared" si="122"/>
        <v>168</v>
      </c>
      <c r="G972" s="23">
        <f t="shared" ca="1" si="123"/>
        <v>0</v>
      </c>
      <c r="H972" s="23">
        <f t="shared" ref="H972:H1016" ca="1" si="126">MIN(B972, $D$8+G972)</f>
        <v>102</v>
      </c>
      <c r="I972" s="23">
        <f t="shared" ref="I972:I1016" ca="1" si="127">H972*$B$3-$D$8*$B$2-$B$1*G972</f>
        <v>-5730</v>
      </c>
    </row>
    <row r="973" spans="2:9">
      <c r="B973" s="23">
        <f t="shared" ref="B973:B1016" ca="1" si="128">_xlfn.FLOOR.MATH(_xlfn.NORM.INV(RAND(),$B$4,$B$5))</f>
        <v>191</v>
      </c>
      <c r="C973" s="23">
        <f t="shared" ref="C973:C1016" ca="1" si="129">MIN(B973,$D$8)</f>
        <v>191</v>
      </c>
      <c r="D973" s="23">
        <f t="shared" ca="1" si="124"/>
        <v>6285</v>
      </c>
      <c r="E973" s="23">
        <f t="shared" ca="1" si="125"/>
        <v>0</v>
      </c>
      <c r="F973" s="23">
        <f t="shared" ref="F973:F1016" si="130">12*(21-7)</f>
        <v>168</v>
      </c>
      <c r="G973" s="23">
        <f t="shared" ca="1" si="123"/>
        <v>0</v>
      </c>
      <c r="H973" s="23">
        <f t="shared" ca="1" si="126"/>
        <v>191</v>
      </c>
      <c r="I973" s="23">
        <f t="shared" ca="1" si="127"/>
        <v>6285</v>
      </c>
    </row>
    <row r="974" spans="2:9">
      <c r="B974" s="23">
        <f t="shared" ca="1" si="128"/>
        <v>355</v>
      </c>
      <c r="C974" s="23">
        <f t="shared" ca="1" si="129"/>
        <v>300</v>
      </c>
      <c r="D974" s="23">
        <f t="shared" ca="1" si="124"/>
        <v>21000</v>
      </c>
      <c r="E974" s="23">
        <f t="shared" ca="1" si="125"/>
        <v>55</v>
      </c>
      <c r="F974" s="23">
        <f t="shared" si="130"/>
        <v>168</v>
      </c>
      <c r="G974" s="23">
        <f t="shared" ca="1" si="123"/>
        <v>55</v>
      </c>
      <c r="H974" s="23">
        <f t="shared" ca="1" si="126"/>
        <v>355</v>
      </c>
      <c r="I974" s="23">
        <f t="shared" ca="1" si="127"/>
        <v>23200</v>
      </c>
    </row>
    <row r="975" spans="2:9">
      <c r="B975" s="23">
        <f t="shared" ca="1" si="128"/>
        <v>410</v>
      </c>
      <c r="C975" s="23">
        <f t="shared" ca="1" si="129"/>
        <v>300</v>
      </c>
      <c r="D975" s="23">
        <f t="shared" ca="1" si="124"/>
        <v>21000</v>
      </c>
      <c r="E975" s="23">
        <f t="shared" ca="1" si="125"/>
        <v>110</v>
      </c>
      <c r="F975" s="23">
        <f t="shared" si="130"/>
        <v>168</v>
      </c>
      <c r="G975" s="23">
        <f t="shared" ca="1" si="123"/>
        <v>110</v>
      </c>
      <c r="H975" s="23">
        <f t="shared" ca="1" si="126"/>
        <v>410</v>
      </c>
      <c r="I975" s="23">
        <f t="shared" ca="1" si="127"/>
        <v>25400</v>
      </c>
    </row>
    <row r="976" spans="2:9">
      <c r="B976" s="23">
        <f t="shared" ca="1" si="128"/>
        <v>229</v>
      </c>
      <c r="C976" s="23">
        <f t="shared" ca="1" si="129"/>
        <v>229</v>
      </c>
      <c r="D976" s="23">
        <f t="shared" ca="1" si="124"/>
        <v>11415</v>
      </c>
      <c r="E976" s="23">
        <f t="shared" ca="1" si="125"/>
        <v>0</v>
      </c>
      <c r="F976" s="23">
        <f t="shared" si="130"/>
        <v>168</v>
      </c>
      <c r="G976" s="23">
        <f t="shared" ref="G976:G1016" ca="1" si="131">MIN(E976,F976)</f>
        <v>0</v>
      </c>
      <c r="H976" s="23">
        <f t="shared" ca="1" si="126"/>
        <v>229</v>
      </c>
      <c r="I976" s="23">
        <f t="shared" ca="1" si="127"/>
        <v>11415</v>
      </c>
    </row>
    <row r="977" spans="2:9">
      <c r="B977" s="23">
        <f t="shared" ca="1" si="128"/>
        <v>431</v>
      </c>
      <c r="C977" s="23">
        <f t="shared" ca="1" si="129"/>
        <v>300</v>
      </c>
      <c r="D977" s="23">
        <f t="shared" ca="1" si="124"/>
        <v>21000</v>
      </c>
      <c r="E977" s="23">
        <f t="shared" ca="1" si="125"/>
        <v>131</v>
      </c>
      <c r="F977" s="23">
        <f t="shared" si="130"/>
        <v>168</v>
      </c>
      <c r="G977" s="23">
        <f t="shared" ca="1" si="131"/>
        <v>131</v>
      </c>
      <c r="H977" s="23">
        <f t="shared" ca="1" si="126"/>
        <v>431</v>
      </c>
      <c r="I977" s="23">
        <f t="shared" ca="1" si="127"/>
        <v>26240</v>
      </c>
    </row>
    <row r="978" spans="2:9">
      <c r="B978" s="23">
        <f t="shared" ca="1" si="128"/>
        <v>354</v>
      </c>
      <c r="C978" s="23">
        <f t="shared" ca="1" si="129"/>
        <v>300</v>
      </c>
      <c r="D978" s="23">
        <f t="shared" ca="1" si="124"/>
        <v>21000</v>
      </c>
      <c r="E978" s="23">
        <f t="shared" ca="1" si="125"/>
        <v>54</v>
      </c>
      <c r="F978" s="23">
        <f t="shared" si="130"/>
        <v>168</v>
      </c>
      <c r="G978" s="23">
        <f t="shared" ca="1" si="131"/>
        <v>54</v>
      </c>
      <c r="H978" s="23">
        <f t="shared" ca="1" si="126"/>
        <v>354</v>
      </c>
      <c r="I978" s="23">
        <f t="shared" ca="1" si="127"/>
        <v>23160</v>
      </c>
    </row>
    <row r="979" spans="2:9">
      <c r="B979" s="23">
        <f t="shared" ca="1" si="128"/>
        <v>86</v>
      </c>
      <c r="C979" s="23">
        <f t="shared" ca="1" si="129"/>
        <v>86</v>
      </c>
      <c r="D979" s="23">
        <f t="shared" ca="1" si="124"/>
        <v>-7890</v>
      </c>
      <c r="E979" s="23">
        <f t="shared" ca="1" si="125"/>
        <v>0</v>
      </c>
      <c r="F979" s="23">
        <f t="shared" si="130"/>
        <v>168</v>
      </c>
      <c r="G979" s="23">
        <f t="shared" ca="1" si="131"/>
        <v>0</v>
      </c>
      <c r="H979" s="23">
        <f t="shared" ca="1" si="126"/>
        <v>86</v>
      </c>
      <c r="I979" s="23">
        <f t="shared" ca="1" si="127"/>
        <v>-7890</v>
      </c>
    </row>
    <row r="980" spans="2:9">
      <c r="B980" s="23">
        <f t="shared" ca="1" si="128"/>
        <v>335</v>
      </c>
      <c r="C980" s="23">
        <f t="shared" ca="1" si="129"/>
        <v>300</v>
      </c>
      <c r="D980" s="23">
        <f t="shared" ca="1" si="124"/>
        <v>21000</v>
      </c>
      <c r="E980" s="23">
        <f t="shared" ca="1" si="125"/>
        <v>35</v>
      </c>
      <c r="F980" s="23">
        <f t="shared" si="130"/>
        <v>168</v>
      </c>
      <c r="G980" s="23">
        <f t="shared" ca="1" si="131"/>
        <v>35</v>
      </c>
      <c r="H980" s="23">
        <f t="shared" ca="1" si="126"/>
        <v>335</v>
      </c>
      <c r="I980" s="23">
        <f t="shared" ca="1" si="127"/>
        <v>22400</v>
      </c>
    </row>
    <row r="981" spans="2:9">
      <c r="B981" s="23">
        <f t="shared" ca="1" si="128"/>
        <v>443</v>
      </c>
      <c r="C981" s="23">
        <f t="shared" ca="1" si="129"/>
        <v>300</v>
      </c>
      <c r="D981" s="23">
        <f t="shared" ca="1" si="124"/>
        <v>21000</v>
      </c>
      <c r="E981" s="23">
        <f t="shared" ca="1" si="125"/>
        <v>143</v>
      </c>
      <c r="F981" s="23">
        <f t="shared" si="130"/>
        <v>168</v>
      </c>
      <c r="G981" s="23">
        <f t="shared" ca="1" si="131"/>
        <v>143</v>
      </c>
      <c r="H981" s="23">
        <f t="shared" ca="1" si="126"/>
        <v>443</v>
      </c>
      <c r="I981" s="23">
        <f t="shared" ca="1" si="127"/>
        <v>26720</v>
      </c>
    </row>
    <row r="982" spans="2:9">
      <c r="B982" s="23">
        <f t="shared" ca="1" si="128"/>
        <v>310</v>
      </c>
      <c r="C982" s="23">
        <f t="shared" ca="1" si="129"/>
        <v>300</v>
      </c>
      <c r="D982" s="23">
        <f t="shared" ca="1" si="124"/>
        <v>21000</v>
      </c>
      <c r="E982" s="23">
        <f t="shared" ca="1" si="125"/>
        <v>10</v>
      </c>
      <c r="F982" s="23">
        <f t="shared" si="130"/>
        <v>168</v>
      </c>
      <c r="G982" s="23">
        <f t="shared" ca="1" si="131"/>
        <v>10</v>
      </c>
      <c r="H982" s="23">
        <f t="shared" ca="1" si="126"/>
        <v>310</v>
      </c>
      <c r="I982" s="23">
        <f t="shared" ca="1" si="127"/>
        <v>21400</v>
      </c>
    </row>
    <row r="983" spans="2:9">
      <c r="B983" s="23">
        <f t="shared" ca="1" si="128"/>
        <v>94</v>
      </c>
      <c r="C983" s="23">
        <f t="shared" ca="1" si="129"/>
        <v>94</v>
      </c>
      <c r="D983" s="23">
        <f t="shared" ca="1" si="124"/>
        <v>-6810</v>
      </c>
      <c r="E983" s="23">
        <f t="shared" ca="1" si="125"/>
        <v>0</v>
      </c>
      <c r="F983" s="23">
        <f t="shared" si="130"/>
        <v>168</v>
      </c>
      <c r="G983" s="23">
        <f t="shared" ca="1" si="131"/>
        <v>0</v>
      </c>
      <c r="H983" s="23">
        <f t="shared" ca="1" si="126"/>
        <v>94</v>
      </c>
      <c r="I983" s="23">
        <f t="shared" ca="1" si="127"/>
        <v>-6810</v>
      </c>
    </row>
    <row r="984" spans="2:9">
      <c r="B984" s="23">
        <f t="shared" ca="1" si="128"/>
        <v>363</v>
      </c>
      <c r="C984" s="23">
        <f t="shared" ca="1" si="129"/>
        <v>300</v>
      </c>
      <c r="D984" s="23">
        <f t="shared" ca="1" si="124"/>
        <v>21000</v>
      </c>
      <c r="E984" s="23">
        <f t="shared" ca="1" si="125"/>
        <v>63</v>
      </c>
      <c r="F984" s="23">
        <f t="shared" si="130"/>
        <v>168</v>
      </c>
      <c r="G984" s="23">
        <f t="shared" ca="1" si="131"/>
        <v>63</v>
      </c>
      <c r="H984" s="23">
        <f t="shared" ca="1" si="126"/>
        <v>363</v>
      </c>
      <c r="I984" s="23">
        <f t="shared" ca="1" si="127"/>
        <v>23520</v>
      </c>
    </row>
    <row r="985" spans="2:9">
      <c r="B985" s="23">
        <f t="shared" ca="1" si="128"/>
        <v>88</v>
      </c>
      <c r="C985" s="23">
        <f t="shared" ca="1" si="129"/>
        <v>88</v>
      </c>
      <c r="D985" s="23">
        <f t="shared" ca="1" si="124"/>
        <v>-7620</v>
      </c>
      <c r="E985" s="23">
        <f t="shared" ca="1" si="125"/>
        <v>0</v>
      </c>
      <c r="F985" s="23">
        <f t="shared" si="130"/>
        <v>168</v>
      </c>
      <c r="G985" s="23">
        <f t="shared" ca="1" si="131"/>
        <v>0</v>
      </c>
      <c r="H985" s="23">
        <f t="shared" ca="1" si="126"/>
        <v>88</v>
      </c>
      <c r="I985" s="23">
        <f t="shared" ca="1" si="127"/>
        <v>-7620</v>
      </c>
    </row>
    <row r="986" spans="2:9">
      <c r="B986" s="23">
        <f t="shared" ca="1" si="128"/>
        <v>127</v>
      </c>
      <c r="C986" s="23">
        <f t="shared" ca="1" si="129"/>
        <v>127</v>
      </c>
      <c r="D986" s="23">
        <f t="shared" ca="1" si="124"/>
        <v>-2355</v>
      </c>
      <c r="E986" s="23">
        <f t="shared" ca="1" si="125"/>
        <v>0</v>
      </c>
      <c r="F986" s="23">
        <f t="shared" si="130"/>
        <v>168</v>
      </c>
      <c r="G986" s="23">
        <f t="shared" ca="1" si="131"/>
        <v>0</v>
      </c>
      <c r="H986" s="23">
        <f t="shared" ca="1" si="126"/>
        <v>127</v>
      </c>
      <c r="I986" s="23">
        <f t="shared" ca="1" si="127"/>
        <v>-2355</v>
      </c>
    </row>
    <row r="987" spans="2:9">
      <c r="B987" s="23">
        <f t="shared" ca="1" si="128"/>
        <v>390</v>
      </c>
      <c r="C987" s="23">
        <f t="shared" ca="1" si="129"/>
        <v>300</v>
      </c>
      <c r="D987" s="23">
        <f t="shared" ca="1" si="124"/>
        <v>21000</v>
      </c>
      <c r="E987" s="23">
        <f t="shared" ca="1" si="125"/>
        <v>90</v>
      </c>
      <c r="F987" s="23">
        <f t="shared" si="130"/>
        <v>168</v>
      </c>
      <c r="G987" s="23">
        <f t="shared" ca="1" si="131"/>
        <v>90</v>
      </c>
      <c r="H987" s="23">
        <f t="shared" ca="1" si="126"/>
        <v>390</v>
      </c>
      <c r="I987" s="23">
        <f t="shared" ca="1" si="127"/>
        <v>24600</v>
      </c>
    </row>
    <row r="988" spans="2:9">
      <c r="B988" s="23">
        <f t="shared" ca="1" si="128"/>
        <v>242</v>
      </c>
      <c r="C988" s="23">
        <f t="shared" ca="1" si="129"/>
        <v>242</v>
      </c>
      <c r="D988" s="23">
        <f t="shared" ca="1" si="124"/>
        <v>13170</v>
      </c>
      <c r="E988" s="23">
        <f t="shared" ca="1" si="125"/>
        <v>0</v>
      </c>
      <c r="F988" s="23">
        <f t="shared" si="130"/>
        <v>168</v>
      </c>
      <c r="G988" s="23">
        <f t="shared" ca="1" si="131"/>
        <v>0</v>
      </c>
      <c r="H988" s="23">
        <f t="shared" ca="1" si="126"/>
        <v>242</v>
      </c>
      <c r="I988" s="23">
        <f t="shared" ca="1" si="127"/>
        <v>13170</v>
      </c>
    </row>
    <row r="989" spans="2:9">
      <c r="B989" s="23">
        <f t="shared" ca="1" si="128"/>
        <v>207</v>
      </c>
      <c r="C989" s="23">
        <f t="shared" ca="1" si="129"/>
        <v>207</v>
      </c>
      <c r="D989" s="23">
        <f t="shared" ca="1" si="124"/>
        <v>8445</v>
      </c>
      <c r="E989" s="23">
        <f t="shared" ca="1" si="125"/>
        <v>0</v>
      </c>
      <c r="F989" s="23">
        <f t="shared" si="130"/>
        <v>168</v>
      </c>
      <c r="G989" s="23">
        <f t="shared" ca="1" si="131"/>
        <v>0</v>
      </c>
      <c r="H989" s="23">
        <f t="shared" ca="1" si="126"/>
        <v>207</v>
      </c>
      <c r="I989" s="23">
        <f t="shared" ca="1" si="127"/>
        <v>8445</v>
      </c>
    </row>
    <row r="990" spans="2:9">
      <c r="B990" s="23">
        <f t="shared" ca="1" si="128"/>
        <v>-18</v>
      </c>
      <c r="C990" s="23">
        <f t="shared" ca="1" si="129"/>
        <v>-18</v>
      </c>
      <c r="D990" s="23">
        <f t="shared" ca="1" si="124"/>
        <v>-21930</v>
      </c>
      <c r="E990" s="23">
        <f t="shared" ca="1" si="125"/>
        <v>0</v>
      </c>
      <c r="F990" s="23">
        <f t="shared" si="130"/>
        <v>168</v>
      </c>
      <c r="G990" s="23">
        <f t="shared" ca="1" si="131"/>
        <v>0</v>
      </c>
      <c r="H990" s="23">
        <f t="shared" ca="1" si="126"/>
        <v>-18</v>
      </c>
      <c r="I990" s="23">
        <f t="shared" ca="1" si="127"/>
        <v>-21930</v>
      </c>
    </row>
    <row r="991" spans="2:9">
      <c r="B991" s="23">
        <f t="shared" ca="1" si="128"/>
        <v>283</v>
      </c>
      <c r="C991" s="23">
        <f t="shared" ca="1" si="129"/>
        <v>283</v>
      </c>
      <c r="D991" s="23">
        <f t="shared" ca="1" si="124"/>
        <v>18705</v>
      </c>
      <c r="E991" s="23">
        <f t="shared" ca="1" si="125"/>
        <v>0</v>
      </c>
      <c r="F991" s="23">
        <f t="shared" si="130"/>
        <v>168</v>
      </c>
      <c r="G991" s="23">
        <f t="shared" ca="1" si="131"/>
        <v>0</v>
      </c>
      <c r="H991" s="23">
        <f t="shared" ca="1" si="126"/>
        <v>283</v>
      </c>
      <c r="I991" s="23">
        <f t="shared" ca="1" si="127"/>
        <v>18705</v>
      </c>
    </row>
    <row r="992" spans="2:9">
      <c r="B992" s="23">
        <f t="shared" ca="1" si="128"/>
        <v>271</v>
      </c>
      <c r="C992" s="23">
        <f t="shared" ca="1" si="129"/>
        <v>271</v>
      </c>
      <c r="D992" s="23">
        <f t="shared" ca="1" si="124"/>
        <v>17085</v>
      </c>
      <c r="E992" s="23">
        <f t="shared" ca="1" si="125"/>
        <v>0</v>
      </c>
      <c r="F992" s="23">
        <f t="shared" si="130"/>
        <v>168</v>
      </c>
      <c r="G992" s="23">
        <f t="shared" ca="1" si="131"/>
        <v>0</v>
      </c>
      <c r="H992" s="23">
        <f t="shared" ca="1" si="126"/>
        <v>271</v>
      </c>
      <c r="I992" s="23">
        <f t="shared" ca="1" si="127"/>
        <v>17085</v>
      </c>
    </row>
    <row r="993" spans="2:9">
      <c r="B993" s="23">
        <f t="shared" ca="1" si="128"/>
        <v>397</v>
      </c>
      <c r="C993" s="23">
        <f t="shared" ca="1" si="129"/>
        <v>300</v>
      </c>
      <c r="D993" s="23">
        <f t="shared" ca="1" si="124"/>
        <v>21000</v>
      </c>
      <c r="E993" s="23">
        <f t="shared" ca="1" si="125"/>
        <v>97</v>
      </c>
      <c r="F993" s="23">
        <f t="shared" si="130"/>
        <v>168</v>
      </c>
      <c r="G993" s="23">
        <f t="shared" ca="1" si="131"/>
        <v>97</v>
      </c>
      <c r="H993" s="23">
        <f t="shared" ca="1" si="126"/>
        <v>397</v>
      </c>
      <c r="I993" s="23">
        <f t="shared" ca="1" si="127"/>
        <v>24880</v>
      </c>
    </row>
    <row r="994" spans="2:9">
      <c r="B994" s="23">
        <f t="shared" ca="1" si="128"/>
        <v>316</v>
      </c>
      <c r="C994" s="23">
        <f t="shared" ca="1" si="129"/>
        <v>300</v>
      </c>
      <c r="D994" s="23">
        <f t="shared" ca="1" si="124"/>
        <v>21000</v>
      </c>
      <c r="E994" s="23">
        <f t="shared" ca="1" si="125"/>
        <v>16</v>
      </c>
      <c r="F994" s="23">
        <f t="shared" si="130"/>
        <v>168</v>
      </c>
      <c r="G994" s="23">
        <f t="shared" ca="1" si="131"/>
        <v>16</v>
      </c>
      <c r="H994" s="23">
        <f t="shared" ca="1" si="126"/>
        <v>316</v>
      </c>
      <c r="I994" s="23">
        <f t="shared" ca="1" si="127"/>
        <v>21640</v>
      </c>
    </row>
    <row r="995" spans="2:9">
      <c r="B995" s="23">
        <f t="shared" ca="1" si="128"/>
        <v>179</v>
      </c>
      <c r="C995" s="23">
        <f t="shared" ca="1" si="129"/>
        <v>179</v>
      </c>
      <c r="D995" s="23">
        <f t="shared" ca="1" si="124"/>
        <v>4665</v>
      </c>
      <c r="E995" s="23">
        <f t="shared" ca="1" si="125"/>
        <v>0</v>
      </c>
      <c r="F995" s="23">
        <f t="shared" si="130"/>
        <v>168</v>
      </c>
      <c r="G995" s="23">
        <f t="shared" ca="1" si="131"/>
        <v>0</v>
      </c>
      <c r="H995" s="23">
        <f t="shared" ca="1" si="126"/>
        <v>179</v>
      </c>
      <c r="I995" s="23">
        <f t="shared" ca="1" si="127"/>
        <v>4665</v>
      </c>
    </row>
    <row r="996" spans="2:9">
      <c r="B996" s="23">
        <f t="shared" ca="1" si="128"/>
        <v>312</v>
      </c>
      <c r="C996" s="23">
        <f t="shared" ca="1" si="129"/>
        <v>300</v>
      </c>
      <c r="D996" s="23">
        <f t="shared" ca="1" si="124"/>
        <v>21000</v>
      </c>
      <c r="E996" s="23">
        <f t="shared" ca="1" si="125"/>
        <v>12</v>
      </c>
      <c r="F996" s="23">
        <f t="shared" si="130"/>
        <v>168</v>
      </c>
      <c r="G996" s="23">
        <f t="shared" ca="1" si="131"/>
        <v>12</v>
      </c>
      <c r="H996" s="23">
        <f t="shared" ca="1" si="126"/>
        <v>312</v>
      </c>
      <c r="I996" s="23">
        <f t="shared" ca="1" si="127"/>
        <v>21480</v>
      </c>
    </row>
    <row r="997" spans="2:9">
      <c r="B997" s="23">
        <f t="shared" ca="1" si="128"/>
        <v>249</v>
      </c>
      <c r="C997" s="23">
        <f t="shared" ca="1" si="129"/>
        <v>249</v>
      </c>
      <c r="D997" s="23">
        <f t="shared" ca="1" si="124"/>
        <v>14115</v>
      </c>
      <c r="E997" s="23">
        <f t="shared" ca="1" si="125"/>
        <v>0</v>
      </c>
      <c r="F997" s="23">
        <f t="shared" si="130"/>
        <v>168</v>
      </c>
      <c r="G997" s="23">
        <f t="shared" ca="1" si="131"/>
        <v>0</v>
      </c>
      <c r="H997" s="23">
        <f t="shared" ca="1" si="126"/>
        <v>249</v>
      </c>
      <c r="I997" s="23">
        <f t="shared" ca="1" si="127"/>
        <v>14115</v>
      </c>
    </row>
    <row r="998" spans="2:9">
      <c r="B998" s="23">
        <f t="shared" ca="1" si="128"/>
        <v>351</v>
      </c>
      <c r="C998" s="23">
        <f t="shared" ca="1" si="129"/>
        <v>300</v>
      </c>
      <c r="D998" s="23">
        <f t="shared" ca="1" si="124"/>
        <v>21000</v>
      </c>
      <c r="E998" s="23">
        <f t="shared" ca="1" si="125"/>
        <v>51</v>
      </c>
      <c r="F998" s="23">
        <f t="shared" si="130"/>
        <v>168</v>
      </c>
      <c r="G998" s="23">
        <f t="shared" ca="1" si="131"/>
        <v>51</v>
      </c>
      <c r="H998" s="23">
        <f t="shared" ca="1" si="126"/>
        <v>351</v>
      </c>
      <c r="I998" s="23">
        <f t="shared" ca="1" si="127"/>
        <v>23040</v>
      </c>
    </row>
    <row r="999" spans="2:9">
      <c r="B999" s="23">
        <f t="shared" ca="1" si="128"/>
        <v>355</v>
      </c>
      <c r="C999" s="23">
        <f t="shared" ca="1" si="129"/>
        <v>300</v>
      </c>
      <c r="D999" s="23">
        <f t="shared" ca="1" si="124"/>
        <v>21000</v>
      </c>
      <c r="E999" s="23">
        <f t="shared" ca="1" si="125"/>
        <v>55</v>
      </c>
      <c r="F999" s="23">
        <f t="shared" si="130"/>
        <v>168</v>
      </c>
      <c r="G999" s="23">
        <f t="shared" ca="1" si="131"/>
        <v>55</v>
      </c>
      <c r="H999" s="23">
        <f t="shared" ca="1" si="126"/>
        <v>355</v>
      </c>
      <c r="I999" s="23">
        <f t="shared" ca="1" si="127"/>
        <v>23200</v>
      </c>
    </row>
    <row r="1000" spans="2:9">
      <c r="B1000" s="23">
        <f t="shared" ca="1" si="128"/>
        <v>224</v>
      </c>
      <c r="C1000" s="23">
        <f t="shared" ca="1" si="129"/>
        <v>224</v>
      </c>
      <c r="D1000" s="23">
        <f t="shared" ca="1" si="124"/>
        <v>10740</v>
      </c>
      <c r="E1000" s="23">
        <f t="shared" ca="1" si="125"/>
        <v>0</v>
      </c>
      <c r="F1000" s="23">
        <f t="shared" si="130"/>
        <v>168</v>
      </c>
      <c r="G1000" s="23">
        <f t="shared" ca="1" si="131"/>
        <v>0</v>
      </c>
      <c r="H1000" s="23">
        <f t="shared" ca="1" si="126"/>
        <v>224</v>
      </c>
      <c r="I1000" s="23">
        <f t="shared" ca="1" si="127"/>
        <v>10740</v>
      </c>
    </row>
    <row r="1001" spans="2:9">
      <c r="B1001" s="23">
        <f t="shared" ca="1" si="128"/>
        <v>463</v>
      </c>
      <c r="C1001" s="23">
        <f t="shared" ca="1" si="129"/>
        <v>300</v>
      </c>
      <c r="D1001" s="23">
        <f t="shared" ca="1" si="124"/>
        <v>21000</v>
      </c>
      <c r="E1001" s="23">
        <f t="shared" ca="1" si="125"/>
        <v>163</v>
      </c>
      <c r="F1001" s="23">
        <f t="shared" si="130"/>
        <v>168</v>
      </c>
      <c r="G1001" s="23">
        <f t="shared" ca="1" si="131"/>
        <v>163</v>
      </c>
      <c r="H1001" s="23">
        <f t="shared" ca="1" si="126"/>
        <v>463</v>
      </c>
      <c r="I1001" s="23">
        <f t="shared" ca="1" si="127"/>
        <v>27520</v>
      </c>
    </row>
    <row r="1002" spans="2:9">
      <c r="B1002" s="23">
        <f t="shared" ca="1" si="128"/>
        <v>224</v>
      </c>
      <c r="C1002" s="23">
        <f t="shared" ca="1" si="129"/>
        <v>224</v>
      </c>
      <c r="D1002" s="23">
        <f t="shared" ca="1" si="124"/>
        <v>10740</v>
      </c>
      <c r="E1002" s="23">
        <f t="shared" ca="1" si="125"/>
        <v>0</v>
      </c>
      <c r="F1002" s="23">
        <f t="shared" si="130"/>
        <v>168</v>
      </c>
      <c r="G1002" s="23">
        <f t="shared" ca="1" si="131"/>
        <v>0</v>
      </c>
      <c r="H1002" s="23">
        <f t="shared" ca="1" si="126"/>
        <v>224</v>
      </c>
      <c r="I1002" s="23">
        <f t="shared" ca="1" si="127"/>
        <v>10740</v>
      </c>
    </row>
    <row r="1003" spans="2:9">
      <c r="B1003" s="23">
        <f t="shared" ca="1" si="128"/>
        <v>240</v>
      </c>
      <c r="C1003" s="23">
        <f t="shared" ca="1" si="129"/>
        <v>240</v>
      </c>
      <c r="D1003" s="23">
        <f t="shared" ca="1" si="124"/>
        <v>12900</v>
      </c>
      <c r="E1003" s="23">
        <f t="shared" ca="1" si="125"/>
        <v>0</v>
      </c>
      <c r="F1003" s="23">
        <f t="shared" si="130"/>
        <v>168</v>
      </c>
      <c r="G1003" s="23">
        <f t="shared" ca="1" si="131"/>
        <v>0</v>
      </c>
      <c r="H1003" s="23">
        <f t="shared" ca="1" si="126"/>
        <v>240</v>
      </c>
      <c r="I1003" s="23">
        <f t="shared" ca="1" si="127"/>
        <v>12900</v>
      </c>
    </row>
    <row r="1004" spans="2:9">
      <c r="B1004" s="23">
        <f t="shared" ca="1" si="128"/>
        <v>444</v>
      </c>
      <c r="C1004" s="23">
        <f t="shared" ca="1" si="129"/>
        <v>300</v>
      </c>
      <c r="D1004" s="23">
        <f t="shared" ca="1" si="124"/>
        <v>21000</v>
      </c>
      <c r="E1004" s="23">
        <f t="shared" ca="1" si="125"/>
        <v>144</v>
      </c>
      <c r="F1004" s="23">
        <f t="shared" si="130"/>
        <v>168</v>
      </c>
      <c r="G1004" s="23">
        <f t="shared" ca="1" si="131"/>
        <v>144</v>
      </c>
      <c r="H1004" s="23">
        <f t="shared" ca="1" si="126"/>
        <v>444</v>
      </c>
      <c r="I1004" s="23">
        <f t="shared" ca="1" si="127"/>
        <v>26760</v>
      </c>
    </row>
    <row r="1005" spans="2:9">
      <c r="B1005" s="23">
        <f t="shared" ca="1" si="128"/>
        <v>373</v>
      </c>
      <c r="C1005" s="23">
        <f t="shared" ca="1" si="129"/>
        <v>300</v>
      </c>
      <c r="D1005" s="23">
        <f t="shared" ca="1" si="124"/>
        <v>21000</v>
      </c>
      <c r="E1005" s="23">
        <f t="shared" ca="1" si="125"/>
        <v>73</v>
      </c>
      <c r="F1005" s="23">
        <f t="shared" si="130"/>
        <v>168</v>
      </c>
      <c r="G1005" s="23">
        <f t="shared" ca="1" si="131"/>
        <v>73</v>
      </c>
      <c r="H1005" s="23">
        <f t="shared" ca="1" si="126"/>
        <v>373</v>
      </c>
      <c r="I1005" s="23">
        <f t="shared" ca="1" si="127"/>
        <v>23920</v>
      </c>
    </row>
    <row r="1006" spans="2:9">
      <c r="B1006" s="23">
        <f t="shared" ca="1" si="128"/>
        <v>241</v>
      </c>
      <c r="C1006" s="23">
        <f t="shared" ca="1" si="129"/>
        <v>241</v>
      </c>
      <c r="D1006" s="23">
        <f t="shared" ca="1" si="124"/>
        <v>13035</v>
      </c>
      <c r="E1006" s="23">
        <f t="shared" ca="1" si="125"/>
        <v>0</v>
      </c>
      <c r="F1006" s="23">
        <f t="shared" si="130"/>
        <v>168</v>
      </c>
      <c r="G1006" s="23">
        <f t="shared" ca="1" si="131"/>
        <v>0</v>
      </c>
      <c r="H1006" s="23">
        <f t="shared" ca="1" si="126"/>
        <v>241</v>
      </c>
      <c r="I1006" s="23">
        <f t="shared" ca="1" si="127"/>
        <v>13035</v>
      </c>
    </row>
    <row r="1007" spans="2:9">
      <c r="B1007" s="23">
        <f t="shared" ca="1" si="128"/>
        <v>60</v>
      </c>
      <c r="C1007" s="23">
        <f t="shared" ca="1" si="129"/>
        <v>60</v>
      </c>
      <c r="D1007" s="23">
        <f t="shared" ca="1" si="124"/>
        <v>-11400</v>
      </c>
      <c r="E1007" s="23">
        <f t="shared" ca="1" si="125"/>
        <v>0</v>
      </c>
      <c r="F1007" s="23">
        <f t="shared" si="130"/>
        <v>168</v>
      </c>
      <c r="G1007" s="23">
        <f t="shared" ca="1" si="131"/>
        <v>0</v>
      </c>
      <c r="H1007" s="23">
        <f t="shared" ca="1" si="126"/>
        <v>60</v>
      </c>
      <c r="I1007" s="23">
        <f t="shared" ca="1" si="127"/>
        <v>-11400</v>
      </c>
    </row>
    <row r="1008" spans="2:9">
      <c r="B1008" s="23">
        <f t="shared" ca="1" si="128"/>
        <v>169</v>
      </c>
      <c r="C1008" s="23">
        <f t="shared" ca="1" si="129"/>
        <v>169</v>
      </c>
      <c r="D1008" s="23">
        <f t="shared" ca="1" si="124"/>
        <v>3315</v>
      </c>
      <c r="E1008" s="23">
        <f t="shared" ca="1" si="125"/>
        <v>0</v>
      </c>
      <c r="F1008" s="23">
        <f t="shared" si="130"/>
        <v>168</v>
      </c>
      <c r="G1008" s="23">
        <f t="shared" ca="1" si="131"/>
        <v>0</v>
      </c>
      <c r="H1008" s="23">
        <f t="shared" ca="1" si="126"/>
        <v>169</v>
      </c>
      <c r="I1008" s="23">
        <f t="shared" ca="1" si="127"/>
        <v>3315</v>
      </c>
    </row>
    <row r="1009" spans="2:9">
      <c r="B1009" s="23">
        <f t="shared" ca="1" si="128"/>
        <v>224</v>
      </c>
      <c r="C1009" s="23">
        <f t="shared" ca="1" si="129"/>
        <v>224</v>
      </c>
      <c r="D1009" s="23">
        <f t="shared" ca="1" si="124"/>
        <v>10740</v>
      </c>
      <c r="E1009" s="23">
        <f t="shared" ca="1" si="125"/>
        <v>0</v>
      </c>
      <c r="F1009" s="23">
        <f t="shared" si="130"/>
        <v>168</v>
      </c>
      <c r="G1009" s="23">
        <f t="shared" ca="1" si="131"/>
        <v>0</v>
      </c>
      <c r="H1009" s="23">
        <f t="shared" ca="1" si="126"/>
        <v>224</v>
      </c>
      <c r="I1009" s="23">
        <f t="shared" ca="1" si="127"/>
        <v>10740</v>
      </c>
    </row>
    <row r="1010" spans="2:9">
      <c r="B1010" s="23">
        <f t="shared" ca="1" si="128"/>
        <v>221</v>
      </c>
      <c r="C1010" s="23">
        <f t="shared" ca="1" si="129"/>
        <v>221</v>
      </c>
      <c r="D1010" s="23">
        <f t="shared" ca="1" si="124"/>
        <v>10335</v>
      </c>
      <c r="E1010" s="23">
        <f t="shared" ca="1" si="125"/>
        <v>0</v>
      </c>
      <c r="F1010" s="23">
        <f t="shared" si="130"/>
        <v>168</v>
      </c>
      <c r="G1010" s="23">
        <f t="shared" ca="1" si="131"/>
        <v>0</v>
      </c>
      <c r="H1010" s="23">
        <f t="shared" ca="1" si="126"/>
        <v>221</v>
      </c>
      <c r="I1010" s="23">
        <f t="shared" ca="1" si="127"/>
        <v>10335</v>
      </c>
    </row>
    <row r="1011" spans="2:9">
      <c r="B1011" s="23">
        <f t="shared" ca="1" si="128"/>
        <v>439</v>
      </c>
      <c r="C1011" s="23">
        <f t="shared" ca="1" si="129"/>
        <v>300</v>
      </c>
      <c r="D1011" s="23">
        <f t="shared" ca="1" si="124"/>
        <v>21000</v>
      </c>
      <c r="E1011" s="23">
        <f t="shared" ca="1" si="125"/>
        <v>139</v>
      </c>
      <c r="F1011" s="23">
        <f t="shared" si="130"/>
        <v>168</v>
      </c>
      <c r="G1011" s="23">
        <f t="shared" ca="1" si="131"/>
        <v>139</v>
      </c>
      <c r="H1011" s="23">
        <f t="shared" ca="1" si="126"/>
        <v>439</v>
      </c>
      <c r="I1011" s="23">
        <f t="shared" ca="1" si="127"/>
        <v>26560</v>
      </c>
    </row>
    <row r="1012" spans="2:9">
      <c r="B1012" s="23">
        <f t="shared" ca="1" si="128"/>
        <v>364</v>
      </c>
      <c r="C1012" s="23">
        <f t="shared" ca="1" si="129"/>
        <v>300</v>
      </c>
      <c r="D1012" s="23">
        <f t="shared" ca="1" si="124"/>
        <v>21000</v>
      </c>
      <c r="E1012" s="23">
        <f t="shared" ca="1" si="125"/>
        <v>64</v>
      </c>
      <c r="F1012" s="23">
        <f t="shared" si="130"/>
        <v>168</v>
      </c>
      <c r="G1012" s="23">
        <f t="shared" ca="1" si="131"/>
        <v>64</v>
      </c>
      <c r="H1012" s="23">
        <f t="shared" ca="1" si="126"/>
        <v>364</v>
      </c>
      <c r="I1012" s="23">
        <f t="shared" ca="1" si="127"/>
        <v>23560</v>
      </c>
    </row>
    <row r="1013" spans="2:9">
      <c r="B1013" s="23">
        <f t="shared" ca="1" si="128"/>
        <v>282</v>
      </c>
      <c r="C1013" s="23">
        <f t="shared" ca="1" si="129"/>
        <v>282</v>
      </c>
      <c r="D1013" s="23">
        <f t="shared" ca="1" si="124"/>
        <v>18570</v>
      </c>
      <c r="E1013" s="23">
        <f t="shared" ca="1" si="125"/>
        <v>0</v>
      </c>
      <c r="F1013" s="23">
        <f t="shared" si="130"/>
        <v>168</v>
      </c>
      <c r="G1013" s="23">
        <f t="shared" ca="1" si="131"/>
        <v>0</v>
      </c>
      <c r="H1013" s="23">
        <f t="shared" ca="1" si="126"/>
        <v>282</v>
      </c>
      <c r="I1013" s="23">
        <f t="shared" ca="1" si="127"/>
        <v>18570</v>
      </c>
    </row>
    <row r="1014" spans="2:9">
      <c r="B1014" s="23">
        <f t="shared" ca="1" si="128"/>
        <v>248</v>
      </c>
      <c r="C1014" s="23">
        <f t="shared" ca="1" si="129"/>
        <v>248</v>
      </c>
      <c r="D1014" s="23">
        <f t="shared" ca="1" si="124"/>
        <v>13980</v>
      </c>
      <c r="E1014" s="23">
        <f t="shared" ca="1" si="125"/>
        <v>0</v>
      </c>
      <c r="F1014" s="23">
        <f t="shared" si="130"/>
        <v>168</v>
      </c>
      <c r="G1014" s="23">
        <f t="shared" ca="1" si="131"/>
        <v>0</v>
      </c>
      <c r="H1014" s="23">
        <f t="shared" ca="1" si="126"/>
        <v>248</v>
      </c>
      <c r="I1014" s="23">
        <f t="shared" ca="1" si="127"/>
        <v>13980</v>
      </c>
    </row>
    <row r="1015" spans="2:9">
      <c r="B1015" s="23">
        <f t="shared" ca="1" si="128"/>
        <v>422</v>
      </c>
      <c r="C1015" s="23">
        <f t="shared" ca="1" si="129"/>
        <v>300</v>
      </c>
      <c r="D1015" s="23">
        <f t="shared" ca="1" si="124"/>
        <v>21000</v>
      </c>
      <c r="E1015" s="23">
        <f t="shared" ca="1" si="125"/>
        <v>122</v>
      </c>
      <c r="F1015" s="23">
        <f t="shared" si="130"/>
        <v>168</v>
      </c>
      <c r="G1015" s="23">
        <f t="shared" ca="1" si="131"/>
        <v>122</v>
      </c>
      <c r="H1015" s="23">
        <f t="shared" ca="1" si="126"/>
        <v>422</v>
      </c>
      <c r="I1015" s="23">
        <f t="shared" ca="1" si="127"/>
        <v>25880</v>
      </c>
    </row>
    <row r="1016" spans="2:9">
      <c r="B1016" s="23">
        <f t="shared" ca="1" si="128"/>
        <v>362</v>
      </c>
      <c r="C1016" s="23">
        <f t="shared" ca="1" si="129"/>
        <v>300</v>
      </c>
      <c r="D1016" s="23">
        <f t="shared" ca="1" si="124"/>
        <v>21000</v>
      </c>
      <c r="E1016" s="23">
        <f t="shared" ca="1" si="125"/>
        <v>62</v>
      </c>
      <c r="F1016" s="23">
        <f t="shared" si="130"/>
        <v>168</v>
      </c>
      <c r="G1016" s="23">
        <f t="shared" ca="1" si="131"/>
        <v>62</v>
      </c>
      <c r="H1016" s="23">
        <f t="shared" ca="1" si="126"/>
        <v>362</v>
      </c>
      <c r="I1016" s="23">
        <f t="shared" ca="1" si="127"/>
        <v>23480</v>
      </c>
    </row>
  </sheetData>
  <phoneticPr fontId="3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7092-5C25-504B-B0A6-13E949618991}">
  <dimension ref="A1:Q39"/>
  <sheetViews>
    <sheetView topLeftCell="A20" zoomScale="187" workbookViewId="0">
      <selection activeCell="F31" sqref="F31"/>
    </sheetView>
  </sheetViews>
  <sheetFormatPr baseColWidth="10" defaultRowHeight="15"/>
  <cols>
    <col min="1" max="1" width="15" customWidth="1"/>
    <col min="2" max="2" width="15.5" customWidth="1"/>
    <col min="3" max="3" width="14.5" customWidth="1"/>
    <col min="4" max="4" width="14.83203125" customWidth="1"/>
    <col min="5" max="5" width="14.33203125" customWidth="1"/>
    <col min="6" max="6" width="15.83203125" customWidth="1"/>
    <col min="7" max="7" width="13" customWidth="1"/>
    <col min="8" max="8" width="16.6640625" customWidth="1"/>
    <col min="9" max="9" width="18" customWidth="1"/>
    <col min="10" max="10" width="17" customWidth="1"/>
    <col min="11" max="11" width="17.83203125" customWidth="1"/>
    <col min="12" max="12" width="16.1640625" customWidth="1"/>
    <col min="13" max="13" width="19.6640625" customWidth="1"/>
    <col min="14" max="14" width="16.33203125" customWidth="1"/>
  </cols>
  <sheetData>
    <row r="1" spans="1:16">
      <c r="H1" s="31" t="s">
        <v>0</v>
      </c>
      <c r="I1" s="31" t="s">
        <v>14</v>
      </c>
      <c r="J1" s="31" t="s">
        <v>86</v>
      </c>
      <c r="K1" s="32" t="s">
        <v>67</v>
      </c>
      <c r="L1" s="31" t="s">
        <v>46</v>
      </c>
      <c r="M1" s="31" t="s">
        <v>47</v>
      </c>
      <c r="N1" s="31" t="s">
        <v>49</v>
      </c>
      <c r="O1" s="31" t="s">
        <v>48</v>
      </c>
      <c r="P1" s="31" t="s">
        <v>50</v>
      </c>
    </row>
    <row r="2" spans="1:16">
      <c r="A2" s="10" t="s">
        <v>51</v>
      </c>
      <c r="B2" s="11">
        <v>95</v>
      </c>
      <c r="H2" s="23">
        <v>11</v>
      </c>
      <c r="I2" s="23">
        <f>Regression!B12</f>
        <v>14</v>
      </c>
      <c r="J2" s="23">
        <f>(LN(I2)-Regression!$B$26)/Regression!$B$27</f>
        <v>-0.63567925444130136</v>
      </c>
      <c r="K2" s="23">
        <v>0</v>
      </c>
      <c r="L2" s="23">
        <f>Regression!F12</f>
        <v>153</v>
      </c>
      <c r="M2" s="23">
        <f>Regression!$I$20+J2*Regression!$I$21+K2*Regression!$I$22</f>
        <v>213.05229141683495</v>
      </c>
      <c r="N2" s="23" cm="1">
        <f t="array" ref="N2:N14">TRANSPOSE('Task 5'!Q7:AC7)</f>
        <v>225</v>
      </c>
      <c r="O2" s="23">
        <f t="shared" ref="O2:O14" si="0">MIN(L2,N2)</f>
        <v>153</v>
      </c>
      <c r="P2" s="23">
        <f>$B$4*O2-$B$3*N2</f>
        <v>6030</v>
      </c>
    </row>
    <row r="3" spans="1:16">
      <c r="A3" s="10" t="s">
        <v>45</v>
      </c>
      <c r="B3" s="11">
        <v>65</v>
      </c>
      <c r="H3" s="23">
        <f>H2+1</f>
        <v>12</v>
      </c>
      <c r="I3" s="23">
        <f>Regression!B13</f>
        <v>16</v>
      </c>
      <c r="J3" s="23">
        <f>(LN(I3)-Regression!$B$26)/Regression!$B$27</f>
        <v>-0.2227167205803926</v>
      </c>
      <c r="K3" s="23">
        <v>0</v>
      </c>
      <c r="L3" s="23">
        <f>Regression!F13</f>
        <v>322</v>
      </c>
      <c r="M3" s="23">
        <f>Regression!$I$20+J3*Regression!$I$21+K3*Regression!$I$22</f>
        <v>238.42052061636642</v>
      </c>
      <c r="N3" s="23">
        <v>225</v>
      </c>
      <c r="O3" s="23">
        <f t="shared" si="0"/>
        <v>225</v>
      </c>
      <c r="P3" s="23">
        <f t="shared" ref="P3:P14" si="1">$B$4*O3-$B$3*N3</f>
        <v>15750</v>
      </c>
    </row>
    <row r="4" spans="1:16">
      <c r="A4" s="10" t="s">
        <v>40</v>
      </c>
      <c r="B4" s="11">
        <v>135</v>
      </c>
      <c r="H4" s="23">
        <f t="shared" ref="H4:H14" si="2">H3+1</f>
        <v>13</v>
      </c>
      <c r="I4" s="23">
        <f>Regression!B14</f>
        <v>26</v>
      </c>
      <c r="J4" s="23">
        <f>(LN(I4)-Regression!$B$26)/Regression!$B$27</f>
        <v>1.2787769272711149</v>
      </c>
      <c r="K4" s="23">
        <v>0</v>
      </c>
      <c r="L4" s="23">
        <f>Regression!F14</f>
        <v>298</v>
      </c>
      <c r="M4" s="23">
        <f>Regression!$I$20+J4*Regression!$I$21+K4*Regression!$I$22</f>
        <v>330.65705995619646</v>
      </c>
      <c r="N4" s="23">
        <v>325</v>
      </c>
      <c r="O4" s="23">
        <f t="shared" si="0"/>
        <v>298</v>
      </c>
      <c r="P4" s="23">
        <f t="shared" si="1"/>
        <v>19105</v>
      </c>
    </row>
    <row r="5" spans="1:16">
      <c r="H5" s="23">
        <f t="shared" si="2"/>
        <v>14</v>
      </c>
      <c r="I5" s="23">
        <f>Regression!B15</f>
        <v>16</v>
      </c>
      <c r="J5" s="23">
        <f>(LN(I5)-Regression!$B$26)/Regression!$B$27</f>
        <v>-0.2227167205803926</v>
      </c>
      <c r="K5" s="23">
        <v>0</v>
      </c>
      <c r="L5" s="23">
        <f>Regression!F15</f>
        <v>133</v>
      </c>
      <c r="M5" s="23">
        <f>Regression!$I$20+J5*Regression!$I$21+K5*Regression!$I$22</f>
        <v>238.42052061636642</v>
      </c>
      <c r="N5" s="23">
        <v>225</v>
      </c>
      <c r="O5" s="23">
        <f t="shared" si="0"/>
        <v>133</v>
      </c>
      <c r="P5" s="23">
        <f t="shared" si="1"/>
        <v>3330</v>
      </c>
    </row>
    <row r="6" spans="1:16">
      <c r="B6" s="19"/>
      <c r="H6" s="23">
        <f t="shared" si="2"/>
        <v>15</v>
      </c>
      <c r="I6" s="23">
        <f>Regression!B16</f>
        <v>18</v>
      </c>
      <c r="J6" s="23">
        <f>(LN(I6)-Regression!$B$26)/Regression!$B$27</f>
        <v>0.14154204954462757</v>
      </c>
      <c r="K6" s="23">
        <v>0</v>
      </c>
      <c r="L6" s="23">
        <f>Regression!F16</f>
        <v>192</v>
      </c>
      <c r="M6" s="23">
        <f>Regression!$I$20+J6*Regression!$I$21+K6*Regression!$I$22</f>
        <v>260.79688459805226</v>
      </c>
      <c r="N6" s="23">
        <v>275</v>
      </c>
      <c r="O6" s="23">
        <f t="shared" si="0"/>
        <v>192</v>
      </c>
      <c r="P6" s="23">
        <f t="shared" si="1"/>
        <v>8045</v>
      </c>
    </row>
    <row r="7" spans="1:16">
      <c r="A7" s="42" t="s">
        <v>0</v>
      </c>
      <c r="B7" s="42" t="s">
        <v>55</v>
      </c>
      <c r="C7" s="42" t="s">
        <v>56</v>
      </c>
      <c r="D7" s="42" t="s">
        <v>57</v>
      </c>
      <c r="H7" s="23">
        <f t="shared" si="2"/>
        <v>16</v>
      </c>
      <c r="I7" s="23">
        <f>Regression!B17</f>
        <v>14</v>
      </c>
      <c r="J7" s="23">
        <f>(LN(I7)-Regression!$B$26)/Regression!$B$27</f>
        <v>-0.63567925444130136</v>
      </c>
      <c r="K7" s="23">
        <v>0</v>
      </c>
      <c r="L7" s="23">
        <f>Regression!F17</f>
        <v>198</v>
      </c>
      <c r="M7" s="23">
        <f>Regression!$I$20+J7*Regression!$I$21+K7*Regression!$I$22</f>
        <v>213.05229141683495</v>
      </c>
      <c r="N7" s="23">
        <v>200</v>
      </c>
      <c r="O7" s="23">
        <f t="shared" si="0"/>
        <v>198</v>
      </c>
      <c r="P7" s="23">
        <f t="shared" si="1"/>
        <v>13730</v>
      </c>
    </row>
    <row r="8" spans="1:16">
      <c r="A8" s="23">
        <f>Regression!A12</f>
        <v>11</v>
      </c>
      <c r="B8" s="23">
        <f>P2</f>
        <v>6030</v>
      </c>
      <c r="C8" s="23">
        <f>Q19</f>
        <v>12250</v>
      </c>
      <c r="D8" s="23">
        <f>C8-B8</f>
        <v>6220</v>
      </c>
      <c r="H8" s="23">
        <f t="shared" si="2"/>
        <v>17</v>
      </c>
      <c r="I8" s="23">
        <f>Regression!B18</f>
        <v>36</v>
      </c>
      <c r="J8" s="23">
        <f>(LN(I8)-Regression!$B$26)/Regression!$B$27</f>
        <v>2.2851864046025399</v>
      </c>
      <c r="K8" s="23">
        <v>1</v>
      </c>
      <c r="L8" s="23">
        <f>Regression!F18</f>
        <v>991</v>
      </c>
      <c r="M8" s="23">
        <f>Regression!$I$20+J8*Regression!$I$21+K8*Regression!$I$22</f>
        <v>1047.6988275742237</v>
      </c>
      <c r="N8" s="23">
        <v>1050</v>
      </c>
      <c r="O8" s="23">
        <f t="shared" si="0"/>
        <v>991</v>
      </c>
      <c r="P8" s="23">
        <f t="shared" si="1"/>
        <v>65535</v>
      </c>
    </row>
    <row r="9" spans="1:16">
      <c r="A9" s="23">
        <f>Regression!A13</f>
        <v>12</v>
      </c>
      <c r="B9" s="23">
        <f>P3</f>
        <v>15750</v>
      </c>
      <c r="C9" s="23">
        <f>Q20</f>
        <v>19630</v>
      </c>
      <c r="D9" s="23">
        <f t="shared" ref="D9:D20" si="3">C9-B9</f>
        <v>3880</v>
      </c>
      <c r="H9" s="23">
        <f>H8+1</f>
        <v>18</v>
      </c>
      <c r="I9" s="23">
        <f>Regression!B19</f>
        <v>35</v>
      </c>
      <c r="J9" s="23">
        <f>(LN(I9)-Regression!$B$26)/Regression!$B$27</f>
        <v>2.1980644439564525</v>
      </c>
      <c r="K9" s="23">
        <v>1</v>
      </c>
      <c r="L9" s="23">
        <f>Regression!F19</f>
        <v>1244</v>
      </c>
      <c r="M9" s="23">
        <f>Regression!$I$20+J9*Regression!$I$21+K9*Regression!$I$22</f>
        <v>1042.3469380327697</v>
      </c>
      <c r="N9" s="23">
        <v>1050</v>
      </c>
      <c r="O9" s="23">
        <f t="shared" si="0"/>
        <v>1050</v>
      </c>
      <c r="P9" s="23">
        <f t="shared" si="1"/>
        <v>73500</v>
      </c>
    </row>
    <row r="10" spans="1:16">
      <c r="A10" s="23">
        <f>Regression!A14</f>
        <v>13</v>
      </c>
      <c r="B10" s="23">
        <f>P4</f>
        <v>19105</v>
      </c>
      <c r="C10" s="23">
        <f>Q21</f>
        <v>21000</v>
      </c>
      <c r="D10" s="23">
        <f t="shared" si="3"/>
        <v>1895</v>
      </c>
      <c r="H10" s="23">
        <f t="shared" si="2"/>
        <v>19</v>
      </c>
      <c r="I10" s="23">
        <f>Regression!B20</f>
        <v>28</v>
      </c>
      <c r="J10" s="23">
        <f>(LN(I10)-Regression!$B$26)/Regression!$B$27</f>
        <v>1.5079651006166108</v>
      </c>
      <c r="K10" s="23">
        <v>1</v>
      </c>
      <c r="L10" s="23">
        <f>Regression!F20</f>
        <v>855</v>
      </c>
      <c r="M10" s="23">
        <f>Regression!$I$20+J10*Regression!$I$21+K10*Regression!$I$22</f>
        <v>999.95423439300635</v>
      </c>
      <c r="N10" s="23">
        <v>1025</v>
      </c>
      <c r="O10" s="23">
        <f t="shared" si="0"/>
        <v>855</v>
      </c>
      <c r="P10" s="23">
        <f t="shared" si="1"/>
        <v>48800</v>
      </c>
    </row>
    <row r="11" spans="1:16">
      <c r="A11" s="23">
        <f>Regression!A15</f>
        <v>14</v>
      </c>
      <c r="B11" s="23">
        <f>P5</f>
        <v>3330</v>
      </c>
      <c r="C11" s="23">
        <f>Q22</f>
        <v>14000</v>
      </c>
      <c r="D11" s="23">
        <f t="shared" si="3"/>
        <v>10670</v>
      </c>
      <c r="H11" s="23">
        <f t="shared" si="2"/>
        <v>20</v>
      </c>
      <c r="I11" s="23">
        <f>Regression!B21</f>
        <v>17</v>
      </c>
      <c r="J11" s="23">
        <f>(LN(I11)-Regression!$B$26)/Regression!$B$27</f>
        <v>-3.5227494656775708E-2</v>
      </c>
      <c r="K11" s="23">
        <v>0</v>
      </c>
      <c r="L11" s="23">
        <f>Regression!F21</f>
        <v>291</v>
      </c>
      <c r="M11" s="23">
        <f>Regression!$I$20+J11*Regression!$I$21+K11*Regression!$I$22</f>
        <v>249.93795686222938</v>
      </c>
      <c r="N11" s="23">
        <v>225</v>
      </c>
      <c r="O11" s="23">
        <f t="shared" si="0"/>
        <v>225</v>
      </c>
      <c r="P11" s="23">
        <f t="shared" si="1"/>
        <v>15750</v>
      </c>
    </row>
    <row r="12" spans="1:16">
      <c r="A12" s="23">
        <f>Regression!A16</f>
        <v>15</v>
      </c>
      <c r="B12" s="23">
        <f>P6</f>
        <v>8045</v>
      </c>
      <c r="C12" s="23">
        <f>Q23</f>
        <v>15750</v>
      </c>
      <c r="D12" s="23">
        <f t="shared" si="3"/>
        <v>7705</v>
      </c>
      <c r="H12" s="23">
        <f>H11+1</f>
        <v>21</v>
      </c>
      <c r="I12" s="23">
        <f>Regression!B22</f>
        <v>11</v>
      </c>
      <c r="J12" s="23">
        <f>(LN(I12)-Regression!$B$26)/Regression!$B$27</f>
        <v>-1.3815030798113421</v>
      </c>
      <c r="K12" s="23">
        <v>0</v>
      </c>
      <c r="L12" s="23">
        <f>Regression!F22</f>
        <v>143</v>
      </c>
      <c r="M12" s="23">
        <f>Regression!$I$20+J12*Regression!$I$21+K12*Regression!$I$22</f>
        <v>167.23644084180168</v>
      </c>
      <c r="N12" s="23">
        <v>175</v>
      </c>
      <c r="O12" s="23">
        <f t="shared" si="0"/>
        <v>143</v>
      </c>
      <c r="P12" s="23">
        <f t="shared" si="1"/>
        <v>7930</v>
      </c>
    </row>
    <row r="13" spans="1:16">
      <c r="A13" s="23">
        <f>Regression!A17</f>
        <v>16</v>
      </c>
      <c r="B13" s="23">
        <f>P7</f>
        <v>13730</v>
      </c>
      <c r="C13" s="23">
        <f>Q24</f>
        <v>12420</v>
      </c>
      <c r="D13" s="23">
        <f t="shared" si="3"/>
        <v>-1310</v>
      </c>
      <c r="H13" s="23">
        <f t="shared" si="2"/>
        <v>22</v>
      </c>
      <c r="I13" s="23">
        <f>Regression!B23</f>
        <v>14</v>
      </c>
      <c r="J13" s="23">
        <f>(LN(I13)-Regression!$B$26)/Regression!$B$27</f>
        <v>-0.63567925444130136</v>
      </c>
      <c r="K13" s="23">
        <v>0</v>
      </c>
      <c r="L13" s="23">
        <f>Regression!F23</f>
        <v>253</v>
      </c>
      <c r="M13" s="23">
        <f>Regression!$I$20+J13*Regression!$I$21+K13*Regression!$I$22</f>
        <v>213.05229141683495</v>
      </c>
      <c r="N13" s="23">
        <v>225</v>
      </c>
      <c r="O13" s="23">
        <f t="shared" si="0"/>
        <v>225</v>
      </c>
      <c r="P13" s="23">
        <f t="shared" si="1"/>
        <v>15750</v>
      </c>
    </row>
    <row r="14" spans="1:16">
      <c r="A14" s="23">
        <f>Regression!A18</f>
        <v>17</v>
      </c>
      <c r="B14" s="23">
        <f>P8</f>
        <v>65535</v>
      </c>
      <c r="C14" s="23">
        <f>Q25</f>
        <v>70000</v>
      </c>
      <c r="D14" s="23">
        <f t="shared" si="3"/>
        <v>4465</v>
      </c>
      <c r="H14" s="23">
        <f t="shared" si="2"/>
        <v>23</v>
      </c>
      <c r="I14" s="23">
        <f>Regression!B24</f>
        <v>13</v>
      </c>
      <c r="J14" s="23">
        <f>(LN(I14)-Regression!$B$26)/Regression!$B$27</f>
        <v>-0.86486742778679715</v>
      </c>
      <c r="K14" s="23">
        <v>0</v>
      </c>
      <c r="L14" s="23">
        <f>Regression!F24</f>
        <v>385</v>
      </c>
      <c r="M14" s="23">
        <f>Regression!$I$20+J14*Regression!$I$21+K14*Regression!$I$22</f>
        <v>198.97329481418251</v>
      </c>
      <c r="N14" s="23">
        <v>175</v>
      </c>
      <c r="O14" s="23">
        <f t="shared" si="0"/>
        <v>175</v>
      </c>
      <c r="P14" s="23">
        <f t="shared" si="1"/>
        <v>12250</v>
      </c>
    </row>
    <row r="15" spans="1:16">
      <c r="A15" s="23">
        <f>Regression!A19</f>
        <v>18</v>
      </c>
      <c r="B15" s="23">
        <f>P9</f>
        <v>73500</v>
      </c>
      <c r="C15" s="23">
        <f>Q26</f>
        <v>80510</v>
      </c>
      <c r="D15" s="23">
        <f t="shared" si="3"/>
        <v>7010</v>
      </c>
      <c r="P15" s="20">
        <f>SUM(P2:P14)</f>
        <v>305505</v>
      </c>
    </row>
    <row r="16" spans="1:16">
      <c r="A16" s="23">
        <f>Regression!A20</f>
        <v>19</v>
      </c>
      <c r="B16" s="23">
        <f>P10</f>
        <v>48800</v>
      </c>
      <c r="C16" s="23">
        <f>Q27</f>
        <v>68250</v>
      </c>
      <c r="D16" s="23">
        <f t="shared" si="3"/>
        <v>19450</v>
      </c>
    </row>
    <row r="17" spans="1:17">
      <c r="A17" s="23">
        <f>Regression!A21</f>
        <v>20</v>
      </c>
      <c r="B17" s="23">
        <f>P11</f>
        <v>15750</v>
      </c>
      <c r="C17" s="23">
        <f>Q28</f>
        <v>19140</v>
      </c>
      <c r="D17" s="23">
        <f t="shared" si="3"/>
        <v>3390</v>
      </c>
    </row>
    <row r="18" spans="1:17">
      <c r="A18" s="23">
        <f>Regression!A22</f>
        <v>21</v>
      </c>
      <c r="B18" s="23">
        <f>P12</f>
        <v>7930</v>
      </c>
      <c r="C18" s="23">
        <f>Q29</f>
        <v>9470</v>
      </c>
      <c r="D18" s="23">
        <f t="shared" si="3"/>
        <v>1540</v>
      </c>
      <c r="H18" s="41" t="s">
        <v>0</v>
      </c>
      <c r="I18" s="41" t="s">
        <v>14</v>
      </c>
      <c r="J18" s="41" t="s">
        <v>46</v>
      </c>
      <c r="K18" s="41" t="s">
        <v>47</v>
      </c>
      <c r="L18" s="41" t="s">
        <v>49</v>
      </c>
      <c r="M18" s="41" t="s">
        <v>52</v>
      </c>
      <c r="N18" s="41" t="s">
        <v>53</v>
      </c>
      <c r="O18" s="41" t="s">
        <v>54</v>
      </c>
      <c r="P18" s="41" t="s">
        <v>48</v>
      </c>
      <c r="Q18" s="41" t="s">
        <v>50</v>
      </c>
    </row>
    <row r="19" spans="1:17">
      <c r="A19" s="23">
        <f>Regression!A23</f>
        <v>22</v>
      </c>
      <c r="B19" s="23">
        <f>P13</f>
        <v>15750</v>
      </c>
      <c r="C19" s="23">
        <f>Q30</f>
        <v>15370</v>
      </c>
      <c r="D19" s="23">
        <f t="shared" si="3"/>
        <v>-380</v>
      </c>
      <c r="H19" s="23">
        <v>11</v>
      </c>
      <c r="I19" s="23">
        <f>Regression!B12</f>
        <v>14</v>
      </c>
      <c r="J19" s="23">
        <f>Regression!F12</f>
        <v>153</v>
      </c>
      <c r="K19" s="23">
        <f>Regression!$I$20+J2*Regression!$I$21+K2*Regression!$I$22</f>
        <v>213.05229141683495</v>
      </c>
      <c r="L19" s="23" cm="1">
        <f t="array" ref="L19:L31">TRANSPOSE('Task 5'!AH7:AT7)</f>
        <v>175</v>
      </c>
      <c r="M19" s="23">
        <f>12 * (I19 - 7)</f>
        <v>84</v>
      </c>
      <c r="N19" s="23">
        <f>IF(J19&gt;L19,J19-L19,0)</f>
        <v>0</v>
      </c>
      <c r="O19" s="23">
        <f>MIN(M19,N19)</f>
        <v>0</v>
      </c>
      <c r="P19" s="23">
        <f>L19+O19</f>
        <v>175</v>
      </c>
      <c r="Q19" s="23">
        <f>$B$4*P19-$B$3*L19-$B$2*O19</f>
        <v>12250</v>
      </c>
    </row>
    <row r="20" spans="1:17">
      <c r="A20" s="23">
        <f>Regression!A24</f>
        <v>23</v>
      </c>
      <c r="B20" s="23">
        <f>P14</f>
        <v>12250</v>
      </c>
      <c r="C20" s="23">
        <f>Q31</f>
        <v>15130</v>
      </c>
      <c r="D20" s="23">
        <f t="shared" si="3"/>
        <v>2880</v>
      </c>
      <c r="H20" s="23">
        <f t="shared" ref="H20:H31" si="4">H19+1</f>
        <v>12</v>
      </c>
      <c r="I20" s="23">
        <f>Regression!B13</f>
        <v>16</v>
      </c>
      <c r="J20" s="23">
        <f>Regression!F13</f>
        <v>322</v>
      </c>
      <c r="K20" s="23">
        <f>Regression!$I$20+J3*Regression!$I$21+K3*Regression!$I$22</f>
        <v>238.42052061636642</v>
      </c>
      <c r="L20" s="23">
        <v>225</v>
      </c>
      <c r="M20" s="23">
        <f>12 * (I20 - 7)</f>
        <v>108</v>
      </c>
      <c r="N20" s="23">
        <f t="shared" ref="N20:N31" si="5">IF(J20&gt;L20,J20-L20,0)</f>
        <v>97</v>
      </c>
      <c r="O20" s="23">
        <f t="shared" ref="O20:O31" si="6">MIN(M20,N20)</f>
        <v>97</v>
      </c>
      <c r="P20" s="23">
        <f t="shared" ref="P20:P31" si="7">L20+O20</f>
        <v>322</v>
      </c>
      <c r="Q20" s="23">
        <f t="shared" ref="Q20:Q31" si="8">$B$4*P20-$B$3*L20-$B$2*O20</f>
        <v>19630</v>
      </c>
    </row>
    <row r="21" spans="1:17">
      <c r="H21" s="23">
        <f t="shared" si="4"/>
        <v>13</v>
      </c>
      <c r="I21" s="23">
        <f>Regression!B14</f>
        <v>26</v>
      </c>
      <c r="J21" s="23">
        <f>Regression!F14</f>
        <v>298</v>
      </c>
      <c r="K21" s="23">
        <f>Regression!$I$20+J4*Regression!$I$21+K4*Regression!$I$22</f>
        <v>330.65705995619646</v>
      </c>
      <c r="L21" s="23">
        <v>300</v>
      </c>
      <c r="M21" s="23">
        <f t="shared" ref="M21:M31" si="9">12 * (I21 - 7)</f>
        <v>228</v>
      </c>
      <c r="N21" s="23">
        <f t="shared" si="5"/>
        <v>0</v>
      </c>
      <c r="O21" s="23">
        <f t="shared" si="6"/>
        <v>0</v>
      </c>
      <c r="P21" s="23">
        <f t="shared" si="7"/>
        <v>300</v>
      </c>
      <c r="Q21" s="23">
        <f t="shared" si="8"/>
        <v>21000</v>
      </c>
    </row>
    <row r="22" spans="1:17">
      <c r="A22" s="21" t="s">
        <v>25</v>
      </c>
      <c r="B22" s="21">
        <f>SUM(B8:B20)</f>
        <v>305505</v>
      </c>
      <c r="C22" s="21">
        <f>SUM(C8:C20)</f>
        <v>372920</v>
      </c>
      <c r="D22" s="21">
        <f>SUM(D8:D20)</f>
        <v>67415</v>
      </c>
      <c r="H22" s="23">
        <f t="shared" si="4"/>
        <v>14</v>
      </c>
      <c r="I22" s="23">
        <f>Regression!B15</f>
        <v>16</v>
      </c>
      <c r="J22" s="23">
        <f>Regression!F15</f>
        <v>133</v>
      </c>
      <c r="K22" s="23">
        <f>Regression!$I$20+J5*Regression!$I$21+K5*Regression!$I$22</f>
        <v>238.42052061636642</v>
      </c>
      <c r="L22" s="23">
        <v>200</v>
      </c>
      <c r="M22" s="23">
        <f t="shared" si="9"/>
        <v>108</v>
      </c>
      <c r="N22" s="23">
        <f t="shared" si="5"/>
        <v>0</v>
      </c>
      <c r="O22" s="23">
        <f t="shared" si="6"/>
        <v>0</v>
      </c>
      <c r="P22" s="23">
        <f t="shared" si="7"/>
        <v>200</v>
      </c>
      <c r="Q22" s="23">
        <f t="shared" si="8"/>
        <v>14000</v>
      </c>
    </row>
    <row r="23" spans="1:17">
      <c r="H23" s="23">
        <f t="shared" si="4"/>
        <v>15</v>
      </c>
      <c r="I23" s="23">
        <f>Regression!B16</f>
        <v>18</v>
      </c>
      <c r="J23" s="23">
        <f>Regression!F16</f>
        <v>192</v>
      </c>
      <c r="K23" s="23">
        <f>Regression!$I$20+J6*Regression!$I$21+K6*Regression!$I$22</f>
        <v>260.79688459805226</v>
      </c>
      <c r="L23" s="23">
        <v>225</v>
      </c>
      <c r="M23" s="23">
        <f t="shared" si="9"/>
        <v>132</v>
      </c>
      <c r="N23" s="23">
        <f t="shared" si="5"/>
        <v>0</v>
      </c>
      <c r="O23" s="23">
        <f t="shared" si="6"/>
        <v>0</v>
      </c>
      <c r="P23" s="23">
        <f t="shared" si="7"/>
        <v>225</v>
      </c>
      <c r="Q23" s="23">
        <f t="shared" si="8"/>
        <v>15750</v>
      </c>
    </row>
    <row r="24" spans="1:17">
      <c r="H24" s="23">
        <f t="shared" si="4"/>
        <v>16</v>
      </c>
      <c r="I24" s="23">
        <f>Regression!B17</f>
        <v>14</v>
      </c>
      <c r="J24" s="23">
        <f>Regression!F17</f>
        <v>198</v>
      </c>
      <c r="K24" s="23">
        <f>Regression!$I$20+J7*Regression!$I$21+K7*Regression!$I$22</f>
        <v>213.05229141683495</v>
      </c>
      <c r="L24" s="23">
        <v>150</v>
      </c>
      <c r="M24" s="23">
        <f t="shared" si="9"/>
        <v>84</v>
      </c>
      <c r="N24" s="23">
        <f t="shared" si="5"/>
        <v>48</v>
      </c>
      <c r="O24" s="23">
        <f t="shared" si="6"/>
        <v>48</v>
      </c>
      <c r="P24" s="23">
        <f t="shared" si="7"/>
        <v>198</v>
      </c>
      <c r="Q24" s="23">
        <f t="shared" si="8"/>
        <v>12420</v>
      </c>
    </row>
    <row r="25" spans="1:17">
      <c r="A25" s="10" t="s">
        <v>150</v>
      </c>
      <c r="B25" s="11" t="s">
        <v>147</v>
      </c>
      <c r="C25" s="11" t="s">
        <v>148</v>
      </c>
      <c r="D25" s="11" t="s">
        <v>149</v>
      </c>
      <c r="E25" s="11" t="s">
        <v>151</v>
      </c>
      <c r="H25" s="23">
        <f t="shared" si="4"/>
        <v>17</v>
      </c>
      <c r="I25" s="23">
        <f>Regression!B18</f>
        <v>36</v>
      </c>
      <c r="J25" s="23">
        <f>Regression!F18</f>
        <v>991</v>
      </c>
      <c r="K25" s="23">
        <f>Regression!$I$20+J8*Regression!$I$21+K8*Regression!$I$22</f>
        <v>1047.6988275742237</v>
      </c>
      <c r="L25" s="23">
        <v>1000</v>
      </c>
      <c r="M25" s="23">
        <f t="shared" si="9"/>
        <v>348</v>
      </c>
      <c r="N25" s="23">
        <f t="shared" si="5"/>
        <v>0</v>
      </c>
      <c r="O25" s="23">
        <f t="shared" si="6"/>
        <v>0</v>
      </c>
      <c r="P25" s="23">
        <f t="shared" si="7"/>
        <v>1000</v>
      </c>
      <c r="Q25" s="23">
        <f t="shared" si="8"/>
        <v>70000</v>
      </c>
    </row>
    <row r="26" spans="1:17">
      <c r="A26" s="23" t="s">
        <v>89</v>
      </c>
      <c r="B26" s="23">
        <f>B8</f>
        <v>6030</v>
      </c>
      <c r="C26" s="23">
        <f>C8</f>
        <v>12250</v>
      </c>
      <c r="D26" s="23">
        <f>'Task 9'!P9</f>
        <v>6030</v>
      </c>
      <c r="E26" s="23" t="str">
        <f>_xlfn.XLOOKUP(MAX(B26:D26),B26:D26,$B$25:$D$25,0,0,1)</f>
        <v>Near Sourcing</v>
      </c>
      <c r="H26" s="23">
        <f t="shared" si="4"/>
        <v>18</v>
      </c>
      <c r="I26" s="23">
        <f>Regression!B19</f>
        <v>35</v>
      </c>
      <c r="J26" s="23">
        <f>Regression!F19</f>
        <v>1244</v>
      </c>
      <c r="K26" s="23">
        <f>Regression!$I$20+J9*Regression!$I$21+K9*Regression!$I$22</f>
        <v>1042.3469380327697</v>
      </c>
      <c r="L26" s="23">
        <v>1025</v>
      </c>
      <c r="M26" s="23">
        <f t="shared" si="9"/>
        <v>336</v>
      </c>
      <c r="N26" s="23">
        <f t="shared" si="5"/>
        <v>219</v>
      </c>
      <c r="O26" s="23">
        <f>MIN(M26,N26)</f>
        <v>219</v>
      </c>
      <c r="P26" s="23">
        <f t="shared" si="7"/>
        <v>1244</v>
      </c>
      <c r="Q26" s="23">
        <f t="shared" si="8"/>
        <v>80510</v>
      </c>
    </row>
    <row r="27" spans="1:17">
      <c r="A27" s="23" t="s">
        <v>90</v>
      </c>
      <c r="B27" s="23">
        <f>B9</f>
        <v>15750</v>
      </c>
      <c r="C27" s="23">
        <f>C9</f>
        <v>19630</v>
      </c>
      <c r="D27" s="23">
        <f>'Task 9'!P10</f>
        <v>15960</v>
      </c>
      <c r="E27" s="23" t="str">
        <f>_xlfn.XLOOKUP(MAX(B27:D27),B27:D27,$B$25:$D$25,0,0,1)</f>
        <v>Near Sourcing</v>
      </c>
      <c r="H27" s="23">
        <f t="shared" si="4"/>
        <v>19</v>
      </c>
      <c r="I27" s="23">
        <f>Regression!B20</f>
        <v>28</v>
      </c>
      <c r="J27" s="23">
        <f>Regression!F20</f>
        <v>855</v>
      </c>
      <c r="K27" s="23">
        <f>Regression!$I$20+J10*Regression!$I$21+K10*Regression!$I$22</f>
        <v>999.95423439300635</v>
      </c>
      <c r="L27" s="23">
        <v>975</v>
      </c>
      <c r="M27" s="23">
        <f t="shared" si="9"/>
        <v>252</v>
      </c>
      <c r="N27" s="23">
        <f t="shared" si="5"/>
        <v>0</v>
      </c>
      <c r="O27" s="23">
        <f>MIN(M27,N27)</f>
        <v>0</v>
      </c>
      <c r="P27" s="23">
        <f t="shared" si="7"/>
        <v>975</v>
      </c>
      <c r="Q27" s="23">
        <f t="shared" si="8"/>
        <v>68250</v>
      </c>
    </row>
    <row r="28" spans="1:17">
      <c r="A28" s="23" t="s">
        <v>91</v>
      </c>
      <c r="B28" s="23">
        <f>B10</f>
        <v>19105</v>
      </c>
      <c r="C28" s="23">
        <f>C10</f>
        <v>21000</v>
      </c>
      <c r="D28" s="23">
        <f>'Task 9'!P11</f>
        <v>18330</v>
      </c>
      <c r="E28" s="23" t="str">
        <f>_xlfn.XLOOKUP(MAX(B28:D28),B28:D28,$B$25:$D$25,0,0,1)</f>
        <v>Near Sourcing</v>
      </c>
      <c r="H28" s="23">
        <f t="shared" si="4"/>
        <v>20</v>
      </c>
      <c r="I28" s="23">
        <f>Regression!B21</f>
        <v>17</v>
      </c>
      <c r="J28" s="23">
        <f>Regression!F21</f>
        <v>291</v>
      </c>
      <c r="K28" s="23">
        <f>Regression!$I$20+J11*Regression!$I$21+K11*Regression!$I$22</f>
        <v>249.93795686222938</v>
      </c>
      <c r="L28" s="23">
        <v>250</v>
      </c>
      <c r="M28" s="23">
        <f t="shared" si="9"/>
        <v>120</v>
      </c>
      <c r="N28" s="23">
        <f t="shared" si="5"/>
        <v>41</v>
      </c>
      <c r="O28" s="23">
        <f t="shared" si="6"/>
        <v>41</v>
      </c>
      <c r="P28" s="23">
        <f t="shared" si="7"/>
        <v>291</v>
      </c>
      <c r="Q28" s="23">
        <f t="shared" si="8"/>
        <v>19140</v>
      </c>
    </row>
    <row r="29" spans="1:17">
      <c r="A29" s="23" t="s">
        <v>92</v>
      </c>
      <c r="B29" s="23">
        <f>B11</f>
        <v>3330</v>
      </c>
      <c r="C29" s="23">
        <f>C11</f>
        <v>14000</v>
      </c>
      <c r="D29" s="23">
        <f>'Task 9'!P12</f>
        <v>1705</v>
      </c>
      <c r="E29" s="23" t="str">
        <f>_xlfn.XLOOKUP(MAX(B29:D29),B29:D29,$B$25:$D$25,0,0,1)</f>
        <v>Near Sourcing</v>
      </c>
      <c r="H29" s="23">
        <f t="shared" si="4"/>
        <v>21</v>
      </c>
      <c r="I29" s="23">
        <f>Regression!B22</f>
        <v>11</v>
      </c>
      <c r="J29" s="23">
        <f>Regression!F22</f>
        <v>143</v>
      </c>
      <c r="K29" s="23">
        <f>Regression!$I$20+J12*Regression!$I$21+K12*Regression!$I$22</f>
        <v>167.23644084180168</v>
      </c>
      <c r="L29" s="23">
        <v>125</v>
      </c>
      <c r="M29" s="23">
        <f t="shared" si="9"/>
        <v>48</v>
      </c>
      <c r="N29" s="23">
        <f t="shared" si="5"/>
        <v>18</v>
      </c>
      <c r="O29" s="23">
        <f t="shared" si="6"/>
        <v>18</v>
      </c>
      <c r="P29" s="23">
        <f t="shared" si="7"/>
        <v>143</v>
      </c>
      <c r="Q29" s="23">
        <f t="shared" si="8"/>
        <v>9470</v>
      </c>
    </row>
    <row r="30" spans="1:17">
      <c r="A30" s="23" t="s">
        <v>93</v>
      </c>
      <c r="B30" s="23">
        <f>B12</f>
        <v>8045</v>
      </c>
      <c r="C30" s="23">
        <f>C12</f>
        <v>15750</v>
      </c>
      <c r="D30" s="23">
        <f>'Task 9'!P13</f>
        <v>9800</v>
      </c>
      <c r="E30" s="23" t="str">
        <f>_xlfn.XLOOKUP(MAX(B30:D30),B30:D30,$B$25:$D$25,0,0,1)</f>
        <v>Near Sourcing</v>
      </c>
      <c r="H30" s="23">
        <f t="shared" si="4"/>
        <v>22</v>
      </c>
      <c r="I30" s="23">
        <f>Regression!B23</f>
        <v>14</v>
      </c>
      <c r="J30" s="23">
        <f>Regression!F23</f>
        <v>253</v>
      </c>
      <c r="K30" s="23">
        <f>Regression!$I$20+J13*Regression!$I$21+K13*Regression!$I$22</f>
        <v>213.05229141683495</v>
      </c>
      <c r="L30" s="23">
        <v>175</v>
      </c>
      <c r="M30" s="23">
        <f t="shared" si="9"/>
        <v>84</v>
      </c>
      <c r="N30" s="23">
        <f t="shared" si="5"/>
        <v>78</v>
      </c>
      <c r="O30" s="23">
        <f t="shared" si="6"/>
        <v>78</v>
      </c>
      <c r="P30" s="23">
        <f t="shared" si="7"/>
        <v>253</v>
      </c>
      <c r="Q30" s="23">
        <f t="shared" si="8"/>
        <v>15370</v>
      </c>
    </row>
    <row r="31" spans="1:17">
      <c r="A31" s="23" t="s">
        <v>94</v>
      </c>
      <c r="B31" s="23">
        <f>B13</f>
        <v>13730</v>
      </c>
      <c r="C31" s="23">
        <f>C13</f>
        <v>12420</v>
      </c>
      <c r="D31" s="23">
        <f>'Task 9'!P14</f>
        <v>13730</v>
      </c>
      <c r="E31" s="23" t="str">
        <f>_xlfn.XLOOKUP(MAX(B31:D31),B31:D31,$B$25:$D$25,0,0,1)</f>
        <v>Outsourcing</v>
      </c>
      <c r="H31" s="23">
        <f t="shared" si="4"/>
        <v>23</v>
      </c>
      <c r="I31" s="23">
        <f>Regression!B24</f>
        <v>13</v>
      </c>
      <c r="J31" s="23">
        <f>Regression!F24</f>
        <v>385</v>
      </c>
      <c r="K31" s="23">
        <f>Regression!$I$20+J14*Regression!$I$21+K14*Regression!$I$22</f>
        <v>198.97329481418251</v>
      </c>
      <c r="L31" s="23">
        <v>175</v>
      </c>
      <c r="M31" s="23">
        <f t="shared" si="9"/>
        <v>72</v>
      </c>
      <c r="N31" s="23">
        <f t="shared" si="5"/>
        <v>210</v>
      </c>
      <c r="O31" s="23">
        <f t="shared" si="6"/>
        <v>72</v>
      </c>
      <c r="P31" s="23">
        <f t="shared" si="7"/>
        <v>247</v>
      </c>
      <c r="Q31" s="23">
        <f t="shared" si="8"/>
        <v>15130</v>
      </c>
    </row>
    <row r="32" spans="1:17">
      <c r="A32" s="23" t="s">
        <v>95</v>
      </c>
      <c r="B32" s="23">
        <f>B14</f>
        <v>65535</v>
      </c>
      <c r="C32" s="23">
        <f>C14</f>
        <v>70000</v>
      </c>
      <c r="D32" s="23">
        <f>'Task 9'!P15</f>
        <v>69240</v>
      </c>
      <c r="E32" s="23" t="str">
        <f>_xlfn.XLOOKUP(MAX(B32:D32),B32:D32,$B$25:$D$25,0,0,1)</f>
        <v>Near Sourcing</v>
      </c>
      <c r="Q32" s="20">
        <f>SUM(Q19:Q31)</f>
        <v>372920</v>
      </c>
    </row>
    <row r="33" spans="1:17">
      <c r="A33" s="23" t="s">
        <v>96</v>
      </c>
      <c r="B33" s="23">
        <f>B15</f>
        <v>73500</v>
      </c>
      <c r="C33" s="23">
        <f>C15</f>
        <v>80510</v>
      </c>
      <c r="D33" s="23">
        <f>'Task 9'!P16</f>
        <v>72100</v>
      </c>
      <c r="E33" s="23" t="str">
        <f>_xlfn.XLOOKUP(MAX(B33:D33),B33:D33,$B$25:$D$25,0,0,1)</f>
        <v>Near Sourcing</v>
      </c>
      <c r="L33" s="22"/>
      <c r="M33" s="22"/>
      <c r="N33" s="22"/>
      <c r="Q33" s="22"/>
    </row>
    <row r="34" spans="1:17">
      <c r="A34" s="23" t="s">
        <v>97</v>
      </c>
      <c r="B34" s="23">
        <f>B16</f>
        <v>48800</v>
      </c>
      <c r="C34" s="23">
        <f>C16</f>
        <v>68250</v>
      </c>
      <c r="D34" s="23">
        <f>'Task 9'!P17</f>
        <v>47370</v>
      </c>
      <c r="E34" s="23" t="str">
        <f>_xlfn.XLOOKUP(MAX(B34:D34),B34:D34,$B$25:$D$25,0,0,1)</f>
        <v>Near Sourcing</v>
      </c>
    </row>
    <row r="35" spans="1:17">
      <c r="A35" s="23" t="s">
        <v>98</v>
      </c>
      <c r="B35" s="23">
        <f>B17</f>
        <v>15750</v>
      </c>
      <c r="C35" s="23">
        <f>C17</f>
        <v>19140</v>
      </c>
      <c r="D35" s="23">
        <f>'Task 9'!P18</f>
        <v>17190</v>
      </c>
      <c r="E35" s="23" t="str">
        <f>_xlfn.XLOOKUP(MAX(B35:D35),B35:D35,$B$25:$D$25,0,0,1)</f>
        <v>Near Sourcing</v>
      </c>
    </row>
    <row r="36" spans="1:17">
      <c r="A36" s="23" t="s">
        <v>99</v>
      </c>
      <c r="B36" s="23">
        <f>B18</f>
        <v>7930</v>
      </c>
      <c r="C36" s="23">
        <f>C18</f>
        <v>9470</v>
      </c>
      <c r="D36" s="23">
        <f>'Task 9'!P19</f>
        <v>9555</v>
      </c>
      <c r="E36" s="23" t="str">
        <f>_xlfn.XLOOKUP(MAX(B36:D36),B36:D36,$B$25:$D$25,0,0,1)</f>
        <v>Flexibility</v>
      </c>
    </row>
    <row r="37" spans="1:17">
      <c r="A37" s="23" t="s">
        <v>100</v>
      </c>
      <c r="B37" s="23">
        <f>B19</f>
        <v>15750</v>
      </c>
      <c r="C37" s="23">
        <f>C19</f>
        <v>15370</v>
      </c>
      <c r="D37" s="23">
        <f>'Task 9'!P20</f>
        <v>15750</v>
      </c>
      <c r="E37" s="23" t="str">
        <f>_xlfn.XLOOKUP(MAX(B37:D37),B37:D37,$B$25:$D$25,0,0,1)</f>
        <v>Outsourcing</v>
      </c>
    </row>
    <row r="38" spans="1:17" ht="16" thickBot="1">
      <c r="A38" s="23" t="s">
        <v>101</v>
      </c>
      <c r="B38" s="23">
        <f>B20</f>
        <v>12250</v>
      </c>
      <c r="C38" s="23">
        <f>C20</f>
        <v>15130</v>
      </c>
      <c r="D38" s="23">
        <f>'Task 9'!P21</f>
        <v>14000</v>
      </c>
      <c r="E38" s="59" t="str">
        <f>_xlfn.XLOOKUP(MAX(B38:D38),B38:D38,$B$25:$D$25,0,0,1)</f>
        <v>Near Sourcing</v>
      </c>
    </row>
    <row r="39" spans="1:17" ht="16" thickBot="1">
      <c r="A39" s="10" t="s">
        <v>25</v>
      </c>
      <c r="B39" s="11">
        <f>SUM(B26:B38)</f>
        <v>305505</v>
      </c>
      <c r="C39" s="11">
        <f>SUM(C26:C38)</f>
        <v>372920</v>
      </c>
      <c r="D39" s="58">
        <f>SUM(D26:D38)</f>
        <v>310760</v>
      </c>
      <c r="E39" s="60" t="str">
        <f>_xlfn.XLOOKUP(MAX(B39:D39),B39:D39,$B$25:$D$25,0,0,1)</f>
        <v>Near Sourcing</v>
      </c>
    </row>
  </sheetData>
  <phoneticPr fontId="30" type="noConversion"/>
  <conditionalFormatting sqref="E26:E38">
    <cfRule type="cellIs" dxfId="3" priority="2" operator="equal">
      <formula>"Outsourcing"</formula>
    </cfRule>
    <cfRule type="cellIs" dxfId="2" priority="3" operator="equal">
      <formula>"Flexibility"</formula>
    </cfRule>
    <cfRule type="cellIs" dxfId="1" priority="4" stopIfTrue="1" operator="equal">
      <formula>"Near Sourcing"</formula>
    </cfRule>
    <cfRule type="colorScale" priority="5">
      <colorScale>
        <cfvo type="formula" val="&quot;Outsourcing&quot;"/>
        <cfvo type="formula" val="&quot;Near Sourcing&quot;"/>
        <cfvo type="formula" val="&quot;Flexibility&quot;"/>
        <color rgb="FFFFFF00"/>
        <color rgb="FFFFC000"/>
        <color rgb="FFFF0000"/>
      </colorScale>
    </cfRule>
  </conditionalFormatting>
  <conditionalFormatting sqref="E39">
    <cfRule type="cellIs" dxfId="0" priority="1" stopIfTrue="1" operator="equal">
      <formula>"Near Sourcing"</formula>
    </cfRule>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1346-D3EB-964E-83F8-2E1EBA57C2EC}">
  <dimension ref="A1:T54"/>
  <sheetViews>
    <sheetView zoomScale="125" zoomScaleNormal="109" workbookViewId="0">
      <selection activeCell="J19" sqref="J19"/>
    </sheetView>
  </sheetViews>
  <sheetFormatPr baseColWidth="10" defaultRowHeight="15"/>
  <cols>
    <col min="1" max="1" width="13.83203125" customWidth="1"/>
    <col min="2" max="2" width="12.83203125" customWidth="1"/>
    <col min="3" max="3" width="15.1640625" customWidth="1"/>
    <col min="4" max="4" width="15.6640625" customWidth="1"/>
    <col min="5" max="5" width="10.33203125" customWidth="1"/>
    <col min="6" max="6" width="14.6640625" customWidth="1"/>
    <col min="7" max="7" width="12.5" customWidth="1"/>
    <col min="9" max="9" width="13.5" customWidth="1"/>
    <col min="11" max="11" width="16.33203125" customWidth="1"/>
  </cols>
  <sheetData>
    <row r="1" spans="1:17">
      <c r="A1" s="13" t="s">
        <v>0</v>
      </c>
      <c r="B1" s="14" t="s">
        <v>14</v>
      </c>
      <c r="C1" s="10" t="s">
        <v>115</v>
      </c>
      <c r="D1" s="10" t="s">
        <v>66</v>
      </c>
      <c r="E1" s="14" t="s">
        <v>15</v>
      </c>
      <c r="F1" s="10" t="s">
        <v>70</v>
      </c>
      <c r="G1" s="51" t="s">
        <v>67</v>
      </c>
      <c r="H1" s="10" t="s">
        <v>116</v>
      </c>
      <c r="I1" s="13" t="s">
        <v>117</v>
      </c>
      <c r="J1" s="50" t="s">
        <v>39</v>
      </c>
      <c r="L1" s="22"/>
    </row>
    <row r="2" spans="1:17">
      <c r="A2" s="15">
        <v>1</v>
      </c>
      <c r="B2" s="16">
        <v>21</v>
      </c>
      <c r="C2" s="11">
        <f>MAX(0,B2-7)</f>
        <v>14</v>
      </c>
      <c r="D2" s="11">
        <f>LN(C2)</f>
        <v>2.6390573296152584</v>
      </c>
      <c r="E2" s="16">
        <v>173</v>
      </c>
      <c r="F2" s="11">
        <f t="shared" ref="F2:F24" si="0">(D2-$B$26)/$B$27</f>
        <v>0.70895316590456847</v>
      </c>
      <c r="G2" s="52">
        <v>0</v>
      </c>
      <c r="H2" s="57">
        <v>93</v>
      </c>
      <c r="I2" s="11">
        <f>E2-H2</f>
        <v>80</v>
      </c>
      <c r="J2" s="11">
        <f t="shared" ref="J2:J24" si="1">$M$19+F2*$M$20+G2*$M$21+H2*$L$22</f>
        <v>152.757385635378</v>
      </c>
    </row>
    <row r="3" spans="1:17">
      <c r="A3" s="15">
        <v>2</v>
      </c>
      <c r="B3" s="16">
        <v>20</v>
      </c>
      <c r="C3" s="11">
        <f t="shared" ref="C3:C24" si="2">MAX(0,B3-7)</f>
        <v>13</v>
      </c>
      <c r="D3" s="11">
        <f t="shared" ref="D3:D24" si="3">LN(C3)</f>
        <v>2.5649493574615367</v>
      </c>
      <c r="E3" s="16">
        <v>196</v>
      </c>
      <c r="F3" s="11">
        <f t="shared" si="0"/>
        <v>0.56638515085067642</v>
      </c>
      <c r="G3" s="52">
        <v>0</v>
      </c>
      <c r="H3" s="57">
        <v>108</v>
      </c>
      <c r="I3" s="11">
        <f t="shared" ref="I3:I24" si="4">E3-H3</f>
        <v>88</v>
      </c>
      <c r="J3" s="11">
        <f t="shared" si="1"/>
        <v>146.16753949837613</v>
      </c>
      <c r="L3" t="s">
        <v>118</v>
      </c>
    </row>
    <row r="4" spans="1:17" ht="16" thickBot="1">
      <c r="A4" s="15">
        <v>3</v>
      </c>
      <c r="B4" s="16">
        <v>13</v>
      </c>
      <c r="C4" s="11">
        <f t="shared" si="2"/>
        <v>6</v>
      </c>
      <c r="D4" s="11">
        <f t="shared" si="3"/>
        <v>1.791759469228055</v>
      </c>
      <c r="E4" s="16">
        <v>195</v>
      </c>
      <c r="F4" s="11">
        <f t="shared" si="0"/>
        <v>-0.921068147649171</v>
      </c>
      <c r="G4" s="52">
        <v>0</v>
      </c>
      <c r="H4" s="57">
        <v>155</v>
      </c>
      <c r="I4" s="11">
        <f t="shared" si="4"/>
        <v>40</v>
      </c>
      <c r="J4" s="11">
        <f t="shared" si="1"/>
        <v>77.413770503383901</v>
      </c>
    </row>
    <row r="5" spans="1:17">
      <c r="A5" s="15">
        <v>4</v>
      </c>
      <c r="B5" s="16">
        <v>15</v>
      </c>
      <c r="C5" s="11">
        <f t="shared" si="2"/>
        <v>8</v>
      </c>
      <c r="D5" s="11">
        <f t="shared" si="3"/>
        <v>2.0794415416798357</v>
      </c>
      <c r="E5" s="16">
        <v>210</v>
      </c>
      <c r="F5" s="11">
        <f t="shared" si="0"/>
        <v>-0.36762887729692417</v>
      </c>
      <c r="G5" s="52">
        <v>0</v>
      </c>
      <c r="H5" s="57">
        <v>103</v>
      </c>
      <c r="I5" s="11">
        <f t="shared" si="4"/>
        <v>107</v>
      </c>
      <c r="J5" s="11">
        <f t="shared" si="1"/>
        <v>102.99510188698521</v>
      </c>
      <c r="L5" s="26" t="s">
        <v>16</v>
      </c>
      <c r="M5" s="26"/>
    </row>
    <row r="6" spans="1:17">
      <c r="A6" s="15">
        <v>5</v>
      </c>
      <c r="B6" s="16">
        <v>13</v>
      </c>
      <c r="C6" s="11">
        <f t="shared" si="2"/>
        <v>6</v>
      </c>
      <c r="D6" s="11">
        <f t="shared" si="3"/>
        <v>1.791759469228055</v>
      </c>
      <c r="E6" s="16">
        <v>291</v>
      </c>
      <c r="F6" s="11">
        <f t="shared" si="0"/>
        <v>-0.921068147649171</v>
      </c>
      <c r="G6" s="52">
        <v>0</v>
      </c>
      <c r="H6" s="57">
        <v>208</v>
      </c>
      <c r="I6" s="11">
        <f t="shared" si="4"/>
        <v>83</v>
      </c>
      <c r="J6" s="11">
        <f t="shared" si="1"/>
        <v>77.413770503383901</v>
      </c>
      <c r="L6" t="s">
        <v>17</v>
      </c>
      <c r="M6">
        <v>0.95273428764289836</v>
      </c>
    </row>
    <row r="7" spans="1:17">
      <c r="A7" s="15">
        <v>6</v>
      </c>
      <c r="B7" s="16">
        <v>14</v>
      </c>
      <c r="C7" s="11">
        <f t="shared" si="2"/>
        <v>7</v>
      </c>
      <c r="D7" s="11">
        <f t="shared" si="3"/>
        <v>1.9459101490553132</v>
      </c>
      <c r="E7" s="16">
        <v>170</v>
      </c>
      <c r="F7" s="11">
        <f t="shared" si="0"/>
        <v>-0.62451494556460174</v>
      </c>
      <c r="G7" s="52">
        <v>0</v>
      </c>
      <c r="H7" s="57">
        <v>103</v>
      </c>
      <c r="I7" s="11">
        <f t="shared" si="4"/>
        <v>67</v>
      </c>
      <c r="J7" s="11">
        <f t="shared" si="1"/>
        <v>91.121192693654308</v>
      </c>
      <c r="L7" t="s">
        <v>18</v>
      </c>
      <c r="M7">
        <v>0.90770262285042091</v>
      </c>
    </row>
    <row r="8" spans="1:17">
      <c r="A8" s="15">
        <v>7</v>
      </c>
      <c r="B8" s="16">
        <v>15</v>
      </c>
      <c r="C8" s="11">
        <f t="shared" si="2"/>
        <v>8</v>
      </c>
      <c r="D8" s="11">
        <f t="shared" si="3"/>
        <v>2.0794415416798357</v>
      </c>
      <c r="E8" s="16">
        <v>252</v>
      </c>
      <c r="F8" s="11">
        <f t="shared" si="0"/>
        <v>-0.36762887729692417</v>
      </c>
      <c r="G8" s="52">
        <v>0</v>
      </c>
      <c r="H8" s="57">
        <v>163</v>
      </c>
      <c r="I8" s="11">
        <f t="shared" si="4"/>
        <v>89</v>
      </c>
      <c r="J8" s="11">
        <f t="shared" si="1"/>
        <v>102.99510188698521</v>
      </c>
      <c r="L8" t="s">
        <v>19</v>
      </c>
      <c r="M8">
        <v>0.89847288513546297</v>
      </c>
    </row>
    <row r="9" spans="1:17">
      <c r="A9" s="15">
        <v>8</v>
      </c>
      <c r="B9" s="16">
        <v>21</v>
      </c>
      <c r="C9" s="11">
        <f t="shared" si="2"/>
        <v>14</v>
      </c>
      <c r="D9" s="11">
        <f t="shared" si="3"/>
        <v>2.6390573296152584</v>
      </c>
      <c r="E9" s="16">
        <v>520</v>
      </c>
      <c r="F9" s="11">
        <f t="shared" si="0"/>
        <v>0.70895316590456847</v>
      </c>
      <c r="G9" s="52">
        <v>0</v>
      </c>
      <c r="H9" s="57">
        <v>272</v>
      </c>
      <c r="I9" s="11">
        <f t="shared" si="4"/>
        <v>248</v>
      </c>
      <c r="J9" s="11">
        <f t="shared" si="1"/>
        <v>152.757385635378</v>
      </c>
      <c r="L9" t="s">
        <v>20</v>
      </c>
      <c r="M9">
        <v>86.345400037925373</v>
      </c>
    </row>
    <row r="10" spans="1:17" ht="16" thickBot="1">
      <c r="A10" s="15">
        <v>9</v>
      </c>
      <c r="B10" s="16">
        <v>14</v>
      </c>
      <c r="C10" s="11">
        <f t="shared" si="2"/>
        <v>7</v>
      </c>
      <c r="D10" s="11">
        <f t="shared" si="3"/>
        <v>1.9459101490553132</v>
      </c>
      <c r="E10" s="16">
        <v>164</v>
      </c>
      <c r="F10" s="11">
        <f t="shared" si="0"/>
        <v>-0.62451494556460174</v>
      </c>
      <c r="G10" s="52">
        <v>0</v>
      </c>
      <c r="H10" s="57">
        <v>83</v>
      </c>
      <c r="I10" s="11">
        <f t="shared" si="4"/>
        <v>81</v>
      </c>
      <c r="J10" s="11">
        <f t="shared" si="1"/>
        <v>91.121192693654308</v>
      </c>
      <c r="L10" s="24" t="s">
        <v>21</v>
      </c>
      <c r="M10" s="24">
        <v>23</v>
      </c>
    </row>
    <row r="11" spans="1:17">
      <c r="A11" s="15">
        <v>10</v>
      </c>
      <c r="B11" s="16">
        <v>14</v>
      </c>
      <c r="C11" s="11">
        <f t="shared" si="2"/>
        <v>7</v>
      </c>
      <c r="D11" s="11">
        <f t="shared" si="3"/>
        <v>1.9459101490553132</v>
      </c>
      <c r="E11" s="16">
        <v>135</v>
      </c>
      <c r="F11" s="11">
        <f t="shared" si="0"/>
        <v>-0.62451494556460174</v>
      </c>
      <c r="G11" s="52">
        <v>0</v>
      </c>
      <c r="H11" s="57">
        <v>91</v>
      </c>
      <c r="I11" s="11">
        <f t="shared" si="4"/>
        <v>44</v>
      </c>
      <c r="J11" s="11">
        <f t="shared" si="1"/>
        <v>91.121192693654308</v>
      </c>
    </row>
    <row r="12" spans="1:17" ht="16" thickBot="1">
      <c r="A12" s="15">
        <v>11</v>
      </c>
      <c r="B12" s="16">
        <v>14</v>
      </c>
      <c r="C12" s="11">
        <f t="shared" si="2"/>
        <v>7</v>
      </c>
      <c r="D12" s="11">
        <f t="shared" si="3"/>
        <v>1.9459101490553132</v>
      </c>
      <c r="E12" s="16">
        <v>153</v>
      </c>
      <c r="F12" s="11">
        <f t="shared" si="0"/>
        <v>-0.62451494556460174</v>
      </c>
      <c r="G12" s="52">
        <v>0</v>
      </c>
      <c r="H12" s="57">
        <v>79</v>
      </c>
      <c r="I12" s="11">
        <f t="shared" si="4"/>
        <v>74</v>
      </c>
      <c r="J12" s="11">
        <f t="shared" si="1"/>
        <v>91.121192693654308</v>
      </c>
      <c r="L12" t="s">
        <v>22</v>
      </c>
    </row>
    <row r="13" spans="1:17">
      <c r="A13" s="15">
        <v>12</v>
      </c>
      <c r="B13" s="16">
        <v>16</v>
      </c>
      <c r="C13" s="11">
        <f t="shared" si="2"/>
        <v>9</v>
      </c>
      <c r="D13" s="11">
        <f>LN(C13)</f>
        <v>2.1972245773362196</v>
      </c>
      <c r="E13" s="16">
        <v>322</v>
      </c>
      <c r="F13" s="11">
        <f t="shared" si="0"/>
        <v>-0.14103930653224711</v>
      </c>
      <c r="G13" s="52">
        <v>0</v>
      </c>
      <c r="H13" s="57">
        <v>116</v>
      </c>
      <c r="I13" s="11">
        <f t="shared" si="4"/>
        <v>206</v>
      </c>
      <c r="J13" s="11">
        <f t="shared" si="1"/>
        <v>113.46863206150628</v>
      </c>
      <c r="L13" s="25"/>
      <c r="M13" s="25" t="s">
        <v>27</v>
      </c>
      <c r="N13" s="25" t="s">
        <v>28</v>
      </c>
      <c r="O13" s="25" t="s">
        <v>29</v>
      </c>
      <c r="P13" s="25" t="s">
        <v>30</v>
      </c>
      <c r="Q13" s="25" t="s">
        <v>31</v>
      </c>
    </row>
    <row r="14" spans="1:17">
      <c r="A14" s="15">
        <v>13</v>
      </c>
      <c r="B14" s="16">
        <v>26</v>
      </c>
      <c r="C14" s="11">
        <f t="shared" si="2"/>
        <v>19</v>
      </c>
      <c r="D14" s="11">
        <f t="shared" si="3"/>
        <v>2.9444389791664403</v>
      </c>
      <c r="E14" s="16">
        <v>298</v>
      </c>
      <c r="F14" s="11">
        <f t="shared" si="0"/>
        <v>1.2964426673051117</v>
      </c>
      <c r="G14" s="52">
        <v>0</v>
      </c>
      <c r="H14" s="57">
        <v>120</v>
      </c>
      <c r="I14" s="11">
        <f t="shared" si="4"/>
        <v>178</v>
      </c>
      <c r="J14" s="11">
        <f t="shared" si="1"/>
        <v>179.91260288287953</v>
      </c>
      <c r="L14" t="s">
        <v>23</v>
      </c>
      <c r="M14">
        <v>2</v>
      </c>
      <c r="N14">
        <v>1466434.3943675519</v>
      </c>
      <c r="O14">
        <v>733217.19718377595</v>
      </c>
      <c r="P14">
        <v>98.345440670473124</v>
      </c>
      <c r="Q14">
        <v>4.4863545975751057E-11</v>
      </c>
    </row>
    <row r="15" spans="1:17">
      <c r="A15" s="15">
        <v>14</v>
      </c>
      <c r="B15" s="16">
        <v>16</v>
      </c>
      <c r="C15" s="11">
        <f t="shared" si="2"/>
        <v>9</v>
      </c>
      <c r="D15" s="11">
        <f t="shared" si="3"/>
        <v>2.1972245773362196</v>
      </c>
      <c r="E15" s="16">
        <v>133</v>
      </c>
      <c r="F15" s="11">
        <f t="shared" si="0"/>
        <v>-0.14103930653224711</v>
      </c>
      <c r="G15" s="52">
        <v>0</v>
      </c>
      <c r="H15" s="57">
        <v>49</v>
      </c>
      <c r="I15" s="11">
        <f t="shared" si="4"/>
        <v>84</v>
      </c>
      <c r="J15" s="11">
        <f t="shared" si="1"/>
        <v>113.46863206150628</v>
      </c>
      <c r="L15" t="s">
        <v>24</v>
      </c>
      <c r="M15">
        <v>20</v>
      </c>
      <c r="N15">
        <v>149110.56215418727</v>
      </c>
      <c r="O15">
        <v>7455.5281077093632</v>
      </c>
    </row>
    <row r="16" spans="1:17" ht="16" thickBot="1">
      <c r="A16" s="15">
        <v>15</v>
      </c>
      <c r="B16" s="16">
        <v>18</v>
      </c>
      <c r="C16" s="11">
        <f t="shared" si="2"/>
        <v>11</v>
      </c>
      <c r="D16" s="11">
        <f t="shared" si="3"/>
        <v>2.3978952727983707</v>
      </c>
      <c r="E16" s="16">
        <v>192</v>
      </c>
      <c r="F16" s="11">
        <f t="shared" si="0"/>
        <v>0.24500853555657737</v>
      </c>
      <c r="G16" s="52">
        <v>0</v>
      </c>
      <c r="H16" s="57">
        <v>114</v>
      </c>
      <c r="I16" s="11">
        <f t="shared" si="4"/>
        <v>78</v>
      </c>
      <c r="J16" s="11">
        <f t="shared" si="1"/>
        <v>131.31271777684211</v>
      </c>
      <c r="L16" s="24" t="s">
        <v>25</v>
      </c>
      <c r="M16" s="24">
        <v>22</v>
      </c>
      <c r="N16" s="24">
        <v>1615544.9565217393</v>
      </c>
      <c r="O16" s="24"/>
      <c r="P16" s="24"/>
      <c r="Q16" s="24"/>
    </row>
    <row r="17" spans="1:20" ht="16" thickBot="1">
      <c r="A17" s="15">
        <v>16</v>
      </c>
      <c r="B17" s="16">
        <v>14</v>
      </c>
      <c r="C17" s="11">
        <f t="shared" si="2"/>
        <v>7</v>
      </c>
      <c r="D17" s="11">
        <f t="shared" si="3"/>
        <v>1.9459101490553132</v>
      </c>
      <c r="E17" s="16">
        <v>198</v>
      </c>
      <c r="F17" s="11">
        <f t="shared" si="0"/>
        <v>-0.62451494556460174</v>
      </c>
      <c r="G17" s="52">
        <v>0</v>
      </c>
      <c r="H17" s="57">
        <v>80</v>
      </c>
      <c r="I17" s="11">
        <f t="shared" si="4"/>
        <v>118</v>
      </c>
      <c r="J17" s="11">
        <f t="shared" si="1"/>
        <v>91.121192693654308</v>
      </c>
    </row>
    <row r="18" spans="1:20">
      <c r="A18" s="15">
        <v>17</v>
      </c>
      <c r="B18" s="16">
        <v>36</v>
      </c>
      <c r="C18" s="11">
        <f t="shared" si="2"/>
        <v>29</v>
      </c>
      <c r="D18" s="11">
        <f t="shared" si="3"/>
        <v>3.3672958299864741</v>
      </c>
      <c r="E18" s="16">
        <v>991</v>
      </c>
      <c r="F18" s="11">
        <f t="shared" si="0"/>
        <v>2.1099295314214501</v>
      </c>
      <c r="G18" s="52">
        <v>1</v>
      </c>
      <c r="H18" s="57">
        <v>136</v>
      </c>
      <c r="I18" s="11">
        <f t="shared" si="4"/>
        <v>855</v>
      </c>
      <c r="J18" s="11">
        <f t="shared" si="1"/>
        <v>861.94070939961546</v>
      </c>
      <c r="L18" s="25"/>
      <c r="M18" s="25" t="s">
        <v>32</v>
      </c>
      <c r="N18" s="25" t="s">
        <v>20</v>
      </c>
      <c r="O18" s="25" t="s">
        <v>33</v>
      </c>
      <c r="P18" s="25" t="s">
        <v>34</v>
      </c>
      <c r="Q18" s="25" t="s">
        <v>35</v>
      </c>
      <c r="R18" s="25" t="s">
        <v>36</v>
      </c>
      <c r="S18" s="25" t="s">
        <v>37</v>
      </c>
      <c r="T18" s="25" t="s">
        <v>38</v>
      </c>
    </row>
    <row r="19" spans="1:20">
      <c r="A19" s="15">
        <v>18</v>
      </c>
      <c r="B19" s="16">
        <v>35</v>
      </c>
      <c r="C19" s="11">
        <f t="shared" si="2"/>
        <v>28</v>
      </c>
      <c r="D19" s="11">
        <f t="shared" si="3"/>
        <v>3.3322045101752038</v>
      </c>
      <c r="E19" s="16">
        <v>1244</v>
      </c>
      <c r="F19" s="11">
        <f t="shared" si="0"/>
        <v>2.0424212773737391</v>
      </c>
      <c r="G19" s="52">
        <v>1</v>
      </c>
      <c r="H19" s="57">
        <v>168</v>
      </c>
      <c r="I19" s="11">
        <f t="shared" si="4"/>
        <v>1076</v>
      </c>
      <c r="J19" s="11">
        <f t="shared" si="1"/>
        <v>858.82031099199298</v>
      </c>
      <c r="L19" t="s">
        <v>26</v>
      </c>
      <c r="M19">
        <v>119.9878175111011</v>
      </c>
      <c r="N19">
        <v>20.815880851307178</v>
      </c>
      <c r="O19">
        <v>5.7642440580921273</v>
      </c>
      <c r="P19">
        <v>1.2193206197152274E-5</v>
      </c>
      <c r="Q19">
        <v>76.566650932632868</v>
      </c>
      <c r="R19">
        <v>163.40898408956932</v>
      </c>
      <c r="S19">
        <v>76.566650932632868</v>
      </c>
      <c r="T19">
        <v>163.40898408956932</v>
      </c>
    </row>
    <row r="20" spans="1:20">
      <c r="A20" s="15">
        <v>19</v>
      </c>
      <c r="B20" s="16">
        <v>28</v>
      </c>
      <c r="C20" s="11">
        <f t="shared" si="2"/>
        <v>21</v>
      </c>
      <c r="D20" s="11">
        <f t="shared" si="3"/>
        <v>3.044522437723423</v>
      </c>
      <c r="E20" s="16">
        <v>855</v>
      </c>
      <c r="F20" s="11">
        <f t="shared" si="0"/>
        <v>1.4889820070214923</v>
      </c>
      <c r="G20" s="52">
        <v>1</v>
      </c>
      <c r="H20" s="57">
        <v>232</v>
      </c>
      <c r="I20" s="11">
        <f t="shared" si="4"/>
        <v>623</v>
      </c>
      <c r="J20" s="11">
        <f t="shared" si="1"/>
        <v>833.23897960839167</v>
      </c>
      <c r="L20" t="s">
        <v>71</v>
      </c>
      <c r="M20">
        <v>46.222472372297673</v>
      </c>
      <c r="N20">
        <v>27.581243579839558</v>
      </c>
      <c r="O20">
        <v>1.6758661457195452</v>
      </c>
      <c r="P20">
        <v>0.10932842882729808</v>
      </c>
      <c r="Q20">
        <v>-11.310993565383953</v>
      </c>
      <c r="R20">
        <v>103.7559383099793</v>
      </c>
      <c r="S20">
        <v>-11.310993565383953</v>
      </c>
      <c r="T20">
        <v>103.7559383099793</v>
      </c>
    </row>
    <row r="21" spans="1:20" ht="16" thickBot="1">
      <c r="A21" s="15">
        <v>20</v>
      </c>
      <c r="B21" s="16">
        <v>17</v>
      </c>
      <c r="C21" s="11">
        <f t="shared" si="2"/>
        <v>10</v>
      </c>
      <c r="D21" s="11">
        <f t="shared" si="3"/>
        <v>2.3025850929940459</v>
      </c>
      <c r="E21" s="16">
        <v>291</v>
      </c>
      <c r="F21" s="11">
        <f t="shared" si="0"/>
        <v>6.1651971421395599E-2</v>
      </c>
      <c r="G21" s="52">
        <v>0</v>
      </c>
      <c r="H21" s="57">
        <v>206</v>
      </c>
      <c r="I21" s="11">
        <f t="shared" si="4"/>
        <v>85</v>
      </c>
      <c r="J21" s="11">
        <f t="shared" si="1"/>
        <v>122.83752405682424</v>
      </c>
      <c r="L21" s="24" t="s">
        <v>72</v>
      </c>
      <c r="M21" s="24">
        <v>644.42673241489138</v>
      </c>
      <c r="N21" s="24">
        <v>80.096488550755581</v>
      </c>
      <c r="O21" s="24">
        <v>8.0456302651336671</v>
      </c>
      <c r="P21" s="24">
        <v>1.0674875608028735E-7</v>
      </c>
      <c r="Q21" s="24">
        <v>477.34838504366638</v>
      </c>
      <c r="R21" s="24">
        <v>811.50507978611631</v>
      </c>
      <c r="S21" s="24">
        <v>477.34838504366638</v>
      </c>
      <c r="T21" s="24">
        <v>811.50507978611631</v>
      </c>
    </row>
    <row r="22" spans="1:20">
      <c r="A22" s="15">
        <v>21</v>
      </c>
      <c r="B22" s="16">
        <v>11</v>
      </c>
      <c r="C22" s="11">
        <f t="shared" si="2"/>
        <v>4</v>
      </c>
      <c r="D22" s="11">
        <f t="shared" si="3"/>
        <v>1.3862943611198906</v>
      </c>
      <c r="E22" s="16">
        <v>143</v>
      </c>
      <c r="F22" s="11">
        <f t="shared" si="0"/>
        <v>-1.7010969887660943</v>
      </c>
      <c r="G22" s="52">
        <v>0</v>
      </c>
      <c r="H22" s="57">
        <v>104</v>
      </c>
      <c r="I22" s="11">
        <f t="shared" si="4"/>
        <v>39</v>
      </c>
      <c r="J22" s="11">
        <f t="shared" si="1"/>
        <v>41.358908945261547</v>
      </c>
    </row>
    <row r="23" spans="1:20">
      <c r="A23" s="15">
        <v>22</v>
      </c>
      <c r="B23" s="16">
        <v>14</v>
      </c>
      <c r="C23" s="11">
        <f t="shared" si="2"/>
        <v>7</v>
      </c>
      <c r="D23" s="11">
        <f t="shared" si="3"/>
        <v>1.9459101490553132</v>
      </c>
      <c r="E23" s="16">
        <v>253</v>
      </c>
      <c r="F23" s="11">
        <f t="shared" si="0"/>
        <v>-0.62451494556460174</v>
      </c>
      <c r="G23" s="52">
        <v>0</v>
      </c>
      <c r="H23" s="57">
        <v>117</v>
      </c>
      <c r="I23" s="11">
        <f t="shared" si="4"/>
        <v>136</v>
      </c>
      <c r="J23" s="11">
        <f t="shared" si="1"/>
        <v>91.121192693654308</v>
      </c>
    </row>
    <row r="24" spans="1:20">
      <c r="A24" s="15">
        <v>23</v>
      </c>
      <c r="B24" s="16">
        <v>13</v>
      </c>
      <c r="C24" s="11">
        <f t="shared" si="2"/>
        <v>6</v>
      </c>
      <c r="D24" s="11">
        <f t="shared" si="3"/>
        <v>1.791759469228055</v>
      </c>
      <c r="E24" s="16">
        <v>385</v>
      </c>
      <c r="F24" s="11">
        <f t="shared" si="0"/>
        <v>-0.921068147649171</v>
      </c>
      <c r="G24" s="52">
        <v>0</v>
      </c>
      <c r="H24" s="57">
        <v>171</v>
      </c>
      <c r="I24" s="11">
        <f t="shared" si="4"/>
        <v>214</v>
      </c>
      <c r="J24" s="11">
        <f t="shared" si="1"/>
        <v>77.413770503383901</v>
      </c>
    </row>
    <row r="26" spans="1:20">
      <c r="A26" s="10" t="s">
        <v>69</v>
      </c>
      <c r="B26" s="11">
        <f>AVERAGE(D2:D24)</f>
        <v>2.2705379148132194</v>
      </c>
    </row>
    <row r="27" spans="1:20">
      <c r="A27" s="10" t="s">
        <v>68</v>
      </c>
      <c r="B27" s="11">
        <f>_xlfn.STDEV.S(D2:D24)</f>
        <v>0.51980784137106884</v>
      </c>
    </row>
    <row r="28" spans="1:20">
      <c r="J28" s="49"/>
    </row>
    <row r="29" spans="1:20">
      <c r="I29" s="55"/>
      <c r="J29" s="55"/>
    </row>
    <row r="30" spans="1:20">
      <c r="I30" s="55"/>
      <c r="J30" s="55"/>
    </row>
    <row r="31" spans="1:20">
      <c r="I31" s="55"/>
      <c r="J31" s="55"/>
    </row>
    <row r="32" spans="1:20">
      <c r="G32" s="56"/>
      <c r="H32" s="55"/>
      <c r="I32" s="55"/>
      <c r="J32" s="55"/>
      <c r="K32" s="56"/>
      <c r="L32" s="55"/>
      <c r="M32" s="55"/>
    </row>
    <row r="33" spans="7:13">
      <c r="G33" s="56"/>
      <c r="H33" s="55"/>
      <c r="I33" s="55"/>
      <c r="J33" s="55"/>
      <c r="K33" s="56"/>
      <c r="L33" s="55"/>
      <c r="M33" s="55"/>
    </row>
    <row r="34" spans="7:13">
      <c r="G34" s="56"/>
      <c r="H34" s="55"/>
      <c r="I34" s="55"/>
      <c r="J34" s="55"/>
      <c r="K34" s="56"/>
      <c r="L34" s="55"/>
      <c r="M34" s="55"/>
    </row>
    <row r="35" spans="7:13">
      <c r="G35" s="56"/>
      <c r="H35" s="55"/>
      <c r="I35" s="55"/>
      <c r="J35" s="55"/>
      <c r="K35" s="56"/>
      <c r="L35" s="55"/>
      <c r="M35" s="55"/>
    </row>
    <row r="36" spans="7:13">
      <c r="G36" s="56"/>
      <c r="H36" s="55"/>
      <c r="I36" s="55"/>
      <c r="J36" s="55"/>
      <c r="K36" s="56"/>
      <c r="L36" s="55"/>
      <c r="M36" s="55"/>
    </row>
    <row r="37" spans="7:13">
      <c r="G37" s="56"/>
      <c r="H37" s="55"/>
      <c r="I37" s="55"/>
      <c r="J37" s="55"/>
      <c r="K37" s="56"/>
      <c r="L37" s="55"/>
      <c r="M37" s="55"/>
    </row>
    <row r="38" spans="7:13">
      <c r="G38" s="56"/>
      <c r="H38" s="55"/>
      <c r="I38" s="55"/>
      <c r="J38" s="55"/>
      <c r="K38" s="56"/>
      <c r="L38" s="55"/>
      <c r="M38" s="55"/>
    </row>
    <row r="39" spans="7:13">
      <c r="G39" s="56"/>
      <c r="H39" s="55"/>
      <c r="I39" s="55"/>
      <c r="J39" s="55"/>
      <c r="K39" s="56"/>
      <c r="L39" s="55"/>
      <c r="M39" s="55"/>
    </row>
    <row r="40" spans="7:13">
      <c r="G40" s="56"/>
      <c r="H40" s="55"/>
      <c r="I40" s="55"/>
      <c r="J40" s="55"/>
      <c r="K40" s="56"/>
      <c r="L40" s="55"/>
      <c r="M40" s="55"/>
    </row>
    <row r="41" spans="7:13">
      <c r="G41" s="56"/>
      <c r="H41" s="55"/>
      <c r="I41" s="55"/>
      <c r="J41" s="55"/>
      <c r="K41" s="56"/>
      <c r="L41" s="55"/>
      <c r="M41" s="55"/>
    </row>
    <row r="42" spans="7:13">
      <c r="G42" s="56"/>
      <c r="H42" s="55"/>
      <c r="I42" s="55"/>
      <c r="J42" s="55"/>
      <c r="K42" s="56"/>
      <c r="L42" s="55"/>
      <c r="M42" s="55"/>
    </row>
    <row r="43" spans="7:13">
      <c r="G43" s="56"/>
      <c r="H43" s="55"/>
      <c r="I43" s="55"/>
      <c r="J43" s="55"/>
      <c r="K43" s="56"/>
      <c r="L43" s="55"/>
      <c r="M43" s="55"/>
    </row>
    <row r="44" spans="7:13">
      <c r="G44" s="56"/>
      <c r="H44" s="55"/>
      <c r="I44" s="55"/>
      <c r="J44" s="55"/>
      <c r="K44" s="56"/>
      <c r="L44" s="55"/>
      <c r="M44" s="55"/>
    </row>
    <row r="45" spans="7:13">
      <c r="G45" s="56"/>
      <c r="H45" s="55"/>
      <c r="I45" s="55"/>
      <c r="J45" s="55"/>
      <c r="K45" s="56"/>
      <c r="L45" s="55"/>
      <c r="M45" s="55"/>
    </row>
    <row r="46" spans="7:13">
      <c r="G46" s="56"/>
      <c r="H46" s="55"/>
      <c r="I46" s="55"/>
      <c r="J46" s="55"/>
      <c r="K46" s="56"/>
      <c r="L46" s="55"/>
      <c r="M46" s="55"/>
    </row>
    <row r="47" spans="7:13">
      <c r="G47" s="56"/>
      <c r="H47" s="55"/>
      <c r="I47" s="55"/>
      <c r="J47" s="55"/>
      <c r="K47" s="56"/>
      <c r="L47" s="55"/>
      <c r="M47" s="55"/>
    </row>
    <row r="48" spans="7:13">
      <c r="G48" s="56"/>
      <c r="H48" s="55"/>
      <c r="I48" s="55"/>
      <c r="J48" s="55"/>
      <c r="K48" s="56"/>
      <c r="L48" s="55"/>
      <c r="M48" s="55"/>
    </row>
    <row r="49" spans="7:13">
      <c r="G49" s="56"/>
      <c r="H49" s="55"/>
      <c r="I49" s="55"/>
      <c r="J49" s="55"/>
      <c r="K49" s="56"/>
      <c r="L49" s="55"/>
      <c r="M49" s="55"/>
    </row>
    <row r="50" spans="7:13">
      <c r="G50" s="56"/>
      <c r="H50" s="55"/>
      <c r="I50" s="55"/>
      <c r="J50" s="55"/>
      <c r="K50" s="56"/>
      <c r="L50" s="55"/>
      <c r="M50" s="55"/>
    </row>
    <row r="51" spans="7:13">
      <c r="G51" s="56"/>
      <c r="H51" s="55"/>
      <c r="I51" s="55"/>
      <c r="J51" s="55"/>
      <c r="K51" s="56"/>
      <c r="L51" s="55"/>
      <c r="M51" s="55"/>
    </row>
    <row r="52" spans="7:13">
      <c r="G52" s="56"/>
      <c r="H52" s="55"/>
      <c r="I52" s="55"/>
      <c r="K52" s="56"/>
      <c r="L52" s="55"/>
      <c r="M52" s="55"/>
    </row>
    <row r="53" spans="7:13">
      <c r="G53" s="56"/>
      <c r="H53" s="55"/>
      <c r="I53" s="55"/>
      <c r="K53" s="56"/>
      <c r="L53" s="55"/>
      <c r="M53" s="55"/>
    </row>
    <row r="54" spans="7:13">
      <c r="G54" s="56"/>
      <c r="H54" s="55"/>
      <c r="I54" s="55"/>
      <c r="K54" s="56"/>
      <c r="L54" s="55"/>
      <c r="M54" s="5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B0FA-7252-2545-8BEF-D9B9D6EE90EF}">
  <dimension ref="A1:AC1506"/>
  <sheetViews>
    <sheetView tabSelected="1" topLeftCell="B1" zoomScale="125" workbookViewId="0">
      <selection activeCell="I4" sqref="I4"/>
    </sheetView>
  </sheetViews>
  <sheetFormatPr baseColWidth="10" defaultRowHeight="15"/>
  <cols>
    <col min="1" max="1" width="16.83203125" customWidth="1"/>
    <col min="2" max="2" width="13" customWidth="1"/>
    <col min="3" max="3" width="18.83203125" customWidth="1"/>
    <col min="4" max="4" width="17.6640625" customWidth="1"/>
    <col min="5" max="5" width="25.5" customWidth="1"/>
    <col min="6" max="6" width="22" customWidth="1"/>
    <col min="7" max="7" width="21.33203125" customWidth="1"/>
    <col min="8" max="8" width="19.6640625" customWidth="1"/>
    <col min="9" max="9" width="16.6640625" customWidth="1"/>
    <col min="10" max="10" width="13.5" customWidth="1"/>
    <col min="11" max="11" width="17.5" customWidth="1"/>
  </cols>
  <sheetData>
    <row r="1" spans="1:29">
      <c r="A1" s="34" t="s">
        <v>45</v>
      </c>
      <c r="B1" s="35">
        <v>65</v>
      </c>
    </row>
    <row r="2" spans="1:29">
      <c r="A2" s="34" t="s">
        <v>40</v>
      </c>
      <c r="B2" s="35">
        <v>135</v>
      </c>
    </row>
    <row r="3" spans="1:29">
      <c r="A3" s="34" t="s">
        <v>88</v>
      </c>
      <c r="B3" s="11">
        <f>'Regression 14d'!M9</f>
        <v>86.345400037925373</v>
      </c>
    </row>
    <row r="4" spans="1:29">
      <c r="A4" s="13" t="s">
        <v>123</v>
      </c>
      <c r="B4" s="11">
        <f>_xlfn.XLOOKUP(D8,'Task 9'!A9:A21,'Task 9'!J9:J21,1,0,1)</f>
        <v>420</v>
      </c>
      <c r="P4" s="10" t="s">
        <v>131</v>
      </c>
      <c r="Q4" s="11">
        <f>MAX(Q8:Q68)</f>
        <v>6523.8428093645489</v>
      </c>
      <c r="R4" s="11">
        <f t="shared" ref="R4:AC4" si="0">MAX(R8:R68)</f>
        <v>12693.090301003345</v>
      </c>
      <c r="S4" s="11">
        <f t="shared" si="0"/>
        <v>16657.264214046823</v>
      </c>
      <c r="T4" s="11">
        <f t="shared" si="0"/>
        <v>5501.7056856187291</v>
      </c>
      <c r="U4" s="11">
        <f t="shared" si="0"/>
        <v>13754.822742474917</v>
      </c>
      <c r="V4" s="11">
        <f t="shared" si="0"/>
        <v>7285.6555183946484</v>
      </c>
      <c r="W4" s="11">
        <f t="shared" si="0"/>
        <v>66201.913043478256</v>
      </c>
      <c r="X4" s="11">
        <f t="shared" si="0"/>
        <v>68138.856187290963</v>
      </c>
      <c r="Y4" s="11">
        <f t="shared" si="0"/>
        <v>69524.628762541804</v>
      </c>
      <c r="Z4" s="11">
        <f t="shared" si="0"/>
        <v>16891.374581939799</v>
      </c>
      <c r="AA4" s="11">
        <f t="shared" si="0"/>
        <v>7162.6421404682278</v>
      </c>
      <c r="AB4" s="11">
        <f t="shared" si="0"/>
        <v>10005.217391304348</v>
      </c>
      <c r="AC4" s="11">
        <f t="shared" si="0"/>
        <v>12375.923076923076</v>
      </c>
    </row>
    <row r="5" spans="1:29">
      <c r="A5" s="10" t="s">
        <v>126</v>
      </c>
      <c r="B5" s="11">
        <f>_xlfn.XLOOKUP(D8,'Task 9'!A9:A21,'Task 9'!E9:E21,0,1,1)</f>
        <v>168</v>
      </c>
      <c r="P5" s="10" t="s">
        <v>43</v>
      </c>
      <c r="Q5" s="11">
        <f t="shared" ref="Q5:AC5" si="1">_xlfn.XLOOKUP(Q4,Q8:Q68,$P$8:$P$68,0,0,1)</f>
        <v>10</v>
      </c>
      <c r="R5" s="11">
        <f t="shared" si="1"/>
        <v>10</v>
      </c>
      <c r="S5" s="11">
        <f t="shared" si="1"/>
        <v>110</v>
      </c>
      <c r="T5" s="11">
        <f t="shared" si="1"/>
        <v>10</v>
      </c>
      <c r="U5" s="11">
        <f t="shared" si="1"/>
        <v>35</v>
      </c>
      <c r="V5" s="11">
        <f t="shared" si="1"/>
        <v>10</v>
      </c>
      <c r="W5" s="11">
        <f t="shared" si="1"/>
        <v>585</v>
      </c>
      <c r="X5" s="11">
        <f t="shared" si="1"/>
        <v>610</v>
      </c>
      <c r="Y5" s="11">
        <f t="shared" si="1"/>
        <v>560</v>
      </c>
      <c r="Z5" s="11">
        <f t="shared" si="1"/>
        <v>35</v>
      </c>
      <c r="AA5" s="11">
        <f t="shared" si="1"/>
        <v>10</v>
      </c>
      <c r="AB5" s="11">
        <f t="shared" si="1"/>
        <v>10</v>
      </c>
      <c r="AC5" s="11">
        <f t="shared" si="1"/>
        <v>10</v>
      </c>
    </row>
    <row r="6" spans="1:29">
      <c r="A6" s="34" t="s">
        <v>121</v>
      </c>
      <c r="B6" s="11">
        <f>_xlfn.XLOOKUP(D8,'Task 9'!A9:A21,'Task 9'!I9:I21,0,0,1)</f>
        <v>858.82031099199298</v>
      </c>
    </row>
    <row r="7" spans="1:29">
      <c r="A7" s="34" t="s">
        <v>14</v>
      </c>
      <c r="B7" s="11">
        <f>_xlfn.XLOOKUP(D8,'Task 9'!A9:A21,'Task 9'!B9:B21,0,0,1)</f>
        <v>35</v>
      </c>
      <c r="D7" s="10" t="s">
        <v>129</v>
      </c>
      <c r="E7" s="10" t="s">
        <v>127</v>
      </c>
      <c r="F7" s="13" t="s">
        <v>104</v>
      </c>
      <c r="P7" s="23">
        <f ca="1">F8</f>
        <v>64849.070234113715</v>
      </c>
      <c r="Q7" s="10" cm="1">
        <f t="array" ref="Q7:AC7">TRANSPOSE('Task 9'!A9:A21)</f>
        <v>11</v>
      </c>
      <c r="R7" s="10">
        <v>12</v>
      </c>
      <c r="S7" s="10">
        <v>13</v>
      </c>
      <c r="T7" s="10">
        <v>14</v>
      </c>
      <c r="U7" s="10">
        <v>15</v>
      </c>
      <c r="V7" s="10">
        <v>16</v>
      </c>
      <c r="W7" s="10">
        <v>17</v>
      </c>
      <c r="X7" s="10">
        <v>18</v>
      </c>
      <c r="Y7" s="10">
        <v>19</v>
      </c>
      <c r="Z7" s="10">
        <v>20</v>
      </c>
      <c r="AA7" s="10">
        <v>21</v>
      </c>
      <c r="AB7" s="10">
        <v>22</v>
      </c>
      <c r="AC7" s="10">
        <v>23</v>
      </c>
    </row>
    <row r="8" spans="1:29">
      <c r="A8" s="34" t="s">
        <v>137</v>
      </c>
      <c r="B8" s="11">
        <f>MIN(1,7/(B7-7))</f>
        <v>0.25</v>
      </c>
      <c r="D8" s="11">
        <v>18</v>
      </c>
      <c r="E8" s="11">
        <v>700</v>
      </c>
      <c r="F8" s="38">
        <f ca="1">AVERAGE(L12:L1515)</f>
        <v>64849.070234113715</v>
      </c>
      <c r="P8" s="10">
        <v>10</v>
      </c>
      <c r="Q8" s="23">
        <f t="dataTable" ref="Q8:AC68" dt2D="1" dtr="1" r1="D8" r2="E8" ca="1"/>
        <v>6523.8428093645489</v>
      </c>
      <c r="R8" s="23">
        <v>12693.090301003345</v>
      </c>
      <c r="S8" s="23">
        <v>12859.066889632108</v>
      </c>
      <c r="T8" s="23">
        <v>5501.7056856187291</v>
      </c>
      <c r="U8" s="23">
        <v>13710.247491638796</v>
      </c>
      <c r="V8" s="23">
        <v>7285.6555183946484</v>
      </c>
      <c r="W8" s="23">
        <v>29260</v>
      </c>
      <c r="X8" s="23">
        <v>30100</v>
      </c>
      <c r="Y8" s="23">
        <v>34790</v>
      </c>
      <c r="Z8" s="23">
        <v>16288.739130434782</v>
      </c>
      <c r="AA8" s="23">
        <v>7162.6421404682278</v>
      </c>
      <c r="AB8" s="23">
        <v>10005.217391304348</v>
      </c>
      <c r="AC8" s="23">
        <v>12375.923076923076</v>
      </c>
    </row>
    <row r="9" spans="1:29">
      <c r="P9" s="10">
        <v>35</v>
      </c>
      <c r="Q9" s="23">
        <v>5257.608695652174</v>
      </c>
      <c r="R9" s="23">
        <v>11719.882943143813</v>
      </c>
      <c r="S9" s="23">
        <v>14322.8127090301</v>
      </c>
      <c r="T9" s="23">
        <v>4312.0468227424753</v>
      </c>
      <c r="U9" s="23">
        <v>13754.822742474917</v>
      </c>
      <c r="V9" s="23">
        <v>5844.3277591973247</v>
      </c>
      <c r="W9" s="23">
        <v>31010</v>
      </c>
      <c r="X9" s="23">
        <v>31850</v>
      </c>
      <c r="Y9" s="23">
        <v>36540</v>
      </c>
      <c r="Z9" s="23">
        <v>16891.374581939799</v>
      </c>
      <c r="AA9" s="23">
        <v>5502.244147157191</v>
      </c>
      <c r="AB9" s="23">
        <v>8340.9364548494977</v>
      </c>
      <c r="AC9" s="23">
        <v>10845.377926421404</v>
      </c>
    </row>
    <row r="10" spans="1:29">
      <c r="P10" s="10">
        <v>60</v>
      </c>
      <c r="Q10" s="23">
        <v>3403.8762541806018</v>
      </c>
      <c r="R10" s="23">
        <v>10364.341137123745</v>
      </c>
      <c r="S10" s="23">
        <v>15546.628762541806</v>
      </c>
      <c r="T10" s="23">
        <v>2500.9364548494982</v>
      </c>
      <c r="U10" s="23">
        <v>13034.006688963211</v>
      </c>
      <c r="V10" s="23">
        <v>4047.0334448160534</v>
      </c>
      <c r="W10" s="23">
        <v>32760</v>
      </c>
      <c r="X10" s="23">
        <v>33600</v>
      </c>
      <c r="Y10" s="23">
        <v>38290</v>
      </c>
      <c r="Z10" s="23">
        <v>16469.635451505015</v>
      </c>
      <c r="AA10" s="23">
        <v>3871.7357859531771</v>
      </c>
      <c r="AB10" s="23">
        <v>6902.3177257525085</v>
      </c>
      <c r="AC10" s="23">
        <v>9190.5785953177256</v>
      </c>
    </row>
    <row r="11" spans="1:29">
      <c r="C11" s="36" t="s">
        <v>124</v>
      </c>
      <c r="D11" s="36" t="s">
        <v>134</v>
      </c>
      <c r="E11" s="36" t="s">
        <v>135</v>
      </c>
      <c r="F11" s="37" t="s">
        <v>127</v>
      </c>
      <c r="G11" s="36" t="s">
        <v>136</v>
      </c>
      <c r="H11" s="36" t="s">
        <v>128</v>
      </c>
      <c r="I11" s="36" t="s">
        <v>132</v>
      </c>
      <c r="J11" s="36" t="s">
        <v>152</v>
      </c>
      <c r="K11" s="37" t="s">
        <v>64</v>
      </c>
      <c r="L11" s="37" t="s">
        <v>133</v>
      </c>
      <c r="P11" s="10">
        <v>85</v>
      </c>
      <c r="Q11" s="23">
        <v>1713.9498327759197</v>
      </c>
      <c r="R11" s="23">
        <v>9030.2006688963211</v>
      </c>
      <c r="S11" s="23">
        <v>16366.167224080267</v>
      </c>
      <c r="T11" s="23">
        <v>925.33110367892982</v>
      </c>
      <c r="U11" s="23">
        <v>11844.167224080267</v>
      </c>
      <c r="V11" s="23">
        <v>2627.2876254180601</v>
      </c>
      <c r="W11" s="23">
        <v>34510</v>
      </c>
      <c r="X11" s="23">
        <v>35350</v>
      </c>
      <c r="Y11" s="23">
        <v>40040</v>
      </c>
      <c r="Z11" s="23">
        <v>14923.197324414716</v>
      </c>
      <c r="AA11" s="23">
        <v>2418.3076923076924</v>
      </c>
      <c r="AB11" s="23">
        <v>5408.6153846153848</v>
      </c>
      <c r="AC11" s="23">
        <v>7506.4314381270906</v>
      </c>
    </row>
    <row r="12" spans="1:29">
      <c r="C12" s="23">
        <f t="shared" ref="C12:C75" si="2">$B$4</f>
        <v>420</v>
      </c>
      <c r="D12" s="23">
        <f t="shared" ref="D12:D75" si="3">$B$5</f>
        <v>168</v>
      </c>
      <c r="E12" s="23">
        <f>MAX(0,C12-D12)</f>
        <v>252</v>
      </c>
      <c r="F12" s="23">
        <f>$E$8</f>
        <v>700</v>
      </c>
      <c r="G12" s="23">
        <f ca="1">_xlfn.FLOOR.MATH(MAX(0,_xlfn.NORM.INV(RAND(),$B$6*$B$8,$B$3*($B$8+0.0001))))</f>
        <v>183</v>
      </c>
      <c r="H12" s="23">
        <f ca="1">_xlfn.FLOOR.MATH(MAX(0,_xlfn.NORM.INV(RAND(),$B$6*(1-$B$8),$B$3*(1.00001-$B$8))))</f>
        <v>627</v>
      </c>
      <c r="I12" s="23">
        <f ca="1">MIN(C12,D12+G12)</f>
        <v>351</v>
      </c>
      <c r="J12" s="23">
        <f ca="1">MIN(C12-I12+F12,H12)</f>
        <v>627</v>
      </c>
      <c r="K12" s="23">
        <f ca="1">I12+J12</f>
        <v>978</v>
      </c>
      <c r="L12" s="23">
        <f t="shared" ref="L12:L75" ca="1" si="4">K12*$B$2-(F12+C12)*$B$1</f>
        <v>59230</v>
      </c>
      <c r="P12" s="10">
        <v>110</v>
      </c>
      <c r="Q12" s="23">
        <v>437.51170568561872</v>
      </c>
      <c r="R12" s="23">
        <v>7620.2073578595318</v>
      </c>
      <c r="S12" s="23">
        <v>16657.264214046823</v>
      </c>
      <c r="T12" s="23">
        <v>-610.36120401337791</v>
      </c>
      <c r="U12" s="23">
        <v>10035.585284280936</v>
      </c>
      <c r="V12" s="23">
        <v>937.81270903010034</v>
      </c>
      <c r="W12" s="23">
        <v>36260</v>
      </c>
      <c r="X12" s="23">
        <v>37100</v>
      </c>
      <c r="Y12" s="23">
        <v>41790</v>
      </c>
      <c r="Z12" s="23">
        <v>13357.976588628762</v>
      </c>
      <c r="AA12" s="23">
        <v>718.08695652173913</v>
      </c>
      <c r="AB12" s="23">
        <v>3704.2408026755852</v>
      </c>
      <c r="AC12" s="23">
        <v>5921.1638795986619</v>
      </c>
    </row>
    <row r="13" spans="1:29">
      <c r="C13" s="23">
        <f t="shared" si="2"/>
        <v>420</v>
      </c>
      <c r="D13" s="23">
        <f t="shared" si="3"/>
        <v>168</v>
      </c>
      <c r="E13" s="23">
        <f t="shared" ref="E13:E76" si="5">MAX(0,C13-D13)</f>
        <v>252</v>
      </c>
      <c r="F13" s="23">
        <f t="shared" ref="F13:F76" si="6">$E$8</f>
        <v>700</v>
      </c>
      <c r="G13" s="23">
        <f t="shared" ref="G13:G76" ca="1" si="7">_xlfn.FLOOR.MATH(MAX(0,_xlfn.NORM.INV(RAND(),$B$6*$B$8,$B$3*($B$8+0.0001))))</f>
        <v>252</v>
      </c>
      <c r="H13" s="23">
        <f t="shared" ref="H13:H76" ca="1" si="8">_xlfn.FLOOR.MATH(MAX(0,_xlfn.NORM.INV(RAND(),$B$6*(1-$B$8),$B$3*(1.00001-$B$8))))</f>
        <v>642</v>
      </c>
      <c r="I13" s="23">
        <f t="shared" ref="I13:I76" ca="1" si="9">MIN(C13,D13+G13)</f>
        <v>420</v>
      </c>
      <c r="J13" s="23">
        <f t="shared" ref="J13:J76" ca="1" si="10">MIN(C13-I13+F13,H13)</f>
        <v>642</v>
      </c>
      <c r="K13" s="23">
        <f t="shared" ref="K13:K76" ca="1" si="11">I13+J13</f>
        <v>1062</v>
      </c>
      <c r="L13" s="23">
        <f t="shared" ca="1" si="4"/>
        <v>70570</v>
      </c>
      <c r="P13" s="10">
        <v>135</v>
      </c>
      <c r="Q13" s="23">
        <v>-1302.6220735785953</v>
      </c>
      <c r="R13" s="23">
        <v>5664.2541806020063</v>
      </c>
      <c r="S13" s="23">
        <v>16375.852842809365</v>
      </c>
      <c r="T13" s="23">
        <v>-2243.5785953177256</v>
      </c>
      <c r="U13" s="23">
        <v>8619.0903010033453</v>
      </c>
      <c r="V13" s="23">
        <v>-698.83612040133778</v>
      </c>
      <c r="W13" s="23">
        <v>38010</v>
      </c>
      <c r="X13" s="23">
        <v>38850</v>
      </c>
      <c r="Y13" s="23">
        <v>43540</v>
      </c>
      <c r="Z13" s="23">
        <v>11709.678929765887</v>
      </c>
      <c r="AA13" s="23">
        <v>-868.08361204013374</v>
      </c>
      <c r="AB13" s="23">
        <v>2104.0735785953179</v>
      </c>
      <c r="AC13" s="23">
        <v>4334.9933110367892</v>
      </c>
    </row>
    <row r="14" spans="1:29">
      <c r="C14" s="23">
        <f t="shared" si="2"/>
        <v>420</v>
      </c>
      <c r="D14" s="23">
        <f t="shared" si="3"/>
        <v>168</v>
      </c>
      <c r="E14" s="23">
        <f t="shared" si="5"/>
        <v>252</v>
      </c>
      <c r="F14" s="23">
        <f t="shared" si="6"/>
        <v>700</v>
      </c>
      <c r="G14" s="23">
        <f t="shared" ca="1" si="7"/>
        <v>238</v>
      </c>
      <c r="H14" s="23">
        <f t="shared" ca="1" si="8"/>
        <v>575</v>
      </c>
      <c r="I14" s="23">
        <f t="shared" ca="1" si="9"/>
        <v>406</v>
      </c>
      <c r="J14" s="23">
        <f t="shared" ca="1" si="10"/>
        <v>575</v>
      </c>
      <c r="K14" s="23">
        <f t="shared" ca="1" si="11"/>
        <v>981</v>
      </c>
      <c r="L14" s="23">
        <f t="shared" ca="1" si="4"/>
        <v>59635</v>
      </c>
      <c r="P14" s="10">
        <v>160</v>
      </c>
      <c r="Q14" s="23">
        <v>-3341.5618729096991</v>
      </c>
      <c r="R14" s="23">
        <v>3983.9899665551839</v>
      </c>
      <c r="S14" s="23">
        <v>15472.448160535117</v>
      </c>
      <c r="T14" s="23">
        <v>-4085.391304347826</v>
      </c>
      <c r="U14" s="23">
        <v>7138.2107023411372</v>
      </c>
      <c r="V14" s="23">
        <v>-2362.665551839465</v>
      </c>
      <c r="W14" s="23">
        <v>39760</v>
      </c>
      <c r="X14" s="23">
        <v>40600</v>
      </c>
      <c r="Y14" s="23">
        <v>45290</v>
      </c>
      <c r="Z14" s="23">
        <v>10076.551839464883</v>
      </c>
      <c r="AA14" s="23">
        <v>-2545.4581939799332</v>
      </c>
      <c r="AB14" s="23">
        <v>299.73578595317724</v>
      </c>
      <c r="AC14" s="23">
        <v>2645.969899665552</v>
      </c>
    </row>
    <row r="15" spans="1:29">
      <c r="C15" s="23">
        <f t="shared" si="2"/>
        <v>420</v>
      </c>
      <c r="D15" s="23">
        <f t="shared" si="3"/>
        <v>168</v>
      </c>
      <c r="E15" s="23">
        <f t="shared" si="5"/>
        <v>252</v>
      </c>
      <c r="F15" s="23">
        <f t="shared" si="6"/>
        <v>700</v>
      </c>
      <c r="G15" s="23">
        <f t="shared" ca="1" si="7"/>
        <v>184</v>
      </c>
      <c r="H15" s="23">
        <f t="shared" ca="1" si="8"/>
        <v>620</v>
      </c>
      <c r="I15" s="23">
        <f t="shared" ca="1" si="9"/>
        <v>352</v>
      </c>
      <c r="J15" s="23">
        <f t="shared" ca="1" si="10"/>
        <v>620</v>
      </c>
      <c r="K15" s="23">
        <f t="shared" ca="1" si="11"/>
        <v>972</v>
      </c>
      <c r="L15" s="23">
        <f t="shared" ca="1" si="4"/>
        <v>58420</v>
      </c>
      <c r="P15" s="10">
        <v>185</v>
      </c>
      <c r="Q15" s="23">
        <v>-4802.755852842809</v>
      </c>
      <c r="R15" s="23">
        <v>2535.9799331103677</v>
      </c>
      <c r="S15" s="23">
        <v>14270.147157190635</v>
      </c>
      <c r="T15" s="23">
        <v>-5441.7458193979937</v>
      </c>
      <c r="U15" s="23">
        <v>5472.9364548494987</v>
      </c>
      <c r="V15" s="23">
        <v>-3781.6889632107022</v>
      </c>
      <c r="W15" s="23">
        <v>41510</v>
      </c>
      <c r="X15" s="23">
        <v>42350</v>
      </c>
      <c r="Y15" s="23">
        <v>47040</v>
      </c>
      <c r="Z15" s="23">
        <v>8337.1404682274242</v>
      </c>
      <c r="AA15" s="23">
        <v>-3992.2040133779265</v>
      </c>
      <c r="AB15" s="23">
        <v>-1198.571906354515</v>
      </c>
      <c r="AC15" s="23">
        <v>1030.7224080267558</v>
      </c>
    </row>
    <row r="16" spans="1:29">
      <c r="C16" s="23">
        <f t="shared" si="2"/>
        <v>420</v>
      </c>
      <c r="D16" s="23">
        <f t="shared" si="3"/>
        <v>168</v>
      </c>
      <c r="E16" s="23">
        <f t="shared" si="5"/>
        <v>252</v>
      </c>
      <c r="F16" s="23">
        <f t="shared" si="6"/>
        <v>700</v>
      </c>
      <c r="G16" s="23">
        <f t="shared" ca="1" si="7"/>
        <v>206</v>
      </c>
      <c r="H16" s="23">
        <f t="shared" ca="1" si="8"/>
        <v>673</v>
      </c>
      <c r="I16" s="23">
        <f t="shared" ca="1" si="9"/>
        <v>374</v>
      </c>
      <c r="J16" s="23">
        <f t="shared" ca="1" si="10"/>
        <v>673</v>
      </c>
      <c r="K16" s="23">
        <f t="shared" ca="1" si="11"/>
        <v>1047</v>
      </c>
      <c r="L16" s="23">
        <f t="shared" ca="1" si="4"/>
        <v>68545</v>
      </c>
      <c r="P16" s="10">
        <v>210</v>
      </c>
      <c r="Q16" s="23">
        <v>-6011.1973244147157</v>
      </c>
      <c r="R16" s="23">
        <v>696.60535117056861</v>
      </c>
      <c r="S16" s="23">
        <v>12896.816053511706</v>
      </c>
      <c r="T16" s="23">
        <v>-7422.0802675585282</v>
      </c>
      <c r="U16" s="23">
        <v>3763.4147157190637</v>
      </c>
      <c r="V16" s="23">
        <v>-6049.1806020066888</v>
      </c>
      <c r="W16" s="23">
        <v>43260</v>
      </c>
      <c r="X16" s="23">
        <v>44100</v>
      </c>
      <c r="Y16" s="23">
        <v>48790</v>
      </c>
      <c r="Z16" s="23">
        <v>6986.565217391304</v>
      </c>
      <c r="AA16" s="23">
        <v>-5745.3411371237462</v>
      </c>
      <c r="AB16" s="23">
        <v>-2830.5250836120399</v>
      </c>
      <c r="AC16" s="23">
        <v>-587.23411371237455</v>
      </c>
    </row>
    <row r="17" spans="3:29">
      <c r="C17" s="23">
        <f t="shared" si="2"/>
        <v>420</v>
      </c>
      <c r="D17" s="23">
        <f t="shared" si="3"/>
        <v>168</v>
      </c>
      <c r="E17" s="23">
        <f t="shared" si="5"/>
        <v>252</v>
      </c>
      <c r="F17" s="23">
        <f t="shared" si="6"/>
        <v>700</v>
      </c>
      <c r="G17" s="23">
        <f t="shared" ca="1" si="7"/>
        <v>239</v>
      </c>
      <c r="H17" s="23">
        <f t="shared" ca="1" si="8"/>
        <v>653</v>
      </c>
      <c r="I17" s="23">
        <f t="shared" ca="1" si="9"/>
        <v>407</v>
      </c>
      <c r="J17" s="23">
        <f t="shared" ca="1" si="10"/>
        <v>653</v>
      </c>
      <c r="K17" s="23">
        <f t="shared" ca="1" si="11"/>
        <v>1060</v>
      </c>
      <c r="L17" s="23">
        <f t="shared" ca="1" si="4"/>
        <v>70300</v>
      </c>
      <c r="P17" s="10">
        <v>235</v>
      </c>
      <c r="Q17" s="23">
        <v>-8186.5819397993309</v>
      </c>
      <c r="R17" s="23">
        <v>-829.60535117056861</v>
      </c>
      <c r="S17" s="23">
        <v>11320.84949832776</v>
      </c>
      <c r="T17" s="23">
        <v>-8413.1672240802673</v>
      </c>
      <c r="U17" s="23">
        <v>1934.695652173913</v>
      </c>
      <c r="V17" s="23">
        <v>-7183.6655518394646</v>
      </c>
      <c r="W17" s="23">
        <v>45010</v>
      </c>
      <c r="X17" s="23">
        <v>45850</v>
      </c>
      <c r="Y17" s="23">
        <v>50540</v>
      </c>
      <c r="Z17" s="23">
        <v>5163.0836120401336</v>
      </c>
      <c r="AA17" s="23">
        <v>-7423.0769230769229</v>
      </c>
      <c r="AB17" s="23">
        <v>-4481.7123745819399</v>
      </c>
      <c r="AC17" s="23">
        <v>-2213.9498327759197</v>
      </c>
    </row>
    <row r="18" spans="3:29">
      <c r="C18" s="23">
        <f t="shared" si="2"/>
        <v>420</v>
      </c>
      <c r="D18" s="23">
        <f t="shared" si="3"/>
        <v>168</v>
      </c>
      <c r="E18" s="23">
        <f t="shared" si="5"/>
        <v>252</v>
      </c>
      <c r="F18" s="23">
        <f t="shared" si="6"/>
        <v>700</v>
      </c>
      <c r="G18" s="23">
        <f t="shared" ca="1" si="7"/>
        <v>207</v>
      </c>
      <c r="H18" s="23">
        <f t="shared" ca="1" si="8"/>
        <v>683</v>
      </c>
      <c r="I18" s="23">
        <f t="shared" ca="1" si="9"/>
        <v>375</v>
      </c>
      <c r="J18" s="23">
        <f t="shared" ca="1" si="10"/>
        <v>683</v>
      </c>
      <c r="K18" s="23">
        <f t="shared" ca="1" si="11"/>
        <v>1058</v>
      </c>
      <c r="L18" s="23">
        <f t="shared" ca="1" si="4"/>
        <v>70030</v>
      </c>
      <c r="P18" s="10">
        <v>260</v>
      </c>
      <c r="Q18" s="23">
        <v>-9691.5719063545148</v>
      </c>
      <c r="R18" s="23">
        <v>-2431.9397993311036</v>
      </c>
      <c r="S18" s="23">
        <v>9671.3779264214045</v>
      </c>
      <c r="T18" s="23">
        <v>-10231.772575250836</v>
      </c>
      <c r="U18" s="23">
        <v>794.70234113712377</v>
      </c>
      <c r="V18" s="23">
        <v>-8876.2107023411372</v>
      </c>
      <c r="W18" s="23">
        <v>46760</v>
      </c>
      <c r="X18" s="23">
        <v>47600</v>
      </c>
      <c r="Y18" s="23">
        <v>52290</v>
      </c>
      <c r="Z18" s="23">
        <v>3810.7023411371238</v>
      </c>
      <c r="AA18" s="23">
        <v>-9079.8628762541812</v>
      </c>
      <c r="AB18" s="23">
        <v>-6254.8963210702341</v>
      </c>
      <c r="AC18" s="23">
        <v>-3765.4448160535117</v>
      </c>
    </row>
    <row r="19" spans="3:29">
      <c r="C19" s="23">
        <f t="shared" si="2"/>
        <v>420</v>
      </c>
      <c r="D19" s="23">
        <f t="shared" si="3"/>
        <v>168</v>
      </c>
      <c r="E19" s="23">
        <f t="shared" si="5"/>
        <v>252</v>
      </c>
      <c r="F19" s="23">
        <f t="shared" si="6"/>
        <v>700</v>
      </c>
      <c r="G19" s="23">
        <f t="shared" ca="1" si="7"/>
        <v>203</v>
      </c>
      <c r="H19" s="23">
        <f t="shared" ca="1" si="8"/>
        <v>648</v>
      </c>
      <c r="I19" s="23">
        <f t="shared" ca="1" si="9"/>
        <v>371</v>
      </c>
      <c r="J19" s="23">
        <f t="shared" ca="1" si="10"/>
        <v>648</v>
      </c>
      <c r="K19" s="23">
        <f t="shared" ca="1" si="11"/>
        <v>1019</v>
      </c>
      <c r="L19" s="23">
        <f t="shared" ca="1" si="4"/>
        <v>64765</v>
      </c>
      <c r="P19" s="10">
        <v>285</v>
      </c>
      <c r="Q19" s="23">
        <v>-11213.89966555184</v>
      </c>
      <c r="R19" s="23">
        <v>-4194.9197324414718</v>
      </c>
      <c r="S19" s="23">
        <v>7997.7056856187291</v>
      </c>
      <c r="T19" s="23">
        <v>-11871.672240802676</v>
      </c>
      <c r="U19" s="23">
        <v>-1068.6020066889632</v>
      </c>
      <c r="V19" s="23">
        <v>-10740.508361204013</v>
      </c>
      <c r="W19" s="23">
        <v>48510</v>
      </c>
      <c r="X19" s="23">
        <v>49350</v>
      </c>
      <c r="Y19" s="23">
        <v>54040</v>
      </c>
      <c r="Z19" s="23">
        <v>2167.1906354515049</v>
      </c>
      <c r="AA19" s="23">
        <v>-10562.1872909699</v>
      </c>
      <c r="AB19" s="23">
        <v>-7970.739130434783</v>
      </c>
      <c r="AC19" s="23">
        <v>-5434.782608695652</v>
      </c>
    </row>
    <row r="20" spans="3:29">
      <c r="C20" s="23">
        <f t="shared" si="2"/>
        <v>420</v>
      </c>
      <c r="D20" s="23">
        <f t="shared" si="3"/>
        <v>168</v>
      </c>
      <c r="E20" s="23">
        <f t="shared" si="5"/>
        <v>252</v>
      </c>
      <c r="F20" s="23">
        <f t="shared" si="6"/>
        <v>700</v>
      </c>
      <c r="G20" s="23">
        <f t="shared" ca="1" si="7"/>
        <v>201</v>
      </c>
      <c r="H20" s="23">
        <f t="shared" ca="1" si="8"/>
        <v>775</v>
      </c>
      <c r="I20" s="23">
        <f t="shared" ca="1" si="9"/>
        <v>369</v>
      </c>
      <c r="J20" s="23">
        <f t="shared" ca="1" si="10"/>
        <v>751</v>
      </c>
      <c r="K20" s="23">
        <f t="shared" ca="1" si="11"/>
        <v>1120</v>
      </c>
      <c r="L20" s="23">
        <f t="shared" ca="1" si="4"/>
        <v>78400</v>
      </c>
      <c r="P20" s="10">
        <v>310</v>
      </c>
      <c r="Q20" s="23">
        <v>-12895.789297658863</v>
      </c>
      <c r="R20" s="23">
        <v>-5729.4381270903014</v>
      </c>
      <c r="S20" s="23">
        <v>6060.9866220735785</v>
      </c>
      <c r="T20" s="23">
        <v>-13876.839464882944</v>
      </c>
      <c r="U20" s="23">
        <v>-2614.1371237458193</v>
      </c>
      <c r="V20" s="23">
        <v>-12216.421404682274</v>
      </c>
      <c r="W20" s="23">
        <v>50260</v>
      </c>
      <c r="X20" s="23">
        <v>51100</v>
      </c>
      <c r="Y20" s="23">
        <v>55790</v>
      </c>
      <c r="Z20" s="23">
        <v>457.57859531772573</v>
      </c>
      <c r="AA20" s="23">
        <v>-12325.528428093645</v>
      </c>
      <c r="AB20" s="23">
        <v>-9534.3344481605345</v>
      </c>
      <c r="AC20" s="23">
        <v>-7034.7692307692305</v>
      </c>
    </row>
    <row r="21" spans="3:29">
      <c r="C21" s="23">
        <f t="shared" si="2"/>
        <v>420</v>
      </c>
      <c r="D21" s="23">
        <f t="shared" si="3"/>
        <v>168</v>
      </c>
      <c r="E21" s="23">
        <f t="shared" si="5"/>
        <v>252</v>
      </c>
      <c r="F21" s="23">
        <f t="shared" si="6"/>
        <v>700</v>
      </c>
      <c r="G21" s="23">
        <f t="shared" ca="1" si="7"/>
        <v>220</v>
      </c>
      <c r="H21" s="23">
        <f t="shared" ca="1" si="8"/>
        <v>624</v>
      </c>
      <c r="I21" s="23">
        <f t="shared" ca="1" si="9"/>
        <v>388</v>
      </c>
      <c r="J21" s="23">
        <f t="shared" ca="1" si="10"/>
        <v>624</v>
      </c>
      <c r="K21" s="23">
        <f t="shared" ca="1" si="11"/>
        <v>1012</v>
      </c>
      <c r="L21" s="23">
        <f t="shared" ca="1" si="4"/>
        <v>63820</v>
      </c>
      <c r="P21" s="10">
        <v>335</v>
      </c>
      <c r="Q21" s="23">
        <v>-14440.240802675586</v>
      </c>
      <c r="R21" s="23">
        <v>-7375.2976588628762</v>
      </c>
      <c r="S21" s="23">
        <v>4764.5919732441471</v>
      </c>
      <c r="T21" s="23">
        <v>-15098.464882943144</v>
      </c>
      <c r="U21" s="23">
        <v>-4400.2341137123749</v>
      </c>
      <c r="V21" s="23">
        <v>-14140.227424749164</v>
      </c>
      <c r="W21" s="23">
        <v>52010</v>
      </c>
      <c r="X21" s="23">
        <v>52850</v>
      </c>
      <c r="Y21" s="23">
        <v>57540</v>
      </c>
      <c r="Z21" s="23">
        <v>-1358.8595317725753</v>
      </c>
      <c r="AA21" s="23">
        <v>-13731.638795986622</v>
      </c>
      <c r="AB21" s="23">
        <v>-11117.795986622074</v>
      </c>
      <c r="AC21" s="23">
        <v>-8716.5685618729094</v>
      </c>
    </row>
    <row r="22" spans="3:29">
      <c r="C22" s="23">
        <f t="shared" si="2"/>
        <v>420</v>
      </c>
      <c r="D22" s="23">
        <f t="shared" si="3"/>
        <v>168</v>
      </c>
      <c r="E22" s="23">
        <f t="shared" si="5"/>
        <v>252</v>
      </c>
      <c r="F22" s="23">
        <f t="shared" si="6"/>
        <v>700</v>
      </c>
      <c r="G22" s="23">
        <f t="shared" ca="1" si="7"/>
        <v>203</v>
      </c>
      <c r="H22" s="23">
        <f t="shared" ca="1" si="8"/>
        <v>625</v>
      </c>
      <c r="I22" s="23">
        <f t="shared" ca="1" si="9"/>
        <v>371</v>
      </c>
      <c r="J22" s="23">
        <f t="shared" ca="1" si="10"/>
        <v>625</v>
      </c>
      <c r="K22" s="23">
        <f t="shared" ca="1" si="11"/>
        <v>996</v>
      </c>
      <c r="L22" s="23">
        <f t="shared" ca="1" si="4"/>
        <v>61660</v>
      </c>
      <c r="P22" s="10">
        <v>360</v>
      </c>
      <c r="Q22" s="23">
        <v>-16054.765886287625</v>
      </c>
      <c r="R22" s="23">
        <v>-8760.9096989966547</v>
      </c>
      <c r="S22" s="23">
        <v>3333.1070234113713</v>
      </c>
      <c r="T22" s="23">
        <v>-16969.806020066888</v>
      </c>
      <c r="U22" s="23">
        <v>-5848.8762541806018</v>
      </c>
      <c r="V22" s="23">
        <v>-15415.220735785953</v>
      </c>
      <c r="W22" s="23">
        <v>53757.923076923078</v>
      </c>
      <c r="X22" s="23">
        <v>54600</v>
      </c>
      <c r="Y22" s="23">
        <v>59285.9364548495</v>
      </c>
      <c r="Z22" s="23">
        <v>-2973.3846153846152</v>
      </c>
      <c r="AA22" s="23">
        <v>-15516.652173913044</v>
      </c>
      <c r="AB22" s="23">
        <v>-12848.357859531772</v>
      </c>
      <c r="AC22" s="23">
        <v>-10285.672240802676</v>
      </c>
    </row>
    <row r="23" spans="3:29">
      <c r="C23" s="23">
        <f t="shared" si="2"/>
        <v>420</v>
      </c>
      <c r="D23" s="23">
        <f t="shared" si="3"/>
        <v>168</v>
      </c>
      <c r="E23" s="23">
        <f t="shared" si="5"/>
        <v>252</v>
      </c>
      <c r="F23" s="23">
        <f t="shared" si="6"/>
        <v>700</v>
      </c>
      <c r="G23" s="23">
        <f t="shared" ca="1" si="7"/>
        <v>205</v>
      </c>
      <c r="H23" s="23">
        <f t="shared" ca="1" si="8"/>
        <v>568</v>
      </c>
      <c r="I23" s="23">
        <f t="shared" ca="1" si="9"/>
        <v>373</v>
      </c>
      <c r="J23" s="23">
        <f t="shared" ca="1" si="10"/>
        <v>568</v>
      </c>
      <c r="K23" s="23">
        <f t="shared" ca="1" si="11"/>
        <v>941</v>
      </c>
      <c r="L23" s="23">
        <f t="shared" ca="1" si="4"/>
        <v>54235</v>
      </c>
      <c r="P23" s="10">
        <v>385</v>
      </c>
      <c r="Q23" s="23">
        <v>-17668.478260869564</v>
      </c>
      <c r="R23" s="23">
        <v>-10625.568561872909</v>
      </c>
      <c r="S23" s="23">
        <v>1502.2207357859531</v>
      </c>
      <c r="T23" s="23">
        <v>-18309.545150501672</v>
      </c>
      <c r="U23" s="23">
        <v>-7462.2274247491641</v>
      </c>
      <c r="V23" s="23">
        <v>-16873.525083612039</v>
      </c>
      <c r="W23" s="23">
        <v>55509.096989966558</v>
      </c>
      <c r="X23" s="23">
        <v>56350</v>
      </c>
      <c r="Y23" s="23">
        <v>61037.200668896323</v>
      </c>
      <c r="Z23" s="23">
        <v>-4387.3511705685614</v>
      </c>
      <c r="AA23" s="23">
        <v>-17103.093645484951</v>
      </c>
      <c r="AB23" s="23">
        <v>-14208.505016722407</v>
      </c>
      <c r="AC23" s="23">
        <v>-11964.943143812709</v>
      </c>
    </row>
    <row r="24" spans="3:29">
      <c r="C24" s="23">
        <f t="shared" si="2"/>
        <v>420</v>
      </c>
      <c r="D24" s="23">
        <f t="shared" si="3"/>
        <v>168</v>
      </c>
      <c r="E24" s="23">
        <f t="shared" si="5"/>
        <v>252</v>
      </c>
      <c r="F24" s="23">
        <f t="shared" si="6"/>
        <v>700</v>
      </c>
      <c r="G24" s="23">
        <f t="shared" ca="1" si="7"/>
        <v>238</v>
      </c>
      <c r="H24" s="23">
        <f t="shared" ca="1" si="8"/>
        <v>738</v>
      </c>
      <c r="I24" s="23">
        <f t="shared" ca="1" si="9"/>
        <v>406</v>
      </c>
      <c r="J24" s="23">
        <f t="shared" ca="1" si="10"/>
        <v>714</v>
      </c>
      <c r="K24" s="23">
        <f ca="1">I24+J24</f>
        <v>1120</v>
      </c>
      <c r="L24" s="23">
        <f t="shared" ca="1" si="4"/>
        <v>78400</v>
      </c>
      <c r="P24" s="10">
        <v>410</v>
      </c>
      <c r="Q24" s="23">
        <v>-19294.652173913044</v>
      </c>
      <c r="R24" s="23">
        <v>-12138.053511705686</v>
      </c>
      <c r="S24" s="23">
        <v>-71.307692307692307</v>
      </c>
      <c r="T24" s="23">
        <v>-20232.809364548495</v>
      </c>
      <c r="U24" s="23">
        <v>-9068.5351170568556</v>
      </c>
      <c r="V24" s="23">
        <v>-18840.585284280936</v>
      </c>
      <c r="W24" s="23">
        <v>57246.816053511706</v>
      </c>
      <c r="X24" s="23">
        <v>58098.193979933108</v>
      </c>
      <c r="Y24" s="23">
        <v>62775.190635451509</v>
      </c>
      <c r="Z24" s="23">
        <v>-6141.1204013377928</v>
      </c>
      <c r="AA24" s="23">
        <v>-18800.424749163878</v>
      </c>
      <c r="AB24" s="23">
        <v>-16285.642140468228</v>
      </c>
      <c r="AC24" s="23">
        <v>-13574.772575250836</v>
      </c>
    </row>
    <row r="25" spans="3:29">
      <c r="C25" s="23">
        <f t="shared" si="2"/>
        <v>420</v>
      </c>
      <c r="D25" s="23">
        <f t="shared" si="3"/>
        <v>168</v>
      </c>
      <c r="E25" s="23">
        <f t="shared" si="5"/>
        <v>252</v>
      </c>
      <c r="F25" s="23">
        <f t="shared" si="6"/>
        <v>700</v>
      </c>
      <c r="G25" s="23">
        <f t="shared" ca="1" si="7"/>
        <v>210</v>
      </c>
      <c r="H25" s="23">
        <f t="shared" ca="1" si="8"/>
        <v>556</v>
      </c>
      <c r="I25" s="23">
        <f t="shared" ca="1" si="9"/>
        <v>378</v>
      </c>
      <c r="J25" s="23">
        <f t="shared" ca="1" si="10"/>
        <v>556</v>
      </c>
      <c r="K25" s="23">
        <f t="shared" ca="1" si="11"/>
        <v>934</v>
      </c>
      <c r="L25" s="23">
        <f t="shared" ca="1" si="4"/>
        <v>53290</v>
      </c>
      <c r="P25" s="10">
        <v>435</v>
      </c>
      <c r="Q25" s="23">
        <v>-20788.44481605351</v>
      </c>
      <c r="R25" s="23">
        <v>-13918.732441471571</v>
      </c>
      <c r="S25" s="23">
        <v>-1591.6488294314381</v>
      </c>
      <c r="T25" s="23">
        <v>-21544.82608695652</v>
      </c>
      <c r="U25" s="23">
        <v>-10877.026755852843</v>
      </c>
      <c r="V25" s="23">
        <v>-20413.391304347828</v>
      </c>
      <c r="W25" s="23">
        <v>58976.769230769234</v>
      </c>
      <c r="X25" s="23">
        <v>59825.979933110371</v>
      </c>
      <c r="Y25" s="23">
        <v>64439.946488294314</v>
      </c>
      <c r="Z25" s="23">
        <v>-7814.2508361204009</v>
      </c>
      <c r="AA25" s="23">
        <v>-20350.474916387961</v>
      </c>
      <c r="AB25" s="23">
        <v>-17483.518394648829</v>
      </c>
      <c r="AC25" s="23">
        <v>-15188.57525083612</v>
      </c>
    </row>
    <row r="26" spans="3:29">
      <c r="C26" s="23">
        <f t="shared" si="2"/>
        <v>420</v>
      </c>
      <c r="D26" s="23">
        <f t="shared" si="3"/>
        <v>168</v>
      </c>
      <c r="E26" s="23">
        <f t="shared" si="5"/>
        <v>252</v>
      </c>
      <c r="F26" s="23">
        <f t="shared" si="6"/>
        <v>700</v>
      </c>
      <c r="G26" s="23">
        <f t="shared" ca="1" si="7"/>
        <v>184</v>
      </c>
      <c r="H26" s="23">
        <f t="shared" ca="1" si="8"/>
        <v>727</v>
      </c>
      <c r="I26" s="23">
        <f t="shared" ca="1" si="9"/>
        <v>352</v>
      </c>
      <c r="J26" s="23">
        <f t="shared" ca="1" si="10"/>
        <v>727</v>
      </c>
      <c r="K26" s="23">
        <f t="shared" ca="1" si="11"/>
        <v>1079</v>
      </c>
      <c r="L26" s="23">
        <f t="shared" ca="1" si="4"/>
        <v>72865</v>
      </c>
      <c r="P26" s="10">
        <v>460</v>
      </c>
      <c r="Q26" s="23">
        <v>-22614.725752508362</v>
      </c>
      <c r="R26" s="23">
        <v>-15322.85618729097</v>
      </c>
      <c r="S26" s="23">
        <v>-3484.8428093645484</v>
      </c>
      <c r="T26" s="23">
        <v>-23489.130434782608</v>
      </c>
      <c r="U26" s="23">
        <v>-12544.377926421404</v>
      </c>
      <c r="V26" s="23">
        <v>-21836.929765886289</v>
      </c>
      <c r="W26" s="23">
        <v>60680.896321070235</v>
      </c>
      <c r="X26" s="23">
        <v>61507.35117056856</v>
      </c>
      <c r="Y26" s="23">
        <v>66080.862876254178</v>
      </c>
      <c r="Z26" s="23">
        <v>-9494.7859531772574</v>
      </c>
      <c r="AA26" s="23">
        <v>-21982.247491638795</v>
      </c>
      <c r="AB26" s="23">
        <v>-19177.05685618729</v>
      </c>
      <c r="AC26" s="23">
        <v>-16833.170568561873</v>
      </c>
    </row>
    <row r="27" spans="3:29">
      <c r="C27" s="23">
        <f t="shared" si="2"/>
        <v>420</v>
      </c>
      <c r="D27" s="23">
        <f t="shared" si="3"/>
        <v>168</v>
      </c>
      <c r="E27" s="23">
        <f t="shared" si="5"/>
        <v>252</v>
      </c>
      <c r="F27" s="23">
        <f t="shared" si="6"/>
        <v>700</v>
      </c>
      <c r="G27" s="23">
        <f t="shared" ca="1" si="7"/>
        <v>184</v>
      </c>
      <c r="H27" s="23">
        <f t="shared" ca="1" si="8"/>
        <v>740</v>
      </c>
      <c r="I27" s="23">
        <f t="shared" ca="1" si="9"/>
        <v>352</v>
      </c>
      <c r="J27" s="23">
        <f t="shared" ca="1" si="10"/>
        <v>740</v>
      </c>
      <c r="K27" s="23">
        <f t="shared" ca="1" si="11"/>
        <v>1092</v>
      </c>
      <c r="L27" s="23">
        <f t="shared" ca="1" si="4"/>
        <v>74620</v>
      </c>
      <c r="P27" s="10">
        <v>485</v>
      </c>
      <c r="Q27" s="23">
        <v>-24306.819397993309</v>
      </c>
      <c r="R27" s="23">
        <v>-17038.157190635451</v>
      </c>
      <c r="S27" s="23">
        <v>-5130.7023411371238</v>
      </c>
      <c r="T27" s="23">
        <v>-24535.842809364549</v>
      </c>
      <c r="U27" s="23">
        <v>-13978.571906354515</v>
      </c>
      <c r="V27" s="23">
        <v>-23503.739130434784</v>
      </c>
      <c r="W27" s="23">
        <v>62259.685618729098</v>
      </c>
      <c r="X27" s="23">
        <v>63168.765886287627</v>
      </c>
      <c r="Y27" s="23">
        <v>67519.595317725747</v>
      </c>
      <c r="Z27" s="23">
        <v>-10980.632107023412</v>
      </c>
      <c r="AA27" s="23">
        <v>-23592.528428093647</v>
      </c>
      <c r="AB27" s="23">
        <v>-20552.916387959867</v>
      </c>
      <c r="AC27" s="23">
        <v>-18470.270903010034</v>
      </c>
    </row>
    <row r="28" spans="3:29">
      <c r="C28" s="23">
        <f t="shared" si="2"/>
        <v>420</v>
      </c>
      <c r="D28" s="23">
        <f t="shared" si="3"/>
        <v>168</v>
      </c>
      <c r="E28" s="23">
        <f t="shared" si="5"/>
        <v>252</v>
      </c>
      <c r="F28" s="23">
        <f t="shared" si="6"/>
        <v>700</v>
      </c>
      <c r="G28" s="23">
        <f t="shared" ca="1" si="7"/>
        <v>190</v>
      </c>
      <c r="H28" s="23">
        <f t="shared" ca="1" si="8"/>
        <v>611</v>
      </c>
      <c r="I28" s="23">
        <f t="shared" ca="1" si="9"/>
        <v>358</v>
      </c>
      <c r="J28" s="23">
        <f t="shared" ca="1" si="10"/>
        <v>611</v>
      </c>
      <c r="K28" s="23">
        <f t="shared" ca="1" si="11"/>
        <v>969</v>
      </c>
      <c r="L28" s="23">
        <f t="shared" ca="1" si="4"/>
        <v>58015</v>
      </c>
      <c r="P28" s="10">
        <v>510</v>
      </c>
      <c r="Q28" s="23">
        <v>-26041.986622073578</v>
      </c>
      <c r="R28" s="23">
        <v>-18799.421404682274</v>
      </c>
      <c r="S28" s="23">
        <v>-6745.4080267558529</v>
      </c>
      <c r="T28" s="23">
        <v>-26460.010033444814</v>
      </c>
      <c r="U28" s="23">
        <v>-15847.745819397993</v>
      </c>
      <c r="V28" s="23">
        <v>-25128.46822742475</v>
      </c>
      <c r="W28" s="23">
        <v>63555.561872909697</v>
      </c>
      <c r="X28" s="23">
        <v>64764.531772575254</v>
      </c>
      <c r="Y28" s="23">
        <v>68688.779264214041</v>
      </c>
      <c r="Z28" s="23">
        <v>-12571.046822742475</v>
      </c>
      <c r="AA28" s="23">
        <v>-25110.431438127089</v>
      </c>
      <c r="AB28" s="23">
        <v>-22349.217391304348</v>
      </c>
      <c r="AC28" s="23">
        <v>-20074.321070234113</v>
      </c>
    </row>
    <row r="29" spans="3:29">
      <c r="C29" s="23">
        <f t="shared" si="2"/>
        <v>420</v>
      </c>
      <c r="D29" s="23">
        <f t="shared" si="3"/>
        <v>168</v>
      </c>
      <c r="E29" s="23">
        <f t="shared" si="5"/>
        <v>252</v>
      </c>
      <c r="F29" s="23">
        <f t="shared" si="6"/>
        <v>700</v>
      </c>
      <c r="G29" s="23">
        <f t="shared" ca="1" si="7"/>
        <v>207</v>
      </c>
      <c r="H29" s="23">
        <f t="shared" ca="1" si="8"/>
        <v>787</v>
      </c>
      <c r="I29" s="23">
        <f t="shared" ca="1" si="9"/>
        <v>375</v>
      </c>
      <c r="J29" s="23">
        <f t="shared" ca="1" si="10"/>
        <v>745</v>
      </c>
      <c r="K29" s="23">
        <f t="shared" ca="1" si="11"/>
        <v>1120</v>
      </c>
      <c r="L29" s="23">
        <f t="shared" ca="1" si="4"/>
        <v>78400</v>
      </c>
      <c r="P29" s="10">
        <v>535</v>
      </c>
      <c r="Q29" s="23">
        <v>-27399.153846153848</v>
      </c>
      <c r="R29" s="23">
        <v>-20095.545150501672</v>
      </c>
      <c r="S29" s="23">
        <v>-8334.7391304347821</v>
      </c>
      <c r="T29" s="23">
        <v>-28128.535117056857</v>
      </c>
      <c r="U29" s="23">
        <v>-17255.210702341137</v>
      </c>
      <c r="V29" s="23">
        <v>-26863.003344481604</v>
      </c>
      <c r="W29" s="23">
        <v>65108.434782608696</v>
      </c>
      <c r="X29" s="23">
        <v>66115.672240802669</v>
      </c>
      <c r="Y29" s="23">
        <v>69440.230769230766</v>
      </c>
      <c r="Z29" s="23">
        <v>-14273.254180602007</v>
      </c>
      <c r="AA29" s="23">
        <v>-26863.658862876255</v>
      </c>
      <c r="AB29" s="23">
        <v>-24339.304347826088</v>
      </c>
      <c r="AC29" s="23">
        <v>-21793.775919732441</v>
      </c>
    </row>
    <row r="30" spans="3:29">
      <c r="C30" s="23">
        <f t="shared" si="2"/>
        <v>420</v>
      </c>
      <c r="D30" s="23">
        <f t="shared" si="3"/>
        <v>168</v>
      </c>
      <c r="E30" s="23">
        <f t="shared" si="5"/>
        <v>252</v>
      </c>
      <c r="F30" s="23">
        <f t="shared" si="6"/>
        <v>700</v>
      </c>
      <c r="G30" s="23">
        <f t="shared" ca="1" si="7"/>
        <v>172</v>
      </c>
      <c r="H30" s="23">
        <f t="shared" ca="1" si="8"/>
        <v>656</v>
      </c>
      <c r="I30" s="23">
        <f t="shared" ca="1" si="9"/>
        <v>340</v>
      </c>
      <c r="J30" s="23">
        <f t="shared" ca="1" si="10"/>
        <v>656</v>
      </c>
      <c r="K30" s="23">
        <f t="shared" ca="1" si="11"/>
        <v>996</v>
      </c>
      <c r="L30" s="23">
        <f t="shared" ca="1" si="4"/>
        <v>61660</v>
      </c>
      <c r="P30" s="10">
        <v>560</v>
      </c>
      <c r="Q30" s="23">
        <v>-29313.026755852843</v>
      </c>
      <c r="R30" s="23">
        <v>-22157.331103678931</v>
      </c>
      <c r="S30" s="23">
        <v>-10118.397993311037</v>
      </c>
      <c r="T30" s="23">
        <v>-30150.588628762544</v>
      </c>
      <c r="U30" s="23">
        <v>-18866.755852842809</v>
      </c>
      <c r="V30" s="23">
        <v>-28474.819397993309</v>
      </c>
      <c r="W30" s="23">
        <v>65584.739130434784</v>
      </c>
      <c r="X30" s="23">
        <v>67319.351170568567</v>
      </c>
      <c r="Y30" s="23">
        <v>69524.628762541804</v>
      </c>
      <c r="Z30" s="23">
        <v>-15866.287625418061</v>
      </c>
      <c r="AA30" s="23">
        <v>-28448.474916387961</v>
      </c>
      <c r="AB30" s="23">
        <v>-25608.789297658863</v>
      </c>
      <c r="AC30" s="23">
        <v>-23316.193979933112</v>
      </c>
    </row>
    <row r="31" spans="3:29">
      <c r="C31" s="23">
        <f t="shared" si="2"/>
        <v>420</v>
      </c>
      <c r="D31" s="23">
        <f t="shared" si="3"/>
        <v>168</v>
      </c>
      <c r="E31" s="23">
        <f t="shared" si="5"/>
        <v>252</v>
      </c>
      <c r="F31" s="23">
        <f t="shared" si="6"/>
        <v>700</v>
      </c>
      <c r="G31" s="23">
        <f t="shared" ca="1" si="7"/>
        <v>233</v>
      </c>
      <c r="H31" s="23">
        <f t="shared" ca="1" si="8"/>
        <v>587</v>
      </c>
      <c r="I31" s="23">
        <f t="shared" ca="1" si="9"/>
        <v>401</v>
      </c>
      <c r="J31" s="23">
        <f t="shared" ca="1" si="10"/>
        <v>587</v>
      </c>
      <c r="K31" s="23">
        <f t="shared" ca="1" si="11"/>
        <v>988</v>
      </c>
      <c r="L31" s="23">
        <f t="shared" ca="1" si="4"/>
        <v>60580</v>
      </c>
      <c r="P31" s="10">
        <v>585</v>
      </c>
      <c r="Q31" s="23">
        <v>-30849.260869565216</v>
      </c>
      <c r="R31" s="23">
        <v>-23555.043478260868</v>
      </c>
      <c r="S31" s="23">
        <v>-11190.846153846154</v>
      </c>
      <c r="T31" s="23">
        <v>-31529.789297658863</v>
      </c>
      <c r="U31" s="23">
        <v>-20415.993311036789</v>
      </c>
      <c r="V31" s="23">
        <v>-30038.14381270903</v>
      </c>
      <c r="W31" s="23">
        <v>66201.913043478256</v>
      </c>
      <c r="X31" s="23">
        <v>67670.588628762547</v>
      </c>
      <c r="Y31" s="23">
        <v>69030.107023411372</v>
      </c>
      <c r="Z31" s="23">
        <v>-17351.862876254181</v>
      </c>
      <c r="AA31" s="23">
        <v>-30129.280936454848</v>
      </c>
      <c r="AB31" s="23">
        <v>-27244.806020066888</v>
      </c>
      <c r="AC31" s="23">
        <v>-24917.354515050167</v>
      </c>
    </row>
    <row r="32" spans="3:29">
      <c r="C32" s="23">
        <f t="shared" si="2"/>
        <v>420</v>
      </c>
      <c r="D32" s="23">
        <f t="shared" si="3"/>
        <v>168</v>
      </c>
      <c r="E32" s="23">
        <f t="shared" si="5"/>
        <v>252</v>
      </c>
      <c r="F32" s="23">
        <f t="shared" si="6"/>
        <v>700</v>
      </c>
      <c r="G32" s="23">
        <f t="shared" ca="1" si="7"/>
        <v>179</v>
      </c>
      <c r="H32" s="23">
        <f t="shared" ca="1" si="8"/>
        <v>610</v>
      </c>
      <c r="I32" s="23">
        <f t="shared" ca="1" si="9"/>
        <v>347</v>
      </c>
      <c r="J32" s="23">
        <f t="shared" ca="1" si="10"/>
        <v>610</v>
      </c>
      <c r="K32" s="23">
        <f t="shared" ca="1" si="11"/>
        <v>957</v>
      </c>
      <c r="L32" s="23">
        <f t="shared" ca="1" si="4"/>
        <v>56395</v>
      </c>
      <c r="P32" s="10">
        <v>610</v>
      </c>
      <c r="Q32" s="23">
        <v>-32471.100334448161</v>
      </c>
      <c r="R32" s="23">
        <v>-25120.986622073578</v>
      </c>
      <c r="S32" s="23">
        <v>-12857.474916387961</v>
      </c>
      <c r="T32" s="23">
        <v>-33243.193979933108</v>
      </c>
      <c r="U32" s="23">
        <v>-22272.615384615383</v>
      </c>
      <c r="V32" s="23">
        <v>-31564.535117056857</v>
      </c>
      <c r="W32" s="23">
        <v>65824.331103678924</v>
      </c>
      <c r="X32" s="23">
        <v>68138.856187290963</v>
      </c>
      <c r="Y32" s="23">
        <v>68397.334448160531</v>
      </c>
      <c r="Z32" s="23">
        <v>-19016.414715719064</v>
      </c>
      <c r="AA32" s="23">
        <v>-31854.334448160535</v>
      </c>
      <c r="AB32" s="23">
        <v>-29145.765886287627</v>
      </c>
      <c r="AC32" s="23">
        <v>-26634.371237458196</v>
      </c>
    </row>
    <row r="33" spans="3:29">
      <c r="C33" s="23">
        <f t="shared" si="2"/>
        <v>420</v>
      </c>
      <c r="D33" s="23">
        <f t="shared" si="3"/>
        <v>168</v>
      </c>
      <c r="E33" s="23">
        <f t="shared" si="5"/>
        <v>252</v>
      </c>
      <c r="F33" s="23">
        <f t="shared" si="6"/>
        <v>700</v>
      </c>
      <c r="G33" s="23">
        <f t="shared" ca="1" si="7"/>
        <v>213</v>
      </c>
      <c r="H33" s="23">
        <f t="shared" ca="1" si="8"/>
        <v>648</v>
      </c>
      <c r="I33" s="23">
        <f t="shared" ca="1" si="9"/>
        <v>381</v>
      </c>
      <c r="J33" s="23">
        <f t="shared" ca="1" si="10"/>
        <v>648</v>
      </c>
      <c r="K33" s="23">
        <f t="shared" ca="1" si="11"/>
        <v>1029</v>
      </c>
      <c r="L33" s="23">
        <f t="shared" ca="1" si="4"/>
        <v>66115</v>
      </c>
      <c r="P33" s="10">
        <v>635</v>
      </c>
      <c r="Q33" s="23">
        <v>-34105.852842809363</v>
      </c>
      <c r="R33" s="23">
        <v>-26789.963210702343</v>
      </c>
      <c r="S33" s="23">
        <v>-14865.351170568561</v>
      </c>
      <c r="T33" s="23">
        <v>-34614.448160535117</v>
      </c>
      <c r="U33" s="23">
        <v>-23567.474916387961</v>
      </c>
      <c r="V33" s="23">
        <v>-33234.14381270903</v>
      </c>
      <c r="W33" s="23">
        <v>65356.448160535117</v>
      </c>
      <c r="X33" s="23">
        <v>68000.842809364549</v>
      </c>
      <c r="Y33" s="23">
        <v>66975.331103678924</v>
      </c>
      <c r="Z33" s="23">
        <v>-20587.414715719064</v>
      </c>
      <c r="AA33" s="23">
        <v>-33367.180602006687</v>
      </c>
      <c r="AB33" s="23">
        <v>-30714.23745819398</v>
      </c>
      <c r="AC33" s="23">
        <v>-28186.227424749162</v>
      </c>
    </row>
    <row r="34" spans="3:29">
      <c r="C34" s="23">
        <f t="shared" si="2"/>
        <v>420</v>
      </c>
      <c r="D34" s="23">
        <f t="shared" si="3"/>
        <v>168</v>
      </c>
      <c r="E34" s="23">
        <f t="shared" si="5"/>
        <v>252</v>
      </c>
      <c r="F34" s="23">
        <f t="shared" si="6"/>
        <v>700</v>
      </c>
      <c r="G34" s="23">
        <f t="shared" ca="1" si="7"/>
        <v>223</v>
      </c>
      <c r="H34" s="23">
        <f t="shared" ca="1" si="8"/>
        <v>721</v>
      </c>
      <c r="I34" s="23">
        <f t="shared" ca="1" si="9"/>
        <v>391</v>
      </c>
      <c r="J34" s="23">
        <f t="shared" ca="1" si="10"/>
        <v>721</v>
      </c>
      <c r="K34" s="23">
        <f t="shared" ca="1" si="11"/>
        <v>1112</v>
      </c>
      <c r="L34" s="23">
        <f t="shared" ca="1" si="4"/>
        <v>77320</v>
      </c>
      <c r="P34" s="10">
        <v>660</v>
      </c>
      <c r="Q34" s="23">
        <v>-35571.200668896323</v>
      </c>
      <c r="R34" s="23">
        <v>-28458.217391304348</v>
      </c>
      <c r="S34" s="23">
        <v>-16756.648829431437</v>
      </c>
      <c r="T34" s="23">
        <v>-36425.377926421403</v>
      </c>
      <c r="U34" s="23">
        <v>-25542.752508361205</v>
      </c>
      <c r="V34" s="23">
        <v>-35211.58862876254</v>
      </c>
      <c r="W34" s="23">
        <v>64304.949832775921</v>
      </c>
      <c r="X34" s="23">
        <v>67190.357859531767</v>
      </c>
      <c r="Y34" s="23">
        <v>65336.605351170569</v>
      </c>
      <c r="Z34" s="23">
        <v>-22406.923076923078</v>
      </c>
      <c r="AA34" s="23">
        <v>-34901.157190635451</v>
      </c>
      <c r="AB34" s="23">
        <v>-32496</v>
      </c>
      <c r="AC34" s="23">
        <v>-29755.240802675584</v>
      </c>
    </row>
    <row r="35" spans="3:29">
      <c r="C35" s="23">
        <f t="shared" si="2"/>
        <v>420</v>
      </c>
      <c r="D35" s="23">
        <f t="shared" si="3"/>
        <v>168</v>
      </c>
      <c r="E35" s="23">
        <f t="shared" si="5"/>
        <v>252</v>
      </c>
      <c r="F35" s="23">
        <f t="shared" si="6"/>
        <v>700</v>
      </c>
      <c r="G35" s="23">
        <f t="shared" ca="1" si="7"/>
        <v>221</v>
      </c>
      <c r="H35" s="23">
        <f t="shared" ca="1" si="8"/>
        <v>705</v>
      </c>
      <c r="I35" s="23">
        <f t="shared" ca="1" si="9"/>
        <v>389</v>
      </c>
      <c r="J35" s="23">
        <f t="shared" ca="1" si="10"/>
        <v>705</v>
      </c>
      <c r="K35" s="23">
        <f t="shared" ca="1" si="11"/>
        <v>1094</v>
      </c>
      <c r="L35" s="23">
        <f t="shared" ca="1" si="4"/>
        <v>74890</v>
      </c>
      <c r="P35" s="10">
        <v>685</v>
      </c>
      <c r="Q35" s="23">
        <v>-37084.58862876254</v>
      </c>
      <c r="R35" s="23">
        <v>-30238.896321070235</v>
      </c>
      <c r="S35" s="23">
        <v>-17973.759197324416</v>
      </c>
      <c r="T35" s="23">
        <v>-38050.64882943144</v>
      </c>
      <c r="U35" s="23">
        <v>-27071.76254180602</v>
      </c>
      <c r="V35" s="23">
        <v>-36419.397993311039</v>
      </c>
      <c r="W35" s="23">
        <v>62970.899665551842</v>
      </c>
      <c r="X35" s="23">
        <v>66224.013377926414</v>
      </c>
      <c r="Y35" s="23">
        <v>63927.153846153844</v>
      </c>
      <c r="Z35" s="23">
        <v>-23868.658862876255</v>
      </c>
      <c r="AA35" s="23">
        <v>-36641.020066889629</v>
      </c>
      <c r="AB35" s="23">
        <v>-33748.508361204011</v>
      </c>
      <c r="AC35" s="23">
        <v>-31406.608695652172</v>
      </c>
    </row>
    <row r="36" spans="3:29">
      <c r="C36" s="23">
        <f t="shared" si="2"/>
        <v>420</v>
      </c>
      <c r="D36" s="23">
        <f t="shared" si="3"/>
        <v>168</v>
      </c>
      <c r="E36" s="23">
        <f t="shared" si="5"/>
        <v>252</v>
      </c>
      <c r="F36" s="23">
        <f t="shared" si="6"/>
        <v>700</v>
      </c>
      <c r="G36" s="23">
        <f t="shared" ca="1" si="7"/>
        <v>213</v>
      </c>
      <c r="H36" s="23">
        <f t="shared" ca="1" si="8"/>
        <v>573</v>
      </c>
      <c r="I36" s="23">
        <f t="shared" ca="1" si="9"/>
        <v>381</v>
      </c>
      <c r="J36" s="23">
        <f t="shared" ca="1" si="10"/>
        <v>573</v>
      </c>
      <c r="K36" s="23">
        <f t="shared" ca="1" si="11"/>
        <v>954</v>
      </c>
      <c r="L36" s="23">
        <f t="shared" ca="1" si="4"/>
        <v>55990</v>
      </c>
      <c r="P36" s="10">
        <v>710</v>
      </c>
      <c r="Q36" s="23">
        <v>-39061.852842809363</v>
      </c>
      <c r="R36" s="23">
        <v>-31706.140468227426</v>
      </c>
      <c r="S36" s="23">
        <v>-19466.287625418059</v>
      </c>
      <c r="T36" s="23">
        <v>-39869.254180602009</v>
      </c>
      <c r="U36" s="23">
        <v>-28695.949832775921</v>
      </c>
      <c r="V36" s="23">
        <v>-37976.852842809363</v>
      </c>
      <c r="W36" s="23">
        <v>61861.337792642138</v>
      </c>
      <c r="X36" s="23">
        <v>64803.996655518393</v>
      </c>
      <c r="Y36" s="23">
        <v>62617.484949832775</v>
      </c>
      <c r="Z36" s="23">
        <v>-25461.963210702343</v>
      </c>
      <c r="AA36" s="23">
        <v>-38194.321070234117</v>
      </c>
      <c r="AB36" s="23">
        <v>-35183.244147157187</v>
      </c>
      <c r="AC36" s="23">
        <v>-33059.421404682274</v>
      </c>
    </row>
    <row r="37" spans="3:29">
      <c r="C37" s="23">
        <f t="shared" si="2"/>
        <v>420</v>
      </c>
      <c r="D37" s="23">
        <f t="shared" si="3"/>
        <v>168</v>
      </c>
      <c r="E37" s="23">
        <f t="shared" si="5"/>
        <v>252</v>
      </c>
      <c r="F37" s="23">
        <f t="shared" si="6"/>
        <v>700</v>
      </c>
      <c r="G37" s="23">
        <f t="shared" ca="1" si="7"/>
        <v>183</v>
      </c>
      <c r="H37" s="23">
        <f t="shared" ca="1" si="8"/>
        <v>606</v>
      </c>
      <c r="I37" s="23">
        <f t="shared" ca="1" si="9"/>
        <v>351</v>
      </c>
      <c r="J37" s="23">
        <f t="shared" ca="1" si="10"/>
        <v>606</v>
      </c>
      <c r="K37" s="23">
        <f t="shared" ca="1" si="11"/>
        <v>957</v>
      </c>
      <c r="L37" s="23">
        <f t="shared" ca="1" si="4"/>
        <v>56395</v>
      </c>
      <c r="P37" s="10">
        <v>735</v>
      </c>
      <c r="Q37" s="23">
        <v>-40307.58862876254</v>
      </c>
      <c r="R37" s="23">
        <v>-33305.224080267559</v>
      </c>
      <c r="S37" s="23">
        <v>-21600.494983277593</v>
      </c>
      <c r="T37" s="23">
        <v>-41599.635451505019</v>
      </c>
      <c r="U37" s="23">
        <v>-30212.317725752509</v>
      </c>
      <c r="V37" s="23">
        <v>-39794.645484949833</v>
      </c>
      <c r="W37" s="23">
        <v>59869.44481605351</v>
      </c>
      <c r="X37" s="23">
        <v>63344.608695652176</v>
      </c>
      <c r="Y37" s="23">
        <v>60877.531772575254</v>
      </c>
      <c r="Z37" s="23">
        <v>-27242.371237458196</v>
      </c>
      <c r="AA37" s="23">
        <v>-39872.508361204011</v>
      </c>
      <c r="AB37" s="23">
        <v>-37087.816053511706</v>
      </c>
      <c r="AC37" s="23">
        <v>-34722.799331103677</v>
      </c>
    </row>
    <row r="38" spans="3:29">
      <c r="C38" s="23">
        <f t="shared" si="2"/>
        <v>420</v>
      </c>
      <c r="D38" s="23">
        <f t="shared" si="3"/>
        <v>168</v>
      </c>
      <c r="E38" s="23">
        <f t="shared" si="5"/>
        <v>252</v>
      </c>
      <c r="F38" s="23">
        <f t="shared" si="6"/>
        <v>700</v>
      </c>
      <c r="G38" s="23">
        <f t="shared" ca="1" si="7"/>
        <v>194</v>
      </c>
      <c r="H38" s="23">
        <f t="shared" ca="1" si="8"/>
        <v>677</v>
      </c>
      <c r="I38" s="23">
        <f t="shared" ca="1" si="9"/>
        <v>362</v>
      </c>
      <c r="J38" s="23">
        <f t="shared" ca="1" si="10"/>
        <v>677</v>
      </c>
      <c r="K38" s="23">
        <f t="shared" ca="1" si="11"/>
        <v>1039</v>
      </c>
      <c r="L38" s="23">
        <f t="shared" ca="1" si="4"/>
        <v>67465</v>
      </c>
      <c r="P38" s="10">
        <v>760</v>
      </c>
      <c r="Q38" s="23">
        <v>-42114.274247491638</v>
      </c>
      <c r="R38" s="23">
        <v>-34938.802675585284</v>
      </c>
      <c r="S38" s="23">
        <v>-22625.44481605351</v>
      </c>
      <c r="T38" s="23">
        <v>-42841.217391304344</v>
      </c>
      <c r="U38" s="23">
        <v>-31830.364548494985</v>
      </c>
      <c r="V38" s="23">
        <v>-41468.678929765883</v>
      </c>
      <c r="W38" s="23">
        <v>58881.96989966555</v>
      </c>
      <c r="X38" s="23">
        <v>61758.257525083609</v>
      </c>
      <c r="Y38" s="23">
        <v>58772.311036789295</v>
      </c>
      <c r="Z38" s="23">
        <v>-28763.434782608696</v>
      </c>
      <c r="AA38" s="23">
        <v>-41502.655518394648</v>
      </c>
      <c r="AB38" s="23">
        <v>-38548.016722408029</v>
      </c>
      <c r="AC38" s="23">
        <v>-36329.829431438127</v>
      </c>
    </row>
    <row r="39" spans="3:29">
      <c r="C39" s="23">
        <f t="shared" si="2"/>
        <v>420</v>
      </c>
      <c r="D39" s="23">
        <f t="shared" si="3"/>
        <v>168</v>
      </c>
      <c r="E39" s="23">
        <f t="shared" si="5"/>
        <v>252</v>
      </c>
      <c r="F39" s="23">
        <f t="shared" si="6"/>
        <v>700</v>
      </c>
      <c r="G39" s="23">
        <f t="shared" ca="1" si="7"/>
        <v>179</v>
      </c>
      <c r="H39" s="23">
        <f t="shared" ca="1" si="8"/>
        <v>726</v>
      </c>
      <c r="I39" s="23">
        <f t="shared" ca="1" si="9"/>
        <v>347</v>
      </c>
      <c r="J39" s="23">
        <f t="shared" ca="1" si="10"/>
        <v>726</v>
      </c>
      <c r="K39" s="23">
        <f t="shared" ca="1" si="11"/>
        <v>1073</v>
      </c>
      <c r="L39" s="23">
        <f t="shared" ca="1" si="4"/>
        <v>72055</v>
      </c>
      <c r="P39" s="10">
        <v>785</v>
      </c>
      <c r="Q39" s="23">
        <v>-43683.558528428097</v>
      </c>
      <c r="R39" s="23">
        <v>-36519.735785953177</v>
      </c>
      <c r="S39" s="23">
        <v>-24691.29431438127</v>
      </c>
      <c r="T39" s="23">
        <v>-44322.006688963207</v>
      </c>
      <c r="U39" s="23">
        <v>-33519.387959866224</v>
      </c>
      <c r="V39" s="23">
        <v>-43049.973244147157</v>
      </c>
      <c r="W39" s="23">
        <v>57186.17391304348</v>
      </c>
      <c r="X39" s="23">
        <v>59996.812709030099</v>
      </c>
      <c r="Y39" s="23">
        <v>57836.578595317726</v>
      </c>
      <c r="Z39" s="23">
        <v>-30528.130434782608</v>
      </c>
      <c r="AA39" s="23">
        <v>-43069.41137123746</v>
      </c>
      <c r="AB39" s="23">
        <v>-40425.58862876254</v>
      </c>
      <c r="AC39" s="23">
        <v>-37957.267558528431</v>
      </c>
    </row>
    <row r="40" spans="3:29">
      <c r="C40" s="23">
        <f t="shared" si="2"/>
        <v>420</v>
      </c>
      <c r="D40" s="23">
        <f t="shared" si="3"/>
        <v>168</v>
      </c>
      <c r="E40" s="23">
        <f t="shared" si="5"/>
        <v>252</v>
      </c>
      <c r="F40" s="23">
        <f t="shared" si="6"/>
        <v>700</v>
      </c>
      <c r="G40" s="23">
        <f t="shared" ca="1" si="7"/>
        <v>225</v>
      </c>
      <c r="H40" s="23">
        <f t="shared" ca="1" si="8"/>
        <v>628</v>
      </c>
      <c r="I40" s="23">
        <f t="shared" ca="1" si="9"/>
        <v>393</v>
      </c>
      <c r="J40" s="23">
        <f t="shared" ca="1" si="10"/>
        <v>628</v>
      </c>
      <c r="K40" s="23">
        <f t="shared" ca="1" si="11"/>
        <v>1021</v>
      </c>
      <c r="L40" s="23">
        <f t="shared" ca="1" si="4"/>
        <v>65035</v>
      </c>
      <c r="P40" s="10">
        <v>810</v>
      </c>
      <c r="Q40" s="23">
        <v>-45129.76254180602</v>
      </c>
      <c r="R40" s="23">
        <v>-38070.147157190637</v>
      </c>
      <c r="S40" s="23">
        <v>-26138.581939799333</v>
      </c>
      <c r="T40" s="23">
        <v>-45861.943143812707</v>
      </c>
      <c r="U40" s="23">
        <v>-35170.9364548495</v>
      </c>
      <c r="V40" s="23">
        <v>-44907.137123745822</v>
      </c>
      <c r="W40" s="23">
        <v>55243.85618729097</v>
      </c>
      <c r="X40" s="23">
        <v>58569.210702341137</v>
      </c>
      <c r="Y40" s="23">
        <v>56063.214046822744</v>
      </c>
      <c r="Z40" s="23">
        <v>-32110.05685618729</v>
      </c>
      <c r="AA40" s="23">
        <v>-44671.836120401334</v>
      </c>
      <c r="AB40" s="23">
        <v>-42055.55518394649</v>
      </c>
      <c r="AC40" s="23">
        <v>-39578.113712374579</v>
      </c>
    </row>
    <row r="41" spans="3:29">
      <c r="C41" s="23">
        <f t="shared" si="2"/>
        <v>420</v>
      </c>
      <c r="D41" s="23">
        <f t="shared" si="3"/>
        <v>168</v>
      </c>
      <c r="E41" s="23">
        <f t="shared" si="5"/>
        <v>252</v>
      </c>
      <c r="F41" s="23">
        <f t="shared" si="6"/>
        <v>700</v>
      </c>
      <c r="G41" s="23">
        <f t="shared" ca="1" si="7"/>
        <v>182</v>
      </c>
      <c r="H41" s="23">
        <f t="shared" ca="1" si="8"/>
        <v>633</v>
      </c>
      <c r="I41" s="23">
        <f t="shared" ca="1" si="9"/>
        <v>350</v>
      </c>
      <c r="J41" s="23">
        <f t="shared" ca="1" si="10"/>
        <v>633</v>
      </c>
      <c r="K41" s="23">
        <f t="shared" ca="1" si="11"/>
        <v>983</v>
      </c>
      <c r="L41" s="23">
        <f t="shared" ca="1" si="4"/>
        <v>59905</v>
      </c>
      <c r="P41" s="10">
        <v>835</v>
      </c>
      <c r="Q41" s="23">
        <v>-46788.264214046823</v>
      </c>
      <c r="R41" s="23">
        <v>-39715.103678929765</v>
      </c>
      <c r="S41" s="23">
        <v>-27481.391304347828</v>
      </c>
      <c r="T41" s="23">
        <v>-48214.859531772578</v>
      </c>
      <c r="U41" s="23">
        <v>-36821.943143812707</v>
      </c>
      <c r="V41" s="23">
        <v>-46414.023411371236</v>
      </c>
      <c r="W41" s="23">
        <v>53598.719063545148</v>
      </c>
      <c r="X41" s="23">
        <v>56833.862876254178</v>
      </c>
      <c r="Y41" s="23">
        <v>54452.933110367892</v>
      </c>
      <c r="Z41" s="23">
        <v>-33688.010033444814</v>
      </c>
      <c r="AA41" s="23">
        <v>-46415.491638795989</v>
      </c>
      <c r="AB41" s="23">
        <v>-43826.391304347824</v>
      </c>
      <c r="AC41" s="23">
        <v>-41329.535117056854</v>
      </c>
    </row>
    <row r="42" spans="3:29">
      <c r="C42" s="23">
        <f t="shared" si="2"/>
        <v>420</v>
      </c>
      <c r="D42" s="23">
        <f t="shared" si="3"/>
        <v>168</v>
      </c>
      <c r="E42" s="23">
        <f t="shared" si="5"/>
        <v>252</v>
      </c>
      <c r="F42" s="23">
        <f t="shared" si="6"/>
        <v>700</v>
      </c>
      <c r="G42" s="23">
        <f t="shared" ca="1" si="7"/>
        <v>171</v>
      </c>
      <c r="H42" s="23">
        <f t="shared" ca="1" si="8"/>
        <v>640</v>
      </c>
      <c r="I42" s="23">
        <f t="shared" ca="1" si="9"/>
        <v>339</v>
      </c>
      <c r="J42" s="23">
        <f t="shared" ca="1" si="10"/>
        <v>640</v>
      </c>
      <c r="K42" s="23">
        <f t="shared" ca="1" si="11"/>
        <v>979</v>
      </c>
      <c r="L42" s="23">
        <f t="shared" ca="1" si="4"/>
        <v>59365</v>
      </c>
      <c r="P42" s="10">
        <v>860</v>
      </c>
      <c r="Q42" s="23">
        <v>-48480.448160535117</v>
      </c>
      <c r="R42" s="23">
        <v>-41213.682274247491</v>
      </c>
      <c r="S42" s="23">
        <v>-29596.816053511706</v>
      </c>
      <c r="T42" s="23">
        <v>-49410.658862876255</v>
      </c>
      <c r="U42" s="23">
        <v>-38569.662207357862</v>
      </c>
      <c r="V42" s="23">
        <v>-48068.010033444814</v>
      </c>
      <c r="W42" s="23">
        <v>52305.03344481605</v>
      </c>
      <c r="X42" s="23">
        <v>54874.117056856187</v>
      </c>
      <c r="Y42" s="23">
        <v>52522.986622073578</v>
      </c>
      <c r="Z42" s="23">
        <v>-35388.591973244147</v>
      </c>
      <c r="AA42" s="23">
        <v>-48004.461538461539</v>
      </c>
      <c r="AB42" s="23">
        <v>-44912.836120401334</v>
      </c>
      <c r="AC42" s="23">
        <v>-42800.752508361205</v>
      </c>
    </row>
    <row r="43" spans="3:29">
      <c r="C43" s="23">
        <f t="shared" si="2"/>
        <v>420</v>
      </c>
      <c r="D43" s="23">
        <f t="shared" si="3"/>
        <v>168</v>
      </c>
      <c r="E43" s="23">
        <f t="shared" si="5"/>
        <v>252</v>
      </c>
      <c r="F43" s="23">
        <f t="shared" si="6"/>
        <v>700</v>
      </c>
      <c r="G43" s="23">
        <f t="shared" ca="1" si="7"/>
        <v>200</v>
      </c>
      <c r="H43" s="23">
        <f t="shared" ca="1" si="8"/>
        <v>634</v>
      </c>
      <c r="I43" s="23">
        <f t="shared" ca="1" si="9"/>
        <v>368</v>
      </c>
      <c r="J43" s="23">
        <f t="shared" ca="1" si="10"/>
        <v>634</v>
      </c>
      <c r="K43" s="23">
        <f t="shared" ca="1" si="11"/>
        <v>1002</v>
      </c>
      <c r="L43" s="23">
        <f t="shared" ca="1" si="4"/>
        <v>62470</v>
      </c>
      <c r="P43" s="10">
        <v>885</v>
      </c>
      <c r="Q43" s="23">
        <v>-50265.371237458196</v>
      </c>
      <c r="R43" s="23">
        <v>-42944.785953177256</v>
      </c>
      <c r="S43" s="23">
        <v>-30622.397993311039</v>
      </c>
      <c r="T43" s="23">
        <v>-51469.82608695652</v>
      </c>
      <c r="U43" s="23">
        <v>-40052.167224080265</v>
      </c>
      <c r="V43" s="23">
        <v>-49597.742474916391</v>
      </c>
      <c r="W43" s="23">
        <v>50323.976588628764</v>
      </c>
      <c r="X43" s="23">
        <v>53471.257525083609</v>
      </c>
      <c r="Y43" s="23">
        <v>51076.331103678931</v>
      </c>
      <c r="Z43" s="23">
        <v>-36882.294314381274</v>
      </c>
      <c r="AA43" s="23">
        <v>-49664.046822742472</v>
      </c>
      <c r="AB43" s="23">
        <v>-46881.882943143813</v>
      </c>
      <c r="AC43" s="23">
        <v>-44424.759197324413</v>
      </c>
    </row>
    <row r="44" spans="3:29">
      <c r="C44" s="23">
        <f t="shared" si="2"/>
        <v>420</v>
      </c>
      <c r="D44" s="23">
        <f t="shared" si="3"/>
        <v>168</v>
      </c>
      <c r="E44" s="23">
        <f t="shared" si="5"/>
        <v>252</v>
      </c>
      <c r="F44" s="23">
        <f t="shared" si="6"/>
        <v>700</v>
      </c>
      <c r="G44" s="23">
        <f t="shared" ca="1" si="7"/>
        <v>223</v>
      </c>
      <c r="H44" s="23">
        <f t="shared" ca="1" si="8"/>
        <v>638</v>
      </c>
      <c r="I44" s="23">
        <f t="shared" ca="1" si="9"/>
        <v>391</v>
      </c>
      <c r="J44" s="23">
        <f t="shared" ca="1" si="10"/>
        <v>638</v>
      </c>
      <c r="K44" s="23">
        <f t="shared" ca="1" si="11"/>
        <v>1029</v>
      </c>
      <c r="L44" s="23">
        <f t="shared" ca="1" si="4"/>
        <v>66115</v>
      </c>
      <c r="P44" s="10">
        <v>910</v>
      </c>
      <c r="Q44" s="23">
        <v>-51797.903010033442</v>
      </c>
      <c r="R44" s="23">
        <v>-44793.642140468226</v>
      </c>
      <c r="S44" s="23">
        <v>-32527.060200668897</v>
      </c>
      <c r="T44" s="23">
        <v>-52773.806020066892</v>
      </c>
      <c r="U44" s="23">
        <v>-41517.515050167225</v>
      </c>
      <c r="V44" s="23">
        <v>-51285.591973244147</v>
      </c>
      <c r="W44" s="23">
        <v>48480.989966555186</v>
      </c>
      <c r="X44" s="23">
        <v>52350.58862876254</v>
      </c>
      <c r="Y44" s="23">
        <v>49493.321070234117</v>
      </c>
      <c r="Z44" s="23">
        <v>-38729.705685618726</v>
      </c>
      <c r="AA44" s="23">
        <v>-51194.140468227422</v>
      </c>
      <c r="AB44" s="23">
        <v>-48407.913043478264</v>
      </c>
      <c r="AC44" s="23">
        <v>-46094.367892976588</v>
      </c>
    </row>
    <row r="45" spans="3:29">
      <c r="C45" s="23">
        <f t="shared" si="2"/>
        <v>420</v>
      </c>
      <c r="D45" s="23">
        <f t="shared" si="3"/>
        <v>168</v>
      </c>
      <c r="E45" s="23">
        <f t="shared" si="5"/>
        <v>252</v>
      </c>
      <c r="F45" s="23">
        <f t="shared" si="6"/>
        <v>700</v>
      </c>
      <c r="G45" s="23">
        <f t="shared" ca="1" si="7"/>
        <v>276</v>
      </c>
      <c r="H45" s="23">
        <f t="shared" ca="1" si="8"/>
        <v>577</v>
      </c>
      <c r="I45" s="23">
        <f t="shared" ca="1" si="9"/>
        <v>420</v>
      </c>
      <c r="J45" s="23">
        <f t="shared" ca="1" si="10"/>
        <v>577</v>
      </c>
      <c r="K45" s="23">
        <f t="shared" ca="1" si="11"/>
        <v>997</v>
      </c>
      <c r="L45" s="23">
        <f t="shared" ca="1" si="4"/>
        <v>61795</v>
      </c>
      <c r="P45" s="10">
        <v>935</v>
      </c>
      <c r="Q45" s="23">
        <v>-53625.086956521736</v>
      </c>
      <c r="R45" s="23">
        <v>-46457.923076923078</v>
      </c>
      <c r="S45" s="23">
        <v>-34138.876254180599</v>
      </c>
      <c r="T45" s="23">
        <v>-54412.35117056856</v>
      </c>
      <c r="U45" s="23">
        <v>-43347.678929765883</v>
      </c>
      <c r="V45" s="23">
        <v>-52769.541806020068</v>
      </c>
      <c r="W45" s="23">
        <v>47484.214046822744</v>
      </c>
      <c r="X45" s="23">
        <v>50117.321070234117</v>
      </c>
      <c r="Y45" s="23">
        <v>47690.879598662206</v>
      </c>
      <c r="Z45" s="23">
        <v>-40263.591973244147</v>
      </c>
      <c r="AA45" s="23">
        <v>-52847.133779264215</v>
      </c>
      <c r="AB45" s="23">
        <v>-50315.82608695652</v>
      </c>
      <c r="AC45" s="23">
        <v>-47642.79264214047</v>
      </c>
    </row>
    <row r="46" spans="3:29">
      <c r="C46" s="23">
        <f t="shared" si="2"/>
        <v>420</v>
      </c>
      <c r="D46" s="23">
        <f t="shared" si="3"/>
        <v>168</v>
      </c>
      <c r="E46" s="23">
        <f t="shared" si="5"/>
        <v>252</v>
      </c>
      <c r="F46" s="23">
        <f t="shared" si="6"/>
        <v>700</v>
      </c>
      <c r="G46" s="23">
        <f t="shared" ca="1" si="7"/>
        <v>231</v>
      </c>
      <c r="H46" s="23">
        <f t="shared" ca="1" si="8"/>
        <v>658</v>
      </c>
      <c r="I46" s="23">
        <f t="shared" ca="1" si="9"/>
        <v>399</v>
      </c>
      <c r="J46" s="23">
        <f t="shared" ca="1" si="10"/>
        <v>658</v>
      </c>
      <c r="K46" s="23">
        <f t="shared" ca="1" si="11"/>
        <v>1057</v>
      </c>
      <c r="L46" s="23">
        <f t="shared" ca="1" si="4"/>
        <v>69895</v>
      </c>
      <c r="P46" s="10">
        <v>960</v>
      </c>
      <c r="Q46" s="23">
        <v>-55573.725752508362</v>
      </c>
      <c r="R46" s="23">
        <v>-47770.210702341137</v>
      </c>
      <c r="S46" s="23">
        <v>-36098.441471571903</v>
      </c>
      <c r="T46" s="23">
        <v>-55817.919732441471</v>
      </c>
      <c r="U46" s="23">
        <v>-44913.441471571903</v>
      </c>
      <c r="V46" s="23">
        <v>-54223.240802675587</v>
      </c>
      <c r="W46" s="23">
        <v>45666.782608695656</v>
      </c>
      <c r="X46" s="23">
        <v>48662.538461538461</v>
      </c>
      <c r="Y46" s="23">
        <v>46100.284280936452</v>
      </c>
      <c r="Z46" s="23">
        <v>-41704.107023411372</v>
      </c>
      <c r="AA46" s="23">
        <v>-54316.906354515049</v>
      </c>
      <c r="AB46" s="23">
        <v>-51537.27090301003</v>
      </c>
      <c r="AC46" s="23">
        <v>-49322.244147157187</v>
      </c>
    </row>
    <row r="47" spans="3:29">
      <c r="C47" s="23">
        <f t="shared" si="2"/>
        <v>420</v>
      </c>
      <c r="D47" s="23">
        <f t="shared" si="3"/>
        <v>168</v>
      </c>
      <c r="E47" s="23">
        <f t="shared" si="5"/>
        <v>252</v>
      </c>
      <c r="F47" s="23">
        <f t="shared" si="6"/>
        <v>700</v>
      </c>
      <c r="G47" s="23">
        <f t="shared" ca="1" si="7"/>
        <v>227</v>
      </c>
      <c r="H47" s="23">
        <f t="shared" ca="1" si="8"/>
        <v>676</v>
      </c>
      <c r="I47" s="23">
        <f t="shared" ca="1" si="9"/>
        <v>395</v>
      </c>
      <c r="J47" s="23">
        <f t="shared" ca="1" si="10"/>
        <v>676</v>
      </c>
      <c r="K47" s="23">
        <f t="shared" ca="1" si="11"/>
        <v>1071</v>
      </c>
      <c r="L47" s="23">
        <f t="shared" ca="1" si="4"/>
        <v>71785</v>
      </c>
      <c r="P47" s="10">
        <v>985</v>
      </c>
      <c r="Q47" s="23">
        <v>-56496.996655518393</v>
      </c>
      <c r="R47" s="23">
        <v>-49459.324414715717</v>
      </c>
      <c r="S47" s="23">
        <v>-37415.876254180599</v>
      </c>
      <c r="T47" s="23">
        <v>-57407.612040133776</v>
      </c>
      <c r="U47" s="23">
        <v>-46582.779264214048</v>
      </c>
      <c r="V47" s="23">
        <v>-56146.956521739128</v>
      </c>
      <c r="W47" s="23">
        <v>43847.364548494981</v>
      </c>
      <c r="X47" s="23">
        <v>47038.802675585284</v>
      </c>
      <c r="Y47" s="23">
        <v>44692.367892976588</v>
      </c>
      <c r="Z47" s="23">
        <v>-43382.836120401334</v>
      </c>
      <c r="AA47" s="23">
        <v>-56230.869565217392</v>
      </c>
      <c r="AB47" s="23">
        <v>-53091.745819397991</v>
      </c>
      <c r="AC47" s="23">
        <v>-50892.160535117058</v>
      </c>
    </row>
    <row r="48" spans="3:29">
      <c r="C48" s="23">
        <f t="shared" si="2"/>
        <v>420</v>
      </c>
      <c r="D48" s="23">
        <f t="shared" si="3"/>
        <v>168</v>
      </c>
      <c r="E48" s="23">
        <f t="shared" si="5"/>
        <v>252</v>
      </c>
      <c r="F48" s="23">
        <f t="shared" si="6"/>
        <v>700</v>
      </c>
      <c r="G48" s="23">
        <f t="shared" ca="1" si="7"/>
        <v>207</v>
      </c>
      <c r="H48" s="23">
        <f t="shared" ca="1" si="8"/>
        <v>580</v>
      </c>
      <c r="I48" s="23">
        <f t="shared" ca="1" si="9"/>
        <v>375</v>
      </c>
      <c r="J48" s="23">
        <f t="shared" ca="1" si="10"/>
        <v>580</v>
      </c>
      <c r="K48" s="23">
        <f t="shared" ca="1" si="11"/>
        <v>955</v>
      </c>
      <c r="L48" s="23">
        <f t="shared" ca="1" si="4"/>
        <v>56125</v>
      </c>
      <c r="P48" s="10">
        <v>1010</v>
      </c>
      <c r="Q48" s="23">
        <v>-58050.839464882942</v>
      </c>
      <c r="R48" s="23">
        <v>-51316.307692307695</v>
      </c>
      <c r="S48" s="23">
        <v>-38874.993311036793</v>
      </c>
      <c r="T48" s="23">
        <v>-59075.595317725754</v>
      </c>
      <c r="U48" s="23">
        <v>-48206.876254180599</v>
      </c>
      <c r="V48" s="23">
        <v>-57645.715719063548</v>
      </c>
      <c r="W48" s="23">
        <v>42368.200668896323</v>
      </c>
      <c r="X48" s="23">
        <v>45676.036789297657</v>
      </c>
      <c r="Y48" s="23">
        <v>42909.612040133776</v>
      </c>
      <c r="Z48" s="23">
        <v>-45173.809364548491</v>
      </c>
      <c r="AA48" s="23">
        <v>-57791.575250836118</v>
      </c>
      <c r="AB48" s="23">
        <v>-54817.250836120402</v>
      </c>
      <c r="AC48" s="23">
        <v>-52613.060200668893</v>
      </c>
    </row>
    <row r="49" spans="3:29">
      <c r="C49" s="23">
        <f t="shared" si="2"/>
        <v>420</v>
      </c>
      <c r="D49" s="23">
        <f t="shared" si="3"/>
        <v>168</v>
      </c>
      <c r="E49" s="23">
        <f t="shared" si="5"/>
        <v>252</v>
      </c>
      <c r="F49" s="23">
        <f t="shared" si="6"/>
        <v>700</v>
      </c>
      <c r="G49" s="23">
        <f t="shared" ca="1" si="7"/>
        <v>195</v>
      </c>
      <c r="H49" s="23">
        <f t="shared" ca="1" si="8"/>
        <v>631</v>
      </c>
      <c r="I49" s="23">
        <f t="shared" ca="1" si="9"/>
        <v>363</v>
      </c>
      <c r="J49" s="23">
        <f t="shared" ca="1" si="10"/>
        <v>631</v>
      </c>
      <c r="K49" s="23">
        <f t="shared" ca="1" si="11"/>
        <v>994</v>
      </c>
      <c r="L49" s="23">
        <f t="shared" ca="1" si="4"/>
        <v>61390</v>
      </c>
      <c r="P49" s="10">
        <v>1035</v>
      </c>
      <c r="Q49" s="23">
        <v>-59923.354515050167</v>
      </c>
      <c r="R49" s="23">
        <v>-52870.240802675587</v>
      </c>
      <c r="S49" s="23">
        <v>-40793.923076923078</v>
      </c>
      <c r="T49" s="23">
        <v>-60637.384615384617</v>
      </c>
      <c r="U49" s="23">
        <v>-49982.949832775921</v>
      </c>
      <c r="V49" s="23">
        <v>-59350.451505016725</v>
      </c>
      <c r="W49" s="23">
        <v>40734.983277591971</v>
      </c>
      <c r="X49" s="23">
        <v>43875.852842809363</v>
      </c>
      <c r="Y49" s="23">
        <v>41176.882943143813</v>
      </c>
      <c r="Z49" s="23">
        <v>-46899.946488294314</v>
      </c>
      <c r="AA49" s="23">
        <v>-59484.662207357862</v>
      </c>
      <c r="AB49" s="23">
        <v>-56666.107023411372</v>
      </c>
      <c r="AC49" s="23">
        <v>-54192.458193979932</v>
      </c>
    </row>
    <row r="50" spans="3:29">
      <c r="C50" s="23">
        <f t="shared" si="2"/>
        <v>420</v>
      </c>
      <c r="D50" s="23">
        <f t="shared" si="3"/>
        <v>168</v>
      </c>
      <c r="E50" s="23">
        <f t="shared" si="5"/>
        <v>252</v>
      </c>
      <c r="F50" s="23">
        <f t="shared" si="6"/>
        <v>700</v>
      </c>
      <c r="G50" s="23">
        <f t="shared" ca="1" si="7"/>
        <v>212</v>
      </c>
      <c r="H50" s="23">
        <f t="shared" ca="1" si="8"/>
        <v>670</v>
      </c>
      <c r="I50" s="23">
        <f t="shared" ca="1" si="9"/>
        <v>380</v>
      </c>
      <c r="J50" s="23">
        <f t="shared" ca="1" si="10"/>
        <v>670</v>
      </c>
      <c r="K50" s="23">
        <f t="shared" ca="1" si="11"/>
        <v>1050</v>
      </c>
      <c r="L50" s="23">
        <f t="shared" ca="1" si="4"/>
        <v>68950</v>
      </c>
      <c r="P50" s="10">
        <v>1060</v>
      </c>
      <c r="Q50" s="23">
        <v>-61505.913043478264</v>
      </c>
      <c r="R50" s="23">
        <v>-54399.882943143813</v>
      </c>
      <c r="S50" s="23">
        <v>-42534.418060200667</v>
      </c>
      <c r="T50" s="23">
        <v>-62520.916387959864</v>
      </c>
      <c r="U50" s="23">
        <v>-51403.056856187293</v>
      </c>
      <c r="V50" s="23">
        <v>-61017.712374581941</v>
      </c>
      <c r="W50" s="23">
        <v>39102.488294314382</v>
      </c>
      <c r="X50" s="23">
        <v>42157.03010033445</v>
      </c>
      <c r="Y50" s="23">
        <v>39479.913043478264</v>
      </c>
      <c r="Z50" s="23">
        <v>-48413.695652173912</v>
      </c>
      <c r="AA50" s="23">
        <v>-61213.23745819398</v>
      </c>
      <c r="AB50" s="23">
        <v>-58371.836120401334</v>
      </c>
      <c r="AC50" s="23">
        <v>-55840.304347826088</v>
      </c>
    </row>
    <row r="51" spans="3:29">
      <c r="C51" s="23">
        <f t="shared" si="2"/>
        <v>420</v>
      </c>
      <c r="D51" s="23">
        <f t="shared" si="3"/>
        <v>168</v>
      </c>
      <c r="E51" s="23">
        <f t="shared" si="5"/>
        <v>252</v>
      </c>
      <c r="F51" s="23">
        <f t="shared" si="6"/>
        <v>700</v>
      </c>
      <c r="G51" s="23">
        <f t="shared" ca="1" si="7"/>
        <v>228</v>
      </c>
      <c r="H51" s="23">
        <f t="shared" ca="1" si="8"/>
        <v>702</v>
      </c>
      <c r="I51" s="23">
        <f t="shared" ca="1" si="9"/>
        <v>396</v>
      </c>
      <c r="J51" s="23">
        <f t="shared" ca="1" si="10"/>
        <v>702</v>
      </c>
      <c r="K51" s="23">
        <f t="shared" ca="1" si="11"/>
        <v>1098</v>
      </c>
      <c r="L51" s="23">
        <f t="shared" ca="1" si="4"/>
        <v>75430</v>
      </c>
      <c r="P51" s="10">
        <v>1085</v>
      </c>
      <c r="Q51" s="23">
        <v>-63156.468227424746</v>
      </c>
      <c r="R51" s="23">
        <v>-55851.324414715717</v>
      </c>
      <c r="S51" s="23">
        <v>-44019.451505016725</v>
      </c>
      <c r="T51" s="23">
        <v>-63977.685618729098</v>
      </c>
      <c r="U51" s="23">
        <v>-53171.725752508362</v>
      </c>
      <c r="V51" s="23">
        <v>-62575.709030100334</v>
      </c>
      <c r="W51" s="23">
        <v>37822.34782608696</v>
      </c>
      <c r="X51" s="23">
        <v>40838.782608695656</v>
      </c>
      <c r="Y51" s="23">
        <v>37900.153846153844</v>
      </c>
      <c r="Z51" s="23">
        <v>-49997.879598662206</v>
      </c>
      <c r="AA51" s="23">
        <v>-62587.742474916391</v>
      </c>
      <c r="AB51" s="23">
        <v>-59459.003344481607</v>
      </c>
      <c r="AC51" s="23">
        <v>-57481.016722408029</v>
      </c>
    </row>
    <row r="52" spans="3:29">
      <c r="C52" s="23">
        <f t="shared" si="2"/>
        <v>420</v>
      </c>
      <c r="D52" s="23">
        <f t="shared" si="3"/>
        <v>168</v>
      </c>
      <c r="E52" s="23">
        <f t="shared" si="5"/>
        <v>252</v>
      </c>
      <c r="F52" s="23">
        <f t="shared" si="6"/>
        <v>700</v>
      </c>
      <c r="G52" s="23">
        <f t="shared" ca="1" si="7"/>
        <v>262</v>
      </c>
      <c r="H52" s="23">
        <f t="shared" ca="1" si="8"/>
        <v>584</v>
      </c>
      <c r="I52" s="23">
        <f t="shared" ca="1" si="9"/>
        <v>420</v>
      </c>
      <c r="J52" s="23">
        <f t="shared" ca="1" si="10"/>
        <v>584</v>
      </c>
      <c r="K52" s="23">
        <f t="shared" ca="1" si="11"/>
        <v>1004</v>
      </c>
      <c r="L52" s="23">
        <f t="shared" ca="1" si="4"/>
        <v>62740</v>
      </c>
      <c r="P52" s="10">
        <v>1110</v>
      </c>
      <c r="Q52" s="23">
        <v>-64867.795986622077</v>
      </c>
      <c r="R52" s="23">
        <v>-57508.923076923078</v>
      </c>
      <c r="S52" s="23">
        <v>-45728.070234113715</v>
      </c>
      <c r="T52" s="23">
        <v>-65730.010033444822</v>
      </c>
      <c r="U52" s="23">
        <v>-54779.658862876255</v>
      </c>
      <c r="V52" s="23">
        <v>-64217.053511705686</v>
      </c>
      <c r="W52" s="23">
        <v>35717.127090301001</v>
      </c>
      <c r="X52" s="23">
        <v>38955.702341137126</v>
      </c>
      <c r="Y52" s="23">
        <v>36186.749163879598</v>
      </c>
      <c r="Z52" s="23">
        <v>-51512.260869565216</v>
      </c>
      <c r="AA52" s="23">
        <v>-64370.227424749166</v>
      </c>
      <c r="AB52" s="23">
        <v>-61218.822742474913</v>
      </c>
      <c r="AC52" s="23">
        <v>-59057.705685618726</v>
      </c>
    </row>
    <row r="53" spans="3:29">
      <c r="C53" s="23">
        <f t="shared" si="2"/>
        <v>420</v>
      </c>
      <c r="D53" s="23">
        <f t="shared" si="3"/>
        <v>168</v>
      </c>
      <c r="E53" s="23">
        <f t="shared" si="5"/>
        <v>252</v>
      </c>
      <c r="F53" s="23">
        <f t="shared" si="6"/>
        <v>700</v>
      </c>
      <c r="G53" s="23">
        <f t="shared" ca="1" si="7"/>
        <v>230</v>
      </c>
      <c r="H53" s="23">
        <f t="shared" ca="1" si="8"/>
        <v>518</v>
      </c>
      <c r="I53" s="23">
        <f t="shared" ca="1" si="9"/>
        <v>398</v>
      </c>
      <c r="J53" s="23">
        <f t="shared" ca="1" si="10"/>
        <v>518</v>
      </c>
      <c r="K53" s="23">
        <f t="shared" ca="1" si="11"/>
        <v>916</v>
      </c>
      <c r="L53" s="23">
        <f t="shared" ca="1" si="4"/>
        <v>50860</v>
      </c>
      <c r="P53" s="10">
        <v>1135</v>
      </c>
      <c r="Q53" s="23">
        <v>-66329.712374581941</v>
      </c>
      <c r="R53" s="23">
        <v>-59208.602006688961</v>
      </c>
      <c r="S53" s="23">
        <v>-46962.428093645482</v>
      </c>
      <c r="T53" s="23">
        <v>-66927.976588628764</v>
      </c>
      <c r="U53" s="23">
        <v>-56458.20735785953</v>
      </c>
      <c r="V53" s="23">
        <v>-65811.080267558529</v>
      </c>
      <c r="W53" s="23">
        <v>34576.953177257528</v>
      </c>
      <c r="X53" s="23">
        <v>37030.541806020068</v>
      </c>
      <c r="Y53" s="23">
        <v>34872.384615384617</v>
      </c>
      <c r="Z53" s="23">
        <v>-53287.973244147157</v>
      </c>
      <c r="AA53" s="23">
        <v>-65900.501672240804</v>
      </c>
      <c r="AB53" s="23">
        <v>-63323.953177257528</v>
      </c>
      <c r="AC53" s="23">
        <v>-60736.344481605352</v>
      </c>
    </row>
    <row r="54" spans="3:29">
      <c r="C54" s="23">
        <f t="shared" si="2"/>
        <v>420</v>
      </c>
      <c r="D54" s="23">
        <f t="shared" si="3"/>
        <v>168</v>
      </c>
      <c r="E54" s="23">
        <f t="shared" si="5"/>
        <v>252</v>
      </c>
      <c r="F54" s="23">
        <f t="shared" si="6"/>
        <v>700</v>
      </c>
      <c r="G54" s="23">
        <f t="shared" ca="1" si="7"/>
        <v>201</v>
      </c>
      <c r="H54" s="23">
        <f t="shared" ca="1" si="8"/>
        <v>678</v>
      </c>
      <c r="I54" s="23">
        <f t="shared" ca="1" si="9"/>
        <v>369</v>
      </c>
      <c r="J54" s="23">
        <f t="shared" ca="1" si="10"/>
        <v>678</v>
      </c>
      <c r="K54" s="23">
        <f t="shared" ca="1" si="11"/>
        <v>1047</v>
      </c>
      <c r="L54" s="23">
        <f t="shared" ca="1" si="4"/>
        <v>68545</v>
      </c>
      <c r="P54" s="10">
        <v>1160</v>
      </c>
      <c r="Q54" s="23">
        <v>-68147.595317725747</v>
      </c>
      <c r="R54" s="23">
        <v>-60906.023411371236</v>
      </c>
      <c r="S54" s="23">
        <v>-48520.695652173912</v>
      </c>
      <c r="T54" s="23">
        <v>-69377.785953177256</v>
      </c>
      <c r="U54" s="23">
        <v>-58101.809364548491</v>
      </c>
      <c r="V54" s="23">
        <v>-67508.772575250841</v>
      </c>
      <c r="W54" s="23">
        <v>32841.244147157187</v>
      </c>
      <c r="X54" s="23">
        <v>35837</v>
      </c>
      <c r="Y54" s="23">
        <v>33289.645484949833</v>
      </c>
      <c r="Z54" s="23">
        <v>-54662.658862876255</v>
      </c>
      <c r="AA54" s="23">
        <v>-67431.949832775921</v>
      </c>
      <c r="AB54" s="23">
        <v>-64531.040133779265</v>
      </c>
      <c r="AC54" s="23">
        <v>-62241.244147157187</v>
      </c>
    </row>
    <row r="55" spans="3:29">
      <c r="C55" s="23">
        <f t="shared" si="2"/>
        <v>420</v>
      </c>
      <c r="D55" s="23">
        <f t="shared" si="3"/>
        <v>168</v>
      </c>
      <c r="E55" s="23">
        <f t="shared" si="5"/>
        <v>252</v>
      </c>
      <c r="F55" s="23">
        <f t="shared" si="6"/>
        <v>700</v>
      </c>
      <c r="G55" s="23">
        <f t="shared" ca="1" si="7"/>
        <v>230</v>
      </c>
      <c r="H55" s="23">
        <f t="shared" ca="1" si="8"/>
        <v>664</v>
      </c>
      <c r="I55" s="23">
        <f t="shared" ca="1" si="9"/>
        <v>398</v>
      </c>
      <c r="J55" s="23">
        <f t="shared" ca="1" si="10"/>
        <v>664</v>
      </c>
      <c r="K55" s="23">
        <f t="shared" ca="1" si="11"/>
        <v>1062</v>
      </c>
      <c r="L55" s="23">
        <f t="shared" ca="1" si="4"/>
        <v>70570</v>
      </c>
      <c r="P55" s="10">
        <v>1185</v>
      </c>
      <c r="Q55" s="23">
        <v>-69677.869565217392</v>
      </c>
      <c r="R55" s="23">
        <v>-62508.177257525087</v>
      </c>
      <c r="S55" s="23">
        <v>-50567.943143812707</v>
      </c>
      <c r="T55" s="23">
        <v>-70486.083612040136</v>
      </c>
      <c r="U55" s="23">
        <v>-59307.993311036793</v>
      </c>
      <c r="V55" s="23">
        <v>-69190.120401337786</v>
      </c>
      <c r="W55" s="23">
        <v>30958.254180602005</v>
      </c>
      <c r="X55" s="23">
        <v>34141.113712374579</v>
      </c>
      <c r="Y55" s="23">
        <v>31500.478260869564</v>
      </c>
      <c r="Z55" s="23">
        <v>-56612.020066889629</v>
      </c>
      <c r="AA55" s="23">
        <v>-69015.050167224079</v>
      </c>
      <c r="AB55" s="23">
        <v>-66499.003344481607</v>
      </c>
      <c r="AC55" s="23">
        <v>-63976.682274247491</v>
      </c>
    </row>
    <row r="56" spans="3:29">
      <c r="C56" s="23">
        <f t="shared" si="2"/>
        <v>420</v>
      </c>
      <c r="D56" s="23">
        <f t="shared" si="3"/>
        <v>168</v>
      </c>
      <c r="E56" s="23">
        <f t="shared" si="5"/>
        <v>252</v>
      </c>
      <c r="F56" s="23">
        <f t="shared" si="6"/>
        <v>700</v>
      </c>
      <c r="G56" s="23">
        <f t="shared" ca="1" si="7"/>
        <v>183</v>
      </c>
      <c r="H56" s="23">
        <f t="shared" ca="1" si="8"/>
        <v>659</v>
      </c>
      <c r="I56" s="23">
        <f t="shared" ca="1" si="9"/>
        <v>351</v>
      </c>
      <c r="J56" s="23">
        <f t="shared" ca="1" si="10"/>
        <v>659</v>
      </c>
      <c r="K56" s="23">
        <f t="shared" ca="1" si="11"/>
        <v>1010</v>
      </c>
      <c r="L56" s="23">
        <f t="shared" ca="1" si="4"/>
        <v>63550</v>
      </c>
      <c r="P56" s="10">
        <v>1210</v>
      </c>
      <c r="Q56" s="23">
        <v>-71208.866220735785</v>
      </c>
      <c r="R56" s="23">
        <v>-64123.96655518395</v>
      </c>
      <c r="S56" s="23">
        <v>-52610.224080267559</v>
      </c>
      <c r="T56" s="23">
        <v>-71721.434782608689</v>
      </c>
      <c r="U56" s="23">
        <v>-61152.0635451505</v>
      </c>
      <c r="V56" s="23">
        <v>-70775.026755852843</v>
      </c>
      <c r="W56" s="23">
        <v>29470.963210702343</v>
      </c>
      <c r="X56" s="23">
        <v>32577.879598662206</v>
      </c>
      <c r="Y56" s="23">
        <v>29584.257525083613</v>
      </c>
      <c r="Z56" s="23">
        <v>-58169.565217391304</v>
      </c>
      <c r="AA56" s="23">
        <v>-70764.846153846156</v>
      </c>
      <c r="AB56" s="23">
        <v>-67946.561872909704</v>
      </c>
      <c r="AC56" s="23">
        <v>-65614.053511705686</v>
      </c>
    </row>
    <row r="57" spans="3:29">
      <c r="C57" s="23">
        <f t="shared" si="2"/>
        <v>420</v>
      </c>
      <c r="D57" s="23">
        <f t="shared" si="3"/>
        <v>168</v>
      </c>
      <c r="E57" s="23">
        <f t="shared" si="5"/>
        <v>252</v>
      </c>
      <c r="F57" s="23">
        <f t="shared" si="6"/>
        <v>700</v>
      </c>
      <c r="G57" s="23">
        <f t="shared" ca="1" si="7"/>
        <v>233</v>
      </c>
      <c r="H57" s="23">
        <f t="shared" ca="1" si="8"/>
        <v>609</v>
      </c>
      <c r="I57" s="23">
        <f t="shared" ca="1" si="9"/>
        <v>401</v>
      </c>
      <c r="J57" s="23">
        <f t="shared" ca="1" si="10"/>
        <v>609</v>
      </c>
      <c r="K57" s="23">
        <f t="shared" ca="1" si="11"/>
        <v>1010</v>
      </c>
      <c r="L57" s="23">
        <f t="shared" ca="1" si="4"/>
        <v>63550</v>
      </c>
      <c r="P57" s="10">
        <v>1235</v>
      </c>
      <c r="Q57" s="23">
        <v>-72842.354515050174</v>
      </c>
      <c r="R57" s="23">
        <v>-65960.993311036786</v>
      </c>
      <c r="S57" s="23">
        <v>-53337.27090301003</v>
      </c>
      <c r="T57" s="23">
        <v>-73996.331103678924</v>
      </c>
      <c r="U57" s="23">
        <v>-62855.715719063548</v>
      </c>
      <c r="V57" s="23">
        <v>-72263.672240802669</v>
      </c>
      <c r="W57" s="23">
        <v>27232.006688963211</v>
      </c>
      <c r="X57" s="23">
        <v>30930.033444816054</v>
      </c>
      <c r="Y57" s="23">
        <v>28154.759197324416</v>
      </c>
      <c r="Z57" s="23">
        <v>-59660.558528428097</v>
      </c>
      <c r="AA57" s="23">
        <v>-72333.317725752509</v>
      </c>
      <c r="AB57" s="23">
        <v>-69393.578595317726</v>
      </c>
      <c r="AC57" s="23">
        <v>-67259.010033444822</v>
      </c>
    </row>
    <row r="58" spans="3:29">
      <c r="C58" s="23">
        <f t="shared" si="2"/>
        <v>420</v>
      </c>
      <c r="D58" s="23">
        <f t="shared" si="3"/>
        <v>168</v>
      </c>
      <c r="E58" s="23">
        <f t="shared" si="5"/>
        <v>252</v>
      </c>
      <c r="F58" s="23">
        <f t="shared" si="6"/>
        <v>700</v>
      </c>
      <c r="G58" s="23">
        <f t="shared" ca="1" si="7"/>
        <v>235</v>
      </c>
      <c r="H58" s="23">
        <f t="shared" ca="1" si="8"/>
        <v>624</v>
      </c>
      <c r="I58" s="23">
        <f t="shared" ca="1" si="9"/>
        <v>403</v>
      </c>
      <c r="J58" s="23">
        <f t="shared" ca="1" si="10"/>
        <v>624</v>
      </c>
      <c r="K58" s="23">
        <f t="shared" ca="1" si="11"/>
        <v>1027</v>
      </c>
      <c r="L58" s="23">
        <f t="shared" ca="1" si="4"/>
        <v>65845</v>
      </c>
      <c r="P58" s="10">
        <v>1260</v>
      </c>
      <c r="Q58" s="23">
        <v>-74492.187290969901</v>
      </c>
      <c r="R58" s="23">
        <v>-67489.461538461532</v>
      </c>
      <c r="S58" s="23">
        <v>-55510.759197324413</v>
      </c>
      <c r="T58" s="23">
        <v>-75332.729096989962</v>
      </c>
      <c r="U58" s="23">
        <v>-64404.140468227422</v>
      </c>
      <c r="V58" s="23">
        <v>-73936.983277591979</v>
      </c>
      <c r="W58" s="23">
        <v>26044.515050167225</v>
      </c>
      <c r="X58" s="23">
        <v>29290.67558528428</v>
      </c>
      <c r="Y58" s="23">
        <v>26495.44481605351</v>
      </c>
      <c r="Z58" s="23">
        <v>-61295.491638795989</v>
      </c>
      <c r="AA58" s="23">
        <v>-74050.966555183943</v>
      </c>
      <c r="AB58" s="23">
        <v>-71244.602006688961</v>
      </c>
      <c r="AC58" s="23">
        <v>-68783.234113712373</v>
      </c>
    </row>
    <row r="59" spans="3:29">
      <c r="C59" s="23">
        <f t="shared" si="2"/>
        <v>420</v>
      </c>
      <c r="D59" s="23">
        <f t="shared" si="3"/>
        <v>168</v>
      </c>
      <c r="E59" s="23">
        <f t="shared" si="5"/>
        <v>252</v>
      </c>
      <c r="F59" s="23">
        <f t="shared" si="6"/>
        <v>700</v>
      </c>
      <c r="G59" s="23">
        <f t="shared" ca="1" si="7"/>
        <v>223</v>
      </c>
      <c r="H59" s="23">
        <f t="shared" ca="1" si="8"/>
        <v>575</v>
      </c>
      <c r="I59" s="23">
        <f t="shared" ca="1" si="9"/>
        <v>391</v>
      </c>
      <c r="J59" s="23">
        <f t="shared" ca="1" si="10"/>
        <v>575</v>
      </c>
      <c r="K59" s="23">
        <f t="shared" ca="1" si="11"/>
        <v>966</v>
      </c>
      <c r="L59" s="23">
        <f t="shared" ca="1" si="4"/>
        <v>57610</v>
      </c>
      <c r="P59" s="10">
        <v>1285</v>
      </c>
      <c r="Q59" s="23">
        <v>-76041.063545150508</v>
      </c>
      <c r="R59" s="23">
        <v>-68929.073578595315</v>
      </c>
      <c r="S59" s="23">
        <v>-57063.157190635451</v>
      </c>
      <c r="T59" s="23">
        <v>-76921.698996655512</v>
      </c>
      <c r="U59" s="23">
        <v>-66182.832775919727</v>
      </c>
      <c r="V59" s="23">
        <v>-75609.301003344488</v>
      </c>
      <c r="W59" s="23">
        <v>24502.050167224079</v>
      </c>
      <c r="X59" s="23">
        <v>27432.879598662206</v>
      </c>
      <c r="Y59" s="23">
        <v>25283.210702341137</v>
      </c>
      <c r="Z59" s="23">
        <v>-62889.518394648832</v>
      </c>
      <c r="AA59" s="23">
        <v>-75753.44481605351</v>
      </c>
      <c r="AB59" s="23">
        <v>-72949.0668896321</v>
      </c>
      <c r="AC59" s="23">
        <v>-70461.872909698999</v>
      </c>
    </row>
    <row r="60" spans="3:29">
      <c r="C60" s="23">
        <f t="shared" si="2"/>
        <v>420</v>
      </c>
      <c r="D60" s="23">
        <f t="shared" si="3"/>
        <v>168</v>
      </c>
      <c r="E60" s="23">
        <f t="shared" si="5"/>
        <v>252</v>
      </c>
      <c r="F60" s="23">
        <f t="shared" si="6"/>
        <v>700</v>
      </c>
      <c r="G60" s="23">
        <f t="shared" ca="1" si="7"/>
        <v>216</v>
      </c>
      <c r="H60" s="23">
        <f t="shared" ca="1" si="8"/>
        <v>788</v>
      </c>
      <c r="I60" s="23">
        <f t="shared" ca="1" si="9"/>
        <v>384</v>
      </c>
      <c r="J60" s="23">
        <f t="shared" ca="1" si="10"/>
        <v>736</v>
      </c>
      <c r="K60" s="23">
        <f t="shared" ca="1" si="11"/>
        <v>1120</v>
      </c>
      <c r="L60" s="23">
        <f t="shared" ca="1" si="4"/>
        <v>78400</v>
      </c>
      <c r="P60" s="10">
        <v>1310</v>
      </c>
      <c r="Q60" s="23">
        <v>-77762.866220735785</v>
      </c>
      <c r="R60" s="23">
        <v>-70750.026755852843</v>
      </c>
      <c r="S60" s="23">
        <v>-58870.113712374579</v>
      </c>
      <c r="T60" s="23">
        <v>-78358.692307692312</v>
      </c>
      <c r="U60" s="23">
        <v>-67794.107023411372</v>
      </c>
      <c r="V60" s="23">
        <v>-77471.250836120395</v>
      </c>
      <c r="W60" s="23">
        <v>22845.715719063544</v>
      </c>
      <c r="X60" s="23">
        <v>26097.023411371236</v>
      </c>
      <c r="Y60" s="23">
        <v>23427.040133779265</v>
      </c>
      <c r="Z60" s="23">
        <v>-64646.086956521736</v>
      </c>
      <c r="AA60" s="23">
        <v>-77276.946488294314</v>
      </c>
      <c r="AB60" s="23">
        <v>-74358.879598662214</v>
      </c>
      <c r="AC60" s="23">
        <v>-72008.943143812707</v>
      </c>
    </row>
    <row r="61" spans="3:29">
      <c r="C61" s="23">
        <f t="shared" si="2"/>
        <v>420</v>
      </c>
      <c r="D61" s="23">
        <f t="shared" si="3"/>
        <v>168</v>
      </c>
      <c r="E61" s="23">
        <f t="shared" si="5"/>
        <v>252</v>
      </c>
      <c r="F61" s="23">
        <f t="shared" si="6"/>
        <v>700</v>
      </c>
      <c r="G61" s="23">
        <f t="shared" ca="1" si="7"/>
        <v>218</v>
      </c>
      <c r="H61" s="23">
        <f t="shared" ca="1" si="8"/>
        <v>584</v>
      </c>
      <c r="I61" s="23">
        <f t="shared" ca="1" si="9"/>
        <v>386</v>
      </c>
      <c r="J61" s="23">
        <f t="shared" ca="1" si="10"/>
        <v>584</v>
      </c>
      <c r="K61" s="23">
        <f t="shared" ca="1" si="11"/>
        <v>970</v>
      </c>
      <c r="L61" s="23">
        <f t="shared" ca="1" si="4"/>
        <v>58150</v>
      </c>
      <c r="P61" s="10">
        <v>1335</v>
      </c>
      <c r="Q61" s="23">
        <v>-79723.424749163882</v>
      </c>
      <c r="R61" s="23">
        <v>-72138.076923076922</v>
      </c>
      <c r="S61" s="23">
        <v>-60341.331103678931</v>
      </c>
      <c r="T61" s="23">
        <v>-80075.257525083609</v>
      </c>
      <c r="U61" s="23">
        <v>-69440.14715719063</v>
      </c>
      <c r="V61" s="23">
        <v>-78560.675585284276</v>
      </c>
      <c r="W61" s="23">
        <v>20800.725752508362</v>
      </c>
      <c r="X61" s="23">
        <v>24275.4381270903</v>
      </c>
      <c r="Y61" s="23">
        <v>21496.732441471573</v>
      </c>
      <c r="Z61" s="23">
        <v>-66232.34782608696</v>
      </c>
      <c r="AA61" s="23">
        <v>-78865.103678929765</v>
      </c>
      <c r="AB61" s="23">
        <v>-76193.107023411372</v>
      </c>
      <c r="AC61" s="23">
        <v>-73710.337792642138</v>
      </c>
    </row>
    <row r="62" spans="3:29">
      <c r="C62" s="23">
        <f t="shared" si="2"/>
        <v>420</v>
      </c>
      <c r="D62" s="23">
        <f t="shared" si="3"/>
        <v>168</v>
      </c>
      <c r="E62" s="23">
        <f t="shared" si="5"/>
        <v>252</v>
      </c>
      <c r="F62" s="23">
        <f t="shared" si="6"/>
        <v>700</v>
      </c>
      <c r="G62" s="23">
        <f t="shared" ca="1" si="7"/>
        <v>198</v>
      </c>
      <c r="H62" s="23">
        <f t="shared" ca="1" si="8"/>
        <v>576</v>
      </c>
      <c r="I62" s="23">
        <f t="shared" ca="1" si="9"/>
        <v>366</v>
      </c>
      <c r="J62" s="23">
        <f t="shared" ca="1" si="10"/>
        <v>576</v>
      </c>
      <c r="K62" s="23">
        <f t="shared" ca="1" si="11"/>
        <v>942</v>
      </c>
      <c r="L62" s="23">
        <f t="shared" ca="1" si="4"/>
        <v>54370</v>
      </c>
      <c r="P62" s="10">
        <v>1360</v>
      </c>
      <c r="Q62" s="23">
        <v>-81190.127090301001</v>
      </c>
      <c r="R62" s="23">
        <v>-73945.575250836118</v>
      </c>
      <c r="S62" s="23">
        <v>-61736.244147157187</v>
      </c>
      <c r="T62" s="23">
        <v>-81980.913043478256</v>
      </c>
      <c r="U62" s="23">
        <v>-71207.913043478256</v>
      </c>
      <c r="V62" s="23">
        <v>-80745.180602006687</v>
      </c>
      <c r="W62" s="23">
        <v>19548.217391304348</v>
      </c>
      <c r="X62" s="23">
        <v>22584.247491638795</v>
      </c>
      <c r="Y62" s="23">
        <v>20264.812709030099</v>
      </c>
      <c r="Z62" s="23">
        <v>-67919.113712374587</v>
      </c>
      <c r="AA62" s="23">
        <v>-80435.471571906353</v>
      </c>
      <c r="AB62" s="23">
        <v>-77561.381270903017</v>
      </c>
      <c r="AC62" s="23">
        <v>-75262.55518394649</v>
      </c>
    </row>
    <row r="63" spans="3:29">
      <c r="C63" s="23">
        <f t="shared" si="2"/>
        <v>420</v>
      </c>
      <c r="D63" s="23">
        <f t="shared" si="3"/>
        <v>168</v>
      </c>
      <c r="E63" s="23">
        <f t="shared" si="5"/>
        <v>252</v>
      </c>
      <c r="F63" s="23">
        <f t="shared" si="6"/>
        <v>700</v>
      </c>
      <c r="G63" s="23">
        <f t="shared" ca="1" si="7"/>
        <v>182</v>
      </c>
      <c r="H63" s="23">
        <f t="shared" ca="1" si="8"/>
        <v>712</v>
      </c>
      <c r="I63" s="23">
        <f t="shared" ca="1" si="9"/>
        <v>350</v>
      </c>
      <c r="J63" s="23">
        <f t="shared" ca="1" si="10"/>
        <v>712</v>
      </c>
      <c r="K63" s="23">
        <f t="shared" ca="1" si="11"/>
        <v>1062</v>
      </c>
      <c r="L63" s="23">
        <f t="shared" ca="1" si="4"/>
        <v>70570</v>
      </c>
      <c r="P63" s="10">
        <v>1385</v>
      </c>
      <c r="Q63" s="23">
        <v>-82446.518394648825</v>
      </c>
      <c r="R63" s="23">
        <v>-75569.401337792646</v>
      </c>
      <c r="S63" s="23">
        <v>-63141.180602006687</v>
      </c>
      <c r="T63" s="23">
        <v>-83628.488294314375</v>
      </c>
      <c r="U63" s="23">
        <v>-72691.772575250841</v>
      </c>
      <c r="V63" s="23">
        <v>-81923.82274247492</v>
      </c>
      <c r="W63" s="23">
        <v>18223.016722408025</v>
      </c>
      <c r="X63" s="23">
        <v>21009.545150501672</v>
      </c>
      <c r="Y63" s="23">
        <v>18948.280936454848</v>
      </c>
      <c r="Z63" s="23">
        <v>-69557.20735785953</v>
      </c>
      <c r="AA63" s="23">
        <v>-82231.14046822743</v>
      </c>
      <c r="AB63" s="23">
        <v>-79132.561872909704</v>
      </c>
      <c r="AC63" s="23">
        <v>-76846.287625418059</v>
      </c>
    </row>
    <row r="64" spans="3:29">
      <c r="C64" s="23">
        <f t="shared" si="2"/>
        <v>420</v>
      </c>
      <c r="D64" s="23">
        <f t="shared" si="3"/>
        <v>168</v>
      </c>
      <c r="E64" s="23">
        <f t="shared" si="5"/>
        <v>252</v>
      </c>
      <c r="F64" s="23">
        <f t="shared" si="6"/>
        <v>700</v>
      </c>
      <c r="G64" s="23">
        <f t="shared" ca="1" si="7"/>
        <v>229</v>
      </c>
      <c r="H64" s="23">
        <f t="shared" ca="1" si="8"/>
        <v>585</v>
      </c>
      <c r="I64" s="23">
        <f t="shared" ca="1" si="9"/>
        <v>397</v>
      </c>
      <c r="J64" s="23">
        <f t="shared" ca="1" si="10"/>
        <v>585</v>
      </c>
      <c r="K64" s="23">
        <f t="shared" ca="1" si="11"/>
        <v>982</v>
      </c>
      <c r="L64" s="23">
        <f t="shared" ca="1" si="4"/>
        <v>59770</v>
      </c>
      <c r="P64" s="10">
        <v>1410</v>
      </c>
      <c r="Q64" s="23">
        <v>-84560.046822742472</v>
      </c>
      <c r="R64" s="23">
        <v>-77166.588628762547</v>
      </c>
      <c r="S64" s="23">
        <v>-64961.862876254178</v>
      </c>
      <c r="T64" s="23">
        <v>-84877.474916387961</v>
      </c>
      <c r="U64" s="23">
        <v>-74275.41471571906</v>
      </c>
      <c r="V64" s="23">
        <v>-83391.0668896321</v>
      </c>
      <c r="W64" s="23">
        <v>16293.250836120402</v>
      </c>
      <c r="X64" s="23">
        <v>19095.130434782608</v>
      </c>
      <c r="Y64" s="23">
        <v>16972.371237458196</v>
      </c>
      <c r="Z64" s="23">
        <v>-71075.471571906353</v>
      </c>
      <c r="AA64" s="23">
        <v>-83816.498327759196</v>
      </c>
      <c r="AB64" s="23">
        <v>-80761.715719063548</v>
      </c>
      <c r="AC64" s="23">
        <v>-78570.257525083609</v>
      </c>
    </row>
    <row r="65" spans="3:29">
      <c r="C65" s="23">
        <f t="shared" si="2"/>
        <v>420</v>
      </c>
      <c r="D65" s="23">
        <f t="shared" si="3"/>
        <v>168</v>
      </c>
      <c r="E65" s="23">
        <f t="shared" si="5"/>
        <v>252</v>
      </c>
      <c r="F65" s="23">
        <f t="shared" si="6"/>
        <v>700</v>
      </c>
      <c r="G65" s="23">
        <f t="shared" ca="1" si="7"/>
        <v>217</v>
      </c>
      <c r="H65" s="23">
        <f t="shared" ca="1" si="8"/>
        <v>593</v>
      </c>
      <c r="I65" s="23">
        <f t="shared" ca="1" si="9"/>
        <v>385</v>
      </c>
      <c r="J65" s="23">
        <f t="shared" ca="1" si="10"/>
        <v>593</v>
      </c>
      <c r="K65" s="23">
        <f t="shared" ca="1" si="11"/>
        <v>978</v>
      </c>
      <c r="L65" s="23">
        <f t="shared" ca="1" si="4"/>
        <v>59230</v>
      </c>
      <c r="P65" s="10">
        <v>1435</v>
      </c>
      <c r="Q65" s="23">
        <v>-86045.17056856188</v>
      </c>
      <c r="R65" s="23">
        <v>-78554.638795986626</v>
      </c>
      <c r="S65" s="23">
        <v>-66789.949832775921</v>
      </c>
      <c r="T65" s="23">
        <v>-87039.856187290963</v>
      </c>
      <c r="U65" s="23">
        <v>-75762.795986622077</v>
      </c>
      <c r="V65" s="23">
        <v>-85183.304347826081</v>
      </c>
      <c r="W65" s="23">
        <v>14835.217391304348</v>
      </c>
      <c r="X65" s="23">
        <v>17748.167224080269</v>
      </c>
      <c r="Y65" s="23">
        <v>15575.200668896321</v>
      </c>
      <c r="Z65" s="23">
        <v>-72603.668896321076</v>
      </c>
      <c r="AA65" s="23">
        <v>-85332.775919732449</v>
      </c>
      <c r="AB65" s="23">
        <v>-82863.053511705686</v>
      </c>
      <c r="AC65" s="23">
        <v>-80160.130434782608</v>
      </c>
    </row>
    <row r="66" spans="3:29">
      <c r="C66" s="23">
        <f t="shared" si="2"/>
        <v>420</v>
      </c>
      <c r="D66" s="23">
        <f t="shared" si="3"/>
        <v>168</v>
      </c>
      <c r="E66" s="23">
        <f t="shared" si="5"/>
        <v>252</v>
      </c>
      <c r="F66" s="23">
        <f t="shared" si="6"/>
        <v>700</v>
      </c>
      <c r="G66" s="23">
        <f t="shared" ca="1" si="7"/>
        <v>212</v>
      </c>
      <c r="H66" s="23">
        <f t="shared" ca="1" si="8"/>
        <v>757</v>
      </c>
      <c r="I66" s="23">
        <f t="shared" ca="1" si="9"/>
        <v>380</v>
      </c>
      <c r="J66" s="23">
        <f t="shared" ca="1" si="10"/>
        <v>740</v>
      </c>
      <c r="K66" s="23">
        <f t="shared" ca="1" si="11"/>
        <v>1120</v>
      </c>
      <c r="L66" s="23">
        <f t="shared" ca="1" si="4"/>
        <v>78400</v>
      </c>
      <c r="P66" s="10">
        <v>1460</v>
      </c>
      <c r="Q66" s="23">
        <v>-87507.086956521744</v>
      </c>
      <c r="R66" s="23">
        <v>-80256.033444816057</v>
      </c>
      <c r="S66" s="23">
        <v>-67955.678929765883</v>
      </c>
      <c r="T66" s="23">
        <v>-88396.301003344488</v>
      </c>
      <c r="U66" s="23">
        <v>-77531.193979933116</v>
      </c>
      <c r="V66" s="23">
        <v>-87067.648829431433</v>
      </c>
      <c r="W66" s="23">
        <v>12980.220735785953</v>
      </c>
      <c r="X66" s="23">
        <v>15928.478260869566</v>
      </c>
      <c r="Y66" s="23">
        <v>13514.588628762542</v>
      </c>
      <c r="Z66" s="23">
        <v>-74365.113712374587</v>
      </c>
      <c r="AA66" s="23">
        <v>-87185.785953177256</v>
      </c>
      <c r="AB66" s="23">
        <v>-84163.150501672237</v>
      </c>
      <c r="AC66" s="23">
        <v>-81824.230769230766</v>
      </c>
    </row>
    <row r="67" spans="3:29">
      <c r="C67" s="23">
        <f t="shared" si="2"/>
        <v>420</v>
      </c>
      <c r="D67" s="23">
        <f t="shared" si="3"/>
        <v>168</v>
      </c>
      <c r="E67" s="23">
        <f t="shared" si="5"/>
        <v>252</v>
      </c>
      <c r="F67" s="23">
        <f t="shared" si="6"/>
        <v>700</v>
      </c>
      <c r="G67" s="23">
        <f t="shared" ca="1" si="7"/>
        <v>216</v>
      </c>
      <c r="H67" s="23">
        <f t="shared" ca="1" si="8"/>
        <v>547</v>
      </c>
      <c r="I67" s="23">
        <f t="shared" ca="1" si="9"/>
        <v>384</v>
      </c>
      <c r="J67" s="23">
        <f t="shared" ca="1" si="10"/>
        <v>547</v>
      </c>
      <c r="K67" s="23">
        <f t="shared" ca="1" si="11"/>
        <v>931</v>
      </c>
      <c r="L67" s="23">
        <f t="shared" ca="1" si="4"/>
        <v>52885</v>
      </c>
      <c r="P67" s="10">
        <v>1485</v>
      </c>
      <c r="Q67" s="23">
        <v>-88970.809364548491</v>
      </c>
      <c r="R67" s="23">
        <v>-82203.498327759196</v>
      </c>
      <c r="S67" s="23">
        <v>-70394.923076923078</v>
      </c>
      <c r="T67" s="23">
        <v>-90292.023411371236</v>
      </c>
      <c r="U67" s="23">
        <v>-79045.846153846156</v>
      </c>
      <c r="V67" s="23">
        <v>-88567.311036789295</v>
      </c>
      <c r="W67" s="23">
        <v>11678.588628762542</v>
      </c>
      <c r="X67" s="23">
        <v>14571.220735785953</v>
      </c>
      <c r="Y67" s="23">
        <v>11750.705685618728</v>
      </c>
      <c r="Z67" s="23">
        <v>-75864.234113712373</v>
      </c>
      <c r="AA67" s="23">
        <v>-88675.424749163882</v>
      </c>
      <c r="AB67" s="23">
        <v>-86071.153846153844</v>
      </c>
      <c r="AC67" s="23">
        <v>-83449.14046822743</v>
      </c>
    </row>
    <row r="68" spans="3:29">
      <c r="C68" s="23">
        <f t="shared" si="2"/>
        <v>420</v>
      </c>
      <c r="D68" s="23">
        <f t="shared" si="3"/>
        <v>168</v>
      </c>
      <c r="E68" s="23">
        <f t="shared" si="5"/>
        <v>252</v>
      </c>
      <c r="F68" s="23">
        <f t="shared" si="6"/>
        <v>700</v>
      </c>
      <c r="G68" s="23">
        <f t="shared" ca="1" si="7"/>
        <v>171</v>
      </c>
      <c r="H68" s="23">
        <f t="shared" ca="1" si="8"/>
        <v>574</v>
      </c>
      <c r="I68" s="23">
        <f t="shared" ca="1" si="9"/>
        <v>339</v>
      </c>
      <c r="J68" s="23">
        <f t="shared" ca="1" si="10"/>
        <v>574</v>
      </c>
      <c r="K68" s="23">
        <f t="shared" ca="1" si="11"/>
        <v>913</v>
      </c>
      <c r="L68" s="23">
        <f t="shared" ca="1" si="4"/>
        <v>50455</v>
      </c>
      <c r="P68" s="10">
        <v>1510</v>
      </c>
      <c r="Q68" s="23">
        <v>-90892.357859531767</v>
      </c>
      <c r="R68" s="23">
        <v>-83812.966555183943</v>
      </c>
      <c r="S68" s="23">
        <v>-71517.759197324413</v>
      </c>
      <c r="T68" s="23">
        <v>-91373.772575250841</v>
      </c>
      <c r="U68" s="23">
        <v>-80626.779264214041</v>
      </c>
      <c r="V68" s="23">
        <v>-90065.438127090296</v>
      </c>
      <c r="W68" s="23">
        <v>9926.896321070235</v>
      </c>
      <c r="X68" s="23">
        <v>12641.274247491639</v>
      </c>
      <c r="Y68" s="23">
        <v>10214.110367892976</v>
      </c>
      <c r="Z68" s="23">
        <v>-77563.642140468233</v>
      </c>
      <c r="AA68" s="23">
        <v>-90244.257525083609</v>
      </c>
      <c r="AB68" s="23">
        <v>-87186.856187290963</v>
      </c>
      <c r="AC68" s="23">
        <v>-85005.060200668901</v>
      </c>
    </row>
    <row r="69" spans="3:29">
      <c r="C69" s="23">
        <f t="shared" si="2"/>
        <v>420</v>
      </c>
      <c r="D69" s="23">
        <f t="shared" si="3"/>
        <v>168</v>
      </c>
      <c r="E69" s="23">
        <f t="shared" si="5"/>
        <v>252</v>
      </c>
      <c r="F69" s="23">
        <f t="shared" si="6"/>
        <v>700</v>
      </c>
      <c r="G69" s="23">
        <f t="shared" ca="1" si="7"/>
        <v>213</v>
      </c>
      <c r="H69" s="23">
        <f t="shared" ca="1" si="8"/>
        <v>572</v>
      </c>
      <c r="I69" s="23">
        <f t="shared" ca="1" si="9"/>
        <v>381</v>
      </c>
      <c r="J69" s="23">
        <f t="shared" ca="1" si="10"/>
        <v>572</v>
      </c>
      <c r="K69" s="23">
        <f t="shared" ca="1" si="11"/>
        <v>953</v>
      </c>
      <c r="L69" s="23">
        <f t="shared" ca="1" si="4"/>
        <v>55855</v>
      </c>
    </row>
    <row r="70" spans="3:29">
      <c r="C70" s="23">
        <f t="shared" si="2"/>
        <v>420</v>
      </c>
      <c r="D70" s="23">
        <f t="shared" si="3"/>
        <v>168</v>
      </c>
      <c r="E70" s="23">
        <f t="shared" si="5"/>
        <v>252</v>
      </c>
      <c r="F70" s="23">
        <f t="shared" si="6"/>
        <v>700</v>
      </c>
      <c r="G70" s="23">
        <f t="shared" ca="1" si="7"/>
        <v>227</v>
      </c>
      <c r="H70" s="23">
        <f t="shared" ca="1" si="8"/>
        <v>623</v>
      </c>
      <c r="I70" s="23">
        <f t="shared" ca="1" si="9"/>
        <v>395</v>
      </c>
      <c r="J70" s="23">
        <f t="shared" ca="1" si="10"/>
        <v>623</v>
      </c>
      <c r="K70" s="23">
        <f t="shared" ca="1" si="11"/>
        <v>1018</v>
      </c>
      <c r="L70" s="23">
        <f t="shared" ca="1" si="4"/>
        <v>64630</v>
      </c>
    </row>
    <row r="71" spans="3:29">
      <c r="C71" s="23">
        <f t="shared" si="2"/>
        <v>420</v>
      </c>
      <c r="D71" s="23">
        <f t="shared" si="3"/>
        <v>168</v>
      </c>
      <c r="E71" s="23">
        <f t="shared" si="5"/>
        <v>252</v>
      </c>
      <c r="F71" s="23">
        <f t="shared" si="6"/>
        <v>700</v>
      </c>
      <c r="G71" s="23">
        <f t="shared" ca="1" si="7"/>
        <v>196</v>
      </c>
      <c r="H71" s="23">
        <f t="shared" ca="1" si="8"/>
        <v>572</v>
      </c>
      <c r="I71" s="23">
        <f t="shared" ca="1" si="9"/>
        <v>364</v>
      </c>
      <c r="J71" s="23">
        <f t="shared" ca="1" si="10"/>
        <v>572</v>
      </c>
      <c r="K71" s="23">
        <f t="shared" ca="1" si="11"/>
        <v>936</v>
      </c>
      <c r="L71" s="23">
        <f t="shared" ca="1" si="4"/>
        <v>53560</v>
      </c>
    </row>
    <row r="72" spans="3:29">
      <c r="C72" s="23">
        <f t="shared" si="2"/>
        <v>420</v>
      </c>
      <c r="D72" s="23">
        <f t="shared" si="3"/>
        <v>168</v>
      </c>
      <c r="E72" s="23">
        <f t="shared" si="5"/>
        <v>252</v>
      </c>
      <c r="F72" s="23">
        <f t="shared" si="6"/>
        <v>700</v>
      </c>
      <c r="G72" s="23">
        <f t="shared" ca="1" si="7"/>
        <v>224</v>
      </c>
      <c r="H72" s="23">
        <f t="shared" ca="1" si="8"/>
        <v>631</v>
      </c>
      <c r="I72" s="23">
        <f t="shared" ca="1" si="9"/>
        <v>392</v>
      </c>
      <c r="J72" s="23">
        <f t="shared" ca="1" si="10"/>
        <v>631</v>
      </c>
      <c r="K72" s="23">
        <f t="shared" ca="1" si="11"/>
        <v>1023</v>
      </c>
      <c r="L72" s="23">
        <f t="shared" ca="1" si="4"/>
        <v>65305</v>
      </c>
    </row>
    <row r="73" spans="3:29">
      <c r="C73" s="23">
        <f t="shared" si="2"/>
        <v>420</v>
      </c>
      <c r="D73" s="23">
        <f t="shared" si="3"/>
        <v>168</v>
      </c>
      <c r="E73" s="23">
        <f t="shared" si="5"/>
        <v>252</v>
      </c>
      <c r="F73" s="23">
        <f t="shared" si="6"/>
        <v>700</v>
      </c>
      <c r="G73" s="23">
        <f t="shared" ca="1" si="7"/>
        <v>213</v>
      </c>
      <c r="H73" s="23">
        <f t="shared" ca="1" si="8"/>
        <v>623</v>
      </c>
      <c r="I73" s="23">
        <f t="shared" ca="1" si="9"/>
        <v>381</v>
      </c>
      <c r="J73" s="23">
        <f t="shared" ca="1" si="10"/>
        <v>623</v>
      </c>
      <c r="K73" s="23">
        <f t="shared" ca="1" si="11"/>
        <v>1004</v>
      </c>
      <c r="L73" s="23">
        <f t="shared" ca="1" si="4"/>
        <v>62740</v>
      </c>
    </row>
    <row r="74" spans="3:29">
      <c r="C74" s="23">
        <f t="shared" si="2"/>
        <v>420</v>
      </c>
      <c r="D74" s="23">
        <f t="shared" si="3"/>
        <v>168</v>
      </c>
      <c r="E74" s="23">
        <f t="shared" si="5"/>
        <v>252</v>
      </c>
      <c r="F74" s="23">
        <f t="shared" si="6"/>
        <v>700</v>
      </c>
      <c r="G74" s="23">
        <f t="shared" ca="1" si="7"/>
        <v>202</v>
      </c>
      <c r="H74" s="23">
        <f t="shared" ca="1" si="8"/>
        <v>583</v>
      </c>
      <c r="I74" s="23">
        <f t="shared" ca="1" si="9"/>
        <v>370</v>
      </c>
      <c r="J74" s="23">
        <f t="shared" ca="1" si="10"/>
        <v>583</v>
      </c>
      <c r="K74" s="23">
        <f t="shared" ca="1" si="11"/>
        <v>953</v>
      </c>
      <c r="L74" s="23">
        <f t="shared" ca="1" si="4"/>
        <v>55855</v>
      </c>
    </row>
    <row r="75" spans="3:29">
      <c r="C75" s="23">
        <f t="shared" si="2"/>
        <v>420</v>
      </c>
      <c r="D75" s="23">
        <f t="shared" si="3"/>
        <v>168</v>
      </c>
      <c r="E75" s="23">
        <f t="shared" si="5"/>
        <v>252</v>
      </c>
      <c r="F75" s="23">
        <f t="shared" si="6"/>
        <v>700</v>
      </c>
      <c r="G75" s="23">
        <f t="shared" ca="1" si="7"/>
        <v>209</v>
      </c>
      <c r="H75" s="23">
        <f t="shared" ca="1" si="8"/>
        <v>574</v>
      </c>
      <c r="I75" s="23">
        <f t="shared" ca="1" si="9"/>
        <v>377</v>
      </c>
      <c r="J75" s="23">
        <f t="shared" ca="1" si="10"/>
        <v>574</v>
      </c>
      <c r="K75" s="23">
        <f t="shared" ca="1" si="11"/>
        <v>951</v>
      </c>
      <c r="L75" s="23">
        <f t="shared" ca="1" si="4"/>
        <v>55585</v>
      </c>
    </row>
    <row r="76" spans="3:29">
      <c r="C76" s="23">
        <f t="shared" ref="C76:C139" si="12">$B$4</f>
        <v>420</v>
      </c>
      <c r="D76" s="23">
        <f t="shared" ref="D76:D139" si="13">$B$5</f>
        <v>168</v>
      </c>
      <c r="E76" s="23">
        <f t="shared" si="5"/>
        <v>252</v>
      </c>
      <c r="F76" s="23">
        <f t="shared" si="6"/>
        <v>700</v>
      </c>
      <c r="G76" s="23">
        <f t="shared" ca="1" si="7"/>
        <v>238</v>
      </c>
      <c r="H76" s="23">
        <f t="shared" ca="1" si="8"/>
        <v>611</v>
      </c>
      <c r="I76" s="23">
        <f t="shared" ca="1" si="9"/>
        <v>406</v>
      </c>
      <c r="J76" s="23">
        <f t="shared" ca="1" si="10"/>
        <v>611</v>
      </c>
      <c r="K76" s="23">
        <f t="shared" ca="1" si="11"/>
        <v>1017</v>
      </c>
      <c r="L76" s="23">
        <f t="shared" ref="L76:L139" ca="1" si="14">K76*$B$2-(F76+C76)*$B$1</f>
        <v>64495</v>
      </c>
    </row>
    <row r="77" spans="3:29">
      <c r="C77" s="23">
        <f t="shared" si="12"/>
        <v>420</v>
      </c>
      <c r="D77" s="23">
        <f t="shared" si="13"/>
        <v>168</v>
      </c>
      <c r="E77" s="23">
        <f t="shared" ref="E77:E140" si="15">MAX(0,C77-D77)</f>
        <v>252</v>
      </c>
      <c r="F77" s="23">
        <f t="shared" ref="F77:F140" si="16">$E$8</f>
        <v>700</v>
      </c>
      <c r="G77" s="23">
        <f t="shared" ref="G77:G140" ca="1" si="17">_xlfn.FLOOR.MATH(MAX(0,_xlfn.NORM.INV(RAND(),$B$6*$B$8,$B$3*($B$8+0.0001))))</f>
        <v>241</v>
      </c>
      <c r="H77" s="23">
        <f t="shared" ref="H77:H140" ca="1" si="18">_xlfn.FLOOR.MATH(MAX(0,_xlfn.NORM.INV(RAND(),$B$6*(1-$B$8),$B$3*(1.00001-$B$8))))</f>
        <v>663</v>
      </c>
      <c r="I77" s="23">
        <f t="shared" ref="I77:I140" ca="1" si="19">MIN(C77,D77+G77)</f>
        <v>409</v>
      </c>
      <c r="J77" s="23">
        <f t="shared" ref="J77:J140" ca="1" si="20">MIN(C77-I77+F77,H77)</f>
        <v>663</v>
      </c>
      <c r="K77" s="23">
        <f t="shared" ref="K77:K140" ca="1" si="21">I77+J77</f>
        <v>1072</v>
      </c>
      <c r="L77" s="23">
        <f t="shared" ca="1" si="14"/>
        <v>71920</v>
      </c>
    </row>
    <row r="78" spans="3:29">
      <c r="C78" s="23">
        <f t="shared" si="12"/>
        <v>420</v>
      </c>
      <c r="D78" s="23">
        <f t="shared" si="13"/>
        <v>168</v>
      </c>
      <c r="E78" s="23">
        <f t="shared" si="15"/>
        <v>252</v>
      </c>
      <c r="F78" s="23">
        <f t="shared" si="16"/>
        <v>700</v>
      </c>
      <c r="G78" s="23">
        <f t="shared" ca="1" si="17"/>
        <v>205</v>
      </c>
      <c r="H78" s="23">
        <f t="shared" ca="1" si="18"/>
        <v>657</v>
      </c>
      <c r="I78" s="23">
        <f t="shared" ca="1" si="19"/>
        <v>373</v>
      </c>
      <c r="J78" s="23">
        <f t="shared" ca="1" si="20"/>
        <v>657</v>
      </c>
      <c r="K78" s="23">
        <f t="shared" ca="1" si="21"/>
        <v>1030</v>
      </c>
      <c r="L78" s="23">
        <f t="shared" ca="1" si="14"/>
        <v>66250</v>
      </c>
    </row>
    <row r="79" spans="3:29">
      <c r="C79" s="23">
        <f t="shared" si="12"/>
        <v>420</v>
      </c>
      <c r="D79" s="23">
        <f t="shared" si="13"/>
        <v>168</v>
      </c>
      <c r="E79" s="23">
        <f t="shared" si="15"/>
        <v>252</v>
      </c>
      <c r="F79" s="23">
        <f t="shared" si="16"/>
        <v>700</v>
      </c>
      <c r="G79" s="23">
        <f t="shared" ca="1" si="17"/>
        <v>184</v>
      </c>
      <c r="H79" s="23">
        <f t="shared" ca="1" si="18"/>
        <v>704</v>
      </c>
      <c r="I79" s="23">
        <f t="shared" ca="1" si="19"/>
        <v>352</v>
      </c>
      <c r="J79" s="23">
        <f t="shared" ca="1" si="20"/>
        <v>704</v>
      </c>
      <c r="K79" s="23">
        <f t="shared" ca="1" si="21"/>
        <v>1056</v>
      </c>
      <c r="L79" s="23">
        <f t="shared" ca="1" si="14"/>
        <v>69760</v>
      </c>
    </row>
    <row r="80" spans="3:29">
      <c r="C80" s="23">
        <f t="shared" si="12"/>
        <v>420</v>
      </c>
      <c r="D80" s="23">
        <f t="shared" si="13"/>
        <v>168</v>
      </c>
      <c r="E80" s="23">
        <f t="shared" si="15"/>
        <v>252</v>
      </c>
      <c r="F80" s="23">
        <f t="shared" si="16"/>
        <v>700</v>
      </c>
      <c r="G80" s="23">
        <f t="shared" ca="1" si="17"/>
        <v>188</v>
      </c>
      <c r="H80" s="23">
        <f t="shared" ca="1" si="18"/>
        <v>647</v>
      </c>
      <c r="I80" s="23">
        <f t="shared" ca="1" si="19"/>
        <v>356</v>
      </c>
      <c r="J80" s="23">
        <f t="shared" ca="1" si="20"/>
        <v>647</v>
      </c>
      <c r="K80" s="23">
        <f t="shared" ca="1" si="21"/>
        <v>1003</v>
      </c>
      <c r="L80" s="23">
        <f t="shared" ca="1" si="14"/>
        <v>62605</v>
      </c>
    </row>
    <row r="81" spans="3:12">
      <c r="C81" s="23">
        <f t="shared" si="12"/>
        <v>420</v>
      </c>
      <c r="D81" s="23">
        <f t="shared" si="13"/>
        <v>168</v>
      </c>
      <c r="E81" s="23">
        <f t="shared" si="15"/>
        <v>252</v>
      </c>
      <c r="F81" s="23">
        <f t="shared" si="16"/>
        <v>700</v>
      </c>
      <c r="G81" s="23">
        <f t="shared" ca="1" si="17"/>
        <v>228</v>
      </c>
      <c r="H81" s="23">
        <f t="shared" ca="1" si="18"/>
        <v>564</v>
      </c>
      <c r="I81" s="23">
        <f t="shared" ca="1" si="19"/>
        <v>396</v>
      </c>
      <c r="J81" s="23">
        <f t="shared" ca="1" si="20"/>
        <v>564</v>
      </c>
      <c r="K81" s="23">
        <f t="shared" ca="1" si="21"/>
        <v>960</v>
      </c>
      <c r="L81" s="23">
        <f t="shared" ca="1" si="14"/>
        <v>56800</v>
      </c>
    </row>
    <row r="82" spans="3:12">
      <c r="C82" s="23">
        <f t="shared" si="12"/>
        <v>420</v>
      </c>
      <c r="D82" s="23">
        <f t="shared" si="13"/>
        <v>168</v>
      </c>
      <c r="E82" s="23">
        <f t="shared" si="15"/>
        <v>252</v>
      </c>
      <c r="F82" s="23">
        <f t="shared" si="16"/>
        <v>700</v>
      </c>
      <c r="G82" s="23">
        <f t="shared" ca="1" si="17"/>
        <v>200</v>
      </c>
      <c r="H82" s="23">
        <f t="shared" ca="1" si="18"/>
        <v>726</v>
      </c>
      <c r="I82" s="23">
        <f t="shared" ca="1" si="19"/>
        <v>368</v>
      </c>
      <c r="J82" s="23">
        <f t="shared" ca="1" si="20"/>
        <v>726</v>
      </c>
      <c r="K82" s="23">
        <f t="shared" ca="1" si="21"/>
        <v>1094</v>
      </c>
      <c r="L82" s="23">
        <f t="shared" ca="1" si="14"/>
        <v>74890</v>
      </c>
    </row>
    <row r="83" spans="3:12">
      <c r="C83" s="23">
        <f t="shared" si="12"/>
        <v>420</v>
      </c>
      <c r="D83" s="23">
        <f t="shared" si="13"/>
        <v>168</v>
      </c>
      <c r="E83" s="23">
        <f t="shared" si="15"/>
        <v>252</v>
      </c>
      <c r="F83" s="23">
        <f t="shared" si="16"/>
        <v>700</v>
      </c>
      <c r="G83" s="23">
        <f t="shared" ca="1" si="17"/>
        <v>238</v>
      </c>
      <c r="H83" s="23">
        <f t="shared" ca="1" si="18"/>
        <v>742</v>
      </c>
      <c r="I83" s="23">
        <f t="shared" ca="1" si="19"/>
        <v>406</v>
      </c>
      <c r="J83" s="23">
        <f t="shared" ca="1" si="20"/>
        <v>714</v>
      </c>
      <c r="K83" s="23">
        <f t="shared" ca="1" si="21"/>
        <v>1120</v>
      </c>
      <c r="L83" s="23">
        <f t="shared" ca="1" si="14"/>
        <v>78400</v>
      </c>
    </row>
    <row r="84" spans="3:12">
      <c r="C84" s="23">
        <f t="shared" si="12"/>
        <v>420</v>
      </c>
      <c r="D84" s="23">
        <f t="shared" si="13"/>
        <v>168</v>
      </c>
      <c r="E84" s="23">
        <f t="shared" si="15"/>
        <v>252</v>
      </c>
      <c r="F84" s="23">
        <f t="shared" si="16"/>
        <v>700</v>
      </c>
      <c r="G84" s="23">
        <f t="shared" ca="1" si="17"/>
        <v>238</v>
      </c>
      <c r="H84" s="23">
        <f t="shared" ca="1" si="18"/>
        <v>627</v>
      </c>
      <c r="I84" s="23">
        <f t="shared" ca="1" si="19"/>
        <v>406</v>
      </c>
      <c r="J84" s="23">
        <f t="shared" ca="1" si="20"/>
        <v>627</v>
      </c>
      <c r="K84" s="23">
        <f t="shared" ca="1" si="21"/>
        <v>1033</v>
      </c>
      <c r="L84" s="23">
        <f t="shared" ca="1" si="14"/>
        <v>66655</v>
      </c>
    </row>
    <row r="85" spans="3:12">
      <c r="C85" s="23">
        <f t="shared" si="12"/>
        <v>420</v>
      </c>
      <c r="D85" s="23">
        <f t="shared" si="13"/>
        <v>168</v>
      </c>
      <c r="E85" s="23">
        <f t="shared" si="15"/>
        <v>252</v>
      </c>
      <c r="F85" s="23">
        <f t="shared" si="16"/>
        <v>700</v>
      </c>
      <c r="G85" s="23">
        <f t="shared" ca="1" si="17"/>
        <v>183</v>
      </c>
      <c r="H85" s="23">
        <f t="shared" ca="1" si="18"/>
        <v>605</v>
      </c>
      <c r="I85" s="23">
        <f t="shared" ca="1" si="19"/>
        <v>351</v>
      </c>
      <c r="J85" s="23">
        <f t="shared" ca="1" si="20"/>
        <v>605</v>
      </c>
      <c r="K85" s="23">
        <f t="shared" ca="1" si="21"/>
        <v>956</v>
      </c>
      <c r="L85" s="23">
        <f t="shared" ca="1" si="14"/>
        <v>56260</v>
      </c>
    </row>
    <row r="86" spans="3:12">
      <c r="C86" s="23">
        <f t="shared" si="12"/>
        <v>420</v>
      </c>
      <c r="D86" s="23">
        <f t="shared" si="13"/>
        <v>168</v>
      </c>
      <c r="E86" s="23">
        <f t="shared" si="15"/>
        <v>252</v>
      </c>
      <c r="F86" s="23">
        <f t="shared" si="16"/>
        <v>700</v>
      </c>
      <c r="G86" s="23">
        <f t="shared" ca="1" si="17"/>
        <v>239</v>
      </c>
      <c r="H86" s="23">
        <f t="shared" ca="1" si="18"/>
        <v>707</v>
      </c>
      <c r="I86" s="23">
        <f t="shared" ca="1" si="19"/>
        <v>407</v>
      </c>
      <c r="J86" s="23">
        <f t="shared" ca="1" si="20"/>
        <v>707</v>
      </c>
      <c r="K86" s="23">
        <f t="shared" ca="1" si="21"/>
        <v>1114</v>
      </c>
      <c r="L86" s="23">
        <f t="shared" ca="1" si="14"/>
        <v>77590</v>
      </c>
    </row>
    <row r="87" spans="3:12">
      <c r="C87" s="23">
        <f t="shared" si="12"/>
        <v>420</v>
      </c>
      <c r="D87" s="23">
        <f t="shared" si="13"/>
        <v>168</v>
      </c>
      <c r="E87" s="23">
        <f t="shared" si="15"/>
        <v>252</v>
      </c>
      <c r="F87" s="23">
        <f t="shared" si="16"/>
        <v>700</v>
      </c>
      <c r="G87" s="23">
        <f t="shared" ca="1" si="17"/>
        <v>223</v>
      </c>
      <c r="H87" s="23">
        <f t="shared" ca="1" si="18"/>
        <v>770</v>
      </c>
      <c r="I87" s="23">
        <f t="shared" ca="1" si="19"/>
        <v>391</v>
      </c>
      <c r="J87" s="23">
        <f t="shared" ca="1" si="20"/>
        <v>729</v>
      </c>
      <c r="K87" s="23">
        <f t="shared" ca="1" si="21"/>
        <v>1120</v>
      </c>
      <c r="L87" s="23">
        <f t="shared" ca="1" si="14"/>
        <v>78400</v>
      </c>
    </row>
    <row r="88" spans="3:12">
      <c r="C88" s="23">
        <f t="shared" si="12"/>
        <v>420</v>
      </c>
      <c r="D88" s="23">
        <f t="shared" si="13"/>
        <v>168</v>
      </c>
      <c r="E88" s="23">
        <f t="shared" si="15"/>
        <v>252</v>
      </c>
      <c r="F88" s="23">
        <f t="shared" si="16"/>
        <v>700</v>
      </c>
      <c r="G88" s="23">
        <f t="shared" ca="1" si="17"/>
        <v>177</v>
      </c>
      <c r="H88" s="23">
        <f t="shared" ca="1" si="18"/>
        <v>603</v>
      </c>
      <c r="I88" s="23">
        <f t="shared" ca="1" si="19"/>
        <v>345</v>
      </c>
      <c r="J88" s="23">
        <f t="shared" ca="1" si="20"/>
        <v>603</v>
      </c>
      <c r="K88" s="23">
        <f t="shared" ca="1" si="21"/>
        <v>948</v>
      </c>
      <c r="L88" s="23">
        <f t="shared" ca="1" si="14"/>
        <v>55180</v>
      </c>
    </row>
    <row r="89" spans="3:12">
      <c r="C89" s="23">
        <f t="shared" si="12"/>
        <v>420</v>
      </c>
      <c r="D89" s="23">
        <f t="shared" si="13"/>
        <v>168</v>
      </c>
      <c r="E89" s="23">
        <f t="shared" si="15"/>
        <v>252</v>
      </c>
      <c r="F89" s="23">
        <f t="shared" si="16"/>
        <v>700</v>
      </c>
      <c r="G89" s="23">
        <f t="shared" ca="1" si="17"/>
        <v>245</v>
      </c>
      <c r="H89" s="23">
        <f t="shared" ca="1" si="18"/>
        <v>553</v>
      </c>
      <c r="I89" s="23">
        <f t="shared" ca="1" si="19"/>
        <v>413</v>
      </c>
      <c r="J89" s="23">
        <f t="shared" ca="1" si="20"/>
        <v>553</v>
      </c>
      <c r="K89" s="23">
        <f t="shared" ca="1" si="21"/>
        <v>966</v>
      </c>
      <c r="L89" s="23">
        <f t="shared" ca="1" si="14"/>
        <v>57610</v>
      </c>
    </row>
    <row r="90" spans="3:12">
      <c r="C90" s="23">
        <f t="shared" si="12"/>
        <v>420</v>
      </c>
      <c r="D90" s="23">
        <f t="shared" si="13"/>
        <v>168</v>
      </c>
      <c r="E90" s="23">
        <f t="shared" si="15"/>
        <v>252</v>
      </c>
      <c r="F90" s="23">
        <f t="shared" si="16"/>
        <v>700</v>
      </c>
      <c r="G90" s="23">
        <f t="shared" ca="1" si="17"/>
        <v>238</v>
      </c>
      <c r="H90" s="23">
        <f t="shared" ca="1" si="18"/>
        <v>688</v>
      </c>
      <c r="I90" s="23">
        <f t="shared" ca="1" si="19"/>
        <v>406</v>
      </c>
      <c r="J90" s="23">
        <f t="shared" ca="1" si="20"/>
        <v>688</v>
      </c>
      <c r="K90" s="23">
        <f t="shared" ca="1" si="21"/>
        <v>1094</v>
      </c>
      <c r="L90" s="23">
        <f t="shared" ca="1" si="14"/>
        <v>74890</v>
      </c>
    </row>
    <row r="91" spans="3:12">
      <c r="C91" s="23">
        <f t="shared" si="12"/>
        <v>420</v>
      </c>
      <c r="D91" s="23">
        <f t="shared" si="13"/>
        <v>168</v>
      </c>
      <c r="E91" s="23">
        <f t="shared" si="15"/>
        <v>252</v>
      </c>
      <c r="F91" s="23">
        <f t="shared" si="16"/>
        <v>700</v>
      </c>
      <c r="G91" s="23">
        <f t="shared" ca="1" si="17"/>
        <v>203</v>
      </c>
      <c r="H91" s="23">
        <f t="shared" ca="1" si="18"/>
        <v>683</v>
      </c>
      <c r="I91" s="23">
        <f t="shared" ca="1" si="19"/>
        <v>371</v>
      </c>
      <c r="J91" s="23">
        <f t="shared" ca="1" si="20"/>
        <v>683</v>
      </c>
      <c r="K91" s="23">
        <f t="shared" ca="1" si="21"/>
        <v>1054</v>
      </c>
      <c r="L91" s="23">
        <f t="shared" ca="1" si="14"/>
        <v>69490</v>
      </c>
    </row>
    <row r="92" spans="3:12">
      <c r="C92" s="23">
        <f t="shared" si="12"/>
        <v>420</v>
      </c>
      <c r="D92" s="23">
        <f t="shared" si="13"/>
        <v>168</v>
      </c>
      <c r="E92" s="23">
        <f t="shared" si="15"/>
        <v>252</v>
      </c>
      <c r="F92" s="23">
        <f t="shared" si="16"/>
        <v>700</v>
      </c>
      <c r="G92" s="23">
        <f t="shared" ca="1" si="17"/>
        <v>225</v>
      </c>
      <c r="H92" s="23">
        <f t="shared" ca="1" si="18"/>
        <v>553</v>
      </c>
      <c r="I92" s="23">
        <f t="shared" ca="1" si="19"/>
        <v>393</v>
      </c>
      <c r="J92" s="23">
        <f t="shared" ca="1" si="20"/>
        <v>553</v>
      </c>
      <c r="K92" s="23">
        <f t="shared" ca="1" si="21"/>
        <v>946</v>
      </c>
      <c r="L92" s="23">
        <f t="shared" ca="1" si="14"/>
        <v>54910</v>
      </c>
    </row>
    <row r="93" spans="3:12">
      <c r="C93" s="23">
        <f t="shared" si="12"/>
        <v>420</v>
      </c>
      <c r="D93" s="23">
        <f t="shared" si="13"/>
        <v>168</v>
      </c>
      <c r="E93" s="23">
        <f t="shared" si="15"/>
        <v>252</v>
      </c>
      <c r="F93" s="23">
        <f t="shared" si="16"/>
        <v>700</v>
      </c>
      <c r="G93" s="23">
        <f t="shared" ca="1" si="17"/>
        <v>190</v>
      </c>
      <c r="H93" s="23">
        <f t="shared" ca="1" si="18"/>
        <v>572</v>
      </c>
      <c r="I93" s="23">
        <f t="shared" ca="1" si="19"/>
        <v>358</v>
      </c>
      <c r="J93" s="23">
        <f t="shared" ca="1" si="20"/>
        <v>572</v>
      </c>
      <c r="K93" s="23">
        <f t="shared" ca="1" si="21"/>
        <v>930</v>
      </c>
      <c r="L93" s="23">
        <f t="shared" ca="1" si="14"/>
        <v>52750</v>
      </c>
    </row>
    <row r="94" spans="3:12">
      <c r="C94" s="23">
        <f t="shared" si="12"/>
        <v>420</v>
      </c>
      <c r="D94" s="23">
        <f t="shared" si="13"/>
        <v>168</v>
      </c>
      <c r="E94" s="23">
        <f t="shared" si="15"/>
        <v>252</v>
      </c>
      <c r="F94" s="23">
        <f t="shared" si="16"/>
        <v>700</v>
      </c>
      <c r="G94" s="23">
        <f t="shared" ca="1" si="17"/>
        <v>175</v>
      </c>
      <c r="H94" s="23">
        <f t="shared" ca="1" si="18"/>
        <v>638</v>
      </c>
      <c r="I94" s="23">
        <f t="shared" ca="1" si="19"/>
        <v>343</v>
      </c>
      <c r="J94" s="23">
        <f t="shared" ca="1" si="20"/>
        <v>638</v>
      </c>
      <c r="K94" s="23">
        <f t="shared" ca="1" si="21"/>
        <v>981</v>
      </c>
      <c r="L94" s="23">
        <f t="shared" ca="1" si="14"/>
        <v>59635</v>
      </c>
    </row>
    <row r="95" spans="3:12">
      <c r="C95" s="23">
        <f t="shared" si="12"/>
        <v>420</v>
      </c>
      <c r="D95" s="23">
        <f t="shared" si="13"/>
        <v>168</v>
      </c>
      <c r="E95" s="23">
        <f t="shared" si="15"/>
        <v>252</v>
      </c>
      <c r="F95" s="23">
        <f t="shared" si="16"/>
        <v>700</v>
      </c>
      <c r="G95" s="23">
        <f t="shared" ca="1" si="17"/>
        <v>223</v>
      </c>
      <c r="H95" s="23">
        <f t="shared" ca="1" si="18"/>
        <v>612</v>
      </c>
      <c r="I95" s="23">
        <f t="shared" ca="1" si="19"/>
        <v>391</v>
      </c>
      <c r="J95" s="23">
        <f t="shared" ca="1" si="20"/>
        <v>612</v>
      </c>
      <c r="K95" s="23">
        <f t="shared" ca="1" si="21"/>
        <v>1003</v>
      </c>
      <c r="L95" s="23">
        <f t="shared" ca="1" si="14"/>
        <v>62605</v>
      </c>
    </row>
    <row r="96" spans="3:12">
      <c r="C96" s="23">
        <f t="shared" si="12"/>
        <v>420</v>
      </c>
      <c r="D96" s="23">
        <f t="shared" si="13"/>
        <v>168</v>
      </c>
      <c r="E96" s="23">
        <f t="shared" si="15"/>
        <v>252</v>
      </c>
      <c r="F96" s="23">
        <f t="shared" si="16"/>
        <v>700</v>
      </c>
      <c r="G96" s="23">
        <f t="shared" ca="1" si="17"/>
        <v>187</v>
      </c>
      <c r="H96" s="23">
        <f t="shared" ca="1" si="18"/>
        <v>609</v>
      </c>
      <c r="I96" s="23">
        <f t="shared" ca="1" si="19"/>
        <v>355</v>
      </c>
      <c r="J96" s="23">
        <f t="shared" ca="1" si="20"/>
        <v>609</v>
      </c>
      <c r="K96" s="23">
        <f t="shared" ca="1" si="21"/>
        <v>964</v>
      </c>
      <c r="L96" s="23">
        <f t="shared" ca="1" si="14"/>
        <v>57340</v>
      </c>
    </row>
    <row r="97" spans="3:12">
      <c r="C97" s="23">
        <f t="shared" si="12"/>
        <v>420</v>
      </c>
      <c r="D97" s="23">
        <f t="shared" si="13"/>
        <v>168</v>
      </c>
      <c r="E97" s="23">
        <f t="shared" si="15"/>
        <v>252</v>
      </c>
      <c r="F97" s="23">
        <f t="shared" si="16"/>
        <v>700</v>
      </c>
      <c r="G97" s="23">
        <f t="shared" ca="1" si="17"/>
        <v>236</v>
      </c>
      <c r="H97" s="23">
        <f t="shared" ca="1" si="18"/>
        <v>577</v>
      </c>
      <c r="I97" s="23">
        <f t="shared" ca="1" si="19"/>
        <v>404</v>
      </c>
      <c r="J97" s="23">
        <f t="shared" ca="1" si="20"/>
        <v>577</v>
      </c>
      <c r="K97" s="23">
        <f t="shared" ca="1" si="21"/>
        <v>981</v>
      </c>
      <c r="L97" s="23">
        <f t="shared" ca="1" si="14"/>
        <v>59635</v>
      </c>
    </row>
    <row r="98" spans="3:12">
      <c r="C98" s="23">
        <f t="shared" si="12"/>
        <v>420</v>
      </c>
      <c r="D98" s="23">
        <f t="shared" si="13"/>
        <v>168</v>
      </c>
      <c r="E98" s="23">
        <f t="shared" si="15"/>
        <v>252</v>
      </c>
      <c r="F98" s="23">
        <f t="shared" si="16"/>
        <v>700</v>
      </c>
      <c r="G98" s="23">
        <f t="shared" ca="1" si="17"/>
        <v>241</v>
      </c>
      <c r="H98" s="23">
        <f t="shared" ca="1" si="18"/>
        <v>547</v>
      </c>
      <c r="I98" s="23">
        <f t="shared" ca="1" si="19"/>
        <v>409</v>
      </c>
      <c r="J98" s="23">
        <f t="shared" ca="1" si="20"/>
        <v>547</v>
      </c>
      <c r="K98" s="23">
        <f t="shared" ca="1" si="21"/>
        <v>956</v>
      </c>
      <c r="L98" s="23">
        <f t="shared" ca="1" si="14"/>
        <v>56260</v>
      </c>
    </row>
    <row r="99" spans="3:12">
      <c r="C99" s="23">
        <f t="shared" si="12"/>
        <v>420</v>
      </c>
      <c r="D99" s="23">
        <f t="shared" si="13"/>
        <v>168</v>
      </c>
      <c r="E99" s="23">
        <f t="shared" si="15"/>
        <v>252</v>
      </c>
      <c r="F99" s="23">
        <f t="shared" si="16"/>
        <v>700</v>
      </c>
      <c r="G99" s="23">
        <f t="shared" ca="1" si="17"/>
        <v>237</v>
      </c>
      <c r="H99" s="23">
        <f t="shared" ca="1" si="18"/>
        <v>566</v>
      </c>
      <c r="I99" s="23">
        <f t="shared" ca="1" si="19"/>
        <v>405</v>
      </c>
      <c r="J99" s="23">
        <f t="shared" ca="1" si="20"/>
        <v>566</v>
      </c>
      <c r="K99" s="23">
        <f t="shared" ca="1" si="21"/>
        <v>971</v>
      </c>
      <c r="L99" s="23">
        <f t="shared" ca="1" si="14"/>
        <v>58285</v>
      </c>
    </row>
    <row r="100" spans="3:12">
      <c r="C100" s="23">
        <f t="shared" si="12"/>
        <v>420</v>
      </c>
      <c r="D100" s="23">
        <f t="shared" si="13"/>
        <v>168</v>
      </c>
      <c r="E100" s="23">
        <f t="shared" si="15"/>
        <v>252</v>
      </c>
      <c r="F100" s="23">
        <f t="shared" si="16"/>
        <v>700</v>
      </c>
      <c r="G100" s="23">
        <f t="shared" ca="1" si="17"/>
        <v>220</v>
      </c>
      <c r="H100" s="23">
        <f t="shared" ca="1" si="18"/>
        <v>706</v>
      </c>
      <c r="I100" s="23">
        <f t="shared" ca="1" si="19"/>
        <v>388</v>
      </c>
      <c r="J100" s="23">
        <f t="shared" ca="1" si="20"/>
        <v>706</v>
      </c>
      <c r="K100" s="23">
        <f t="shared" ca="1" si="21"/>
        <v>1094</v>
      </c>
      <c r="L100" s="23">
        <f t="shared" ca="1" si="14"/>
        <v>74890</v>
      </c>
    </row>
    <row r="101" spans="3:12">
      <c r="C101" s="23">
        <f t="shared" si="12"/>
        <v>420</v>
      </c>
      <c r="D101" s="23">
        <f t="shared" si="13"/>
        <v>168</v>
      </c>
      <c r="E101" s="23">
        <f t="shared" si="15"/>
        <v>252</v>
      </c>
      <c r="F101" s="23">
        <f t="shared" si="16"/>
        <v>700</v>
      </c>
      <c r="G101" s="23">
        <f t="shared" ca="1" si="17"/>
        <v>190</v>
      </c>
      <c r="H101" s="23">
        <f t="shared" ca="1" si="18"/>
        <v>657</v>
      </c>
      <c r="I101" s="23">
        <f t="shared" ca="1" si="19"/>
        <v>358</v>
      </c>
      <c r="J101" s="23">
        <f t="shared" ca="1" si="20"/>
        <v>657</v>
      </c>
      <c r="K101" s="23">
        <f t="shared" ca="1" si="21"/>
        <v>1015</v>
      </c>
      <c r="L101" s="23">
        <f t="shared" ca="1" si="14"/>
        <v>64225</v>
      </c>
    </row>
    <row r="102" spans="3:12">
      <c r="C102" s="23">
        <f t="shared" si="12"/>
        <v>420</v>
      </c>
      <c r="D102" s="23">
        <f t="shared" si="13"/>
        <v>168</v>
      </c>
      <c r="E102" s="23">
        <f t="shared" si="15"/>
        <v>252</v>
      </c>
      <c r="F102" s="23">
        <f t="shared" si="16"/>
        <v>700</v>
      </c>
      <c r="G102" s="23">
        <f t="shared" ca="1" si="17"/>
        <v>156</v>
      </c>
      <c r="H102" s="23">
        <f t="shared" ca="1" si="18"/>
        <v>618</v>
      </c>
      <c r="I102" s="23">
        <f t="shared" ca="1" si="19"/>
        <v>324</v>
      </c>
      <c r="J102" s="23">
        <f t="shared" ca="1" si="20"/>
        <v>618</v>
      </c>
      <c r="K102" s="23">
        <f t="shared" ca="1" si="21"/>
        <v>942</v>
      </c>
      <c r="L102" s="23">
        <f t="shared" ca="1" si="14"/>
        <v>54370</v>
      </c>
    </row>
    <row r="103" spans="3:12">
      <c r="C103" s="23">
        <f t="shared" si="12"/>
        <v>420</v>
      </c>
      <c r="D103" s="23">
        <f t="shared" si="13"/>
        <v>168</v>
      </c>
      <c r="E103" s="23">
        <f t="shared" si="15"/>
        <v>252</v>
      </c>
      <c r="F103" s="23">
        <f t="shared" si="16"/>
        <v>700</v>
      </c>
      <c r="G103" s="23">
        <f t="shared" ca="1" si="17"/>
        <v>190</v>
      </c>
      <c r="H103" s="23">
        <f t="shared" ca="1" si="18"/>
        <v>650</v>
      </c>
      <c r="I103" s="23">
        <f t="shared" ca="1" si="19"/>
        <v>358</v>
      </c>
      <c r="J103" s="23">
        <f t="shared" ca="1" si="20"/>
        <v>650</v>
      </c>
      <c r="K103" s="23">
        <f t="shared" ca="1" si="21"/>
        <v>1008</v>
      </c>
      <c r="L103" s="23">
        <f t="shared" ca="1" si="14"/>
        <v>63280</v>
      </c>
    </row>
    <row r="104" spans="3:12">
      <c r="C104" s="23">
        <f t="shared" si="12"/>
        <v>420</v>
      </c>
      <c r="D104" s="23">
        <f t="shared" si="13"/>
        <v>168</v>
      </c>
      <c r="E104" s="23">
        <f t="shared" si="15"/>
        <v>252</v>
      </c>
      <c r="F104" s="23">
        <f t="shared" si="16"/>
        <v>700</v>
      </c>
      <c r="G104" s="23">
        <f t="shared" ca="1" si="17"/>
        <v>205</v>
      </c>
      <c r="H104" s="23">
        <f t="shared" ca="1" si="18"/>
        <v>746</v>
      </c>
      <c r="I104" s="23">
        <f t="shared" ca="1" si="19"/>
        <v>373</v>
      </c>
      <c r="J104" s="23">
        <f t="shared" ca="1" si="20"/>
        <v>746</v>
      </c>
      <c r="K104" s="23">
        <f t="shared" ca="1" si="21"/>
        <v>1119</v>
      </c>
      <c r="L104" s="23">
        <f t="shared" ca="1" si="14"/>
        <v>78265</v>
      </c>
    </row>
    <row r="105" spans="3:12">
      <c r="C105" s="23">
        <f t="shared" si="12"/>
        <v>420</v>
      </c>
      <c r="D105" s="23">
        <f t="shared" si="13"/>
        <v>168</v>
      </c>
      <c r="E105" s="23">
        <f t="shared" si="15"/>
        <v>252</v>
      </c>
      <c r="F105" s="23">
        <f t="shared" si="16"/>
        <v>700</v>
      </c>
      <c r="G105" s="23">
        <f t="shared" ca="1" si="17"/>
        <v>201</v>
      </c>
      <c r="H105" s="23">
        <f t="shared" ca="1" si="18"/>
        <v>713</v>
      </c>
      <c r="I105" s="23">
        <f t="shared" ca="1" si="19"/>
        <v>369</v>
      </c>
      <c r="J105" s="23">
        <f t="shared" ca="1" si="20"/>
        <v>713</v>
      </c>
      <c r="K105" s="23">
        <f t="shared" ca="1" si="21"/>
        <v>1082</v>
      </c>
      <c r="L105" s="23">
        <f t="shared" ca="1" si="14"/>
        <v>73270</v>
      </c>
    </row>
    <row r="106" spans="3:12">
      <c r="C106" s="23">
        <f t="shared" si="12"/>
        <v>420</v>
      </c>
      <c r="D106" s="23">
        <f t="shared" si="13"/>
        <v>168</v>
      </c>
      <c r="E106" s="23">
        <f t="shared" si="15"/>
        <v>252</v>
      </c>
      <c r="F106" s="23">
        <f t="shared" si="16"/>
        <v>700</v>
      </c>
      <c r="G106" s="23">
        <f t="shared" ca="1" si="17"/>
        <v>216</v>
      </c>
      <c r="H106" s="23">
        <f t="shared" ca="1" si="18"/>
        <v>677</v>
      </c>
      <c r="I106" s="23">
        <f t="shared" ca="1" si="19"/>
        <v>384</v>
      </c>
      <c r="J106" s="23">
        <f t="shared" ca="1" si="20"/>
        <v>677</v>
      </c>
      <c r="K106" s="23">
        <f t="shared" ca="1" si="21"/>
        <v>1061</v>
      </c>
      <c r="L106" s="23">
        <f t="shared" ca="1" si="14"/>
        <v>70435</v>
      </c>
    </row>
    <row r="107" spans="3:12">
      <c r="C107" s="23">
        <f t="shared" si="12"/>
        <v>420</v>
      </c>
      <c r="D107" s="23">
        <f t="shared" si="13"/>
        <v>168</v>
      </c>
      <c r="E107" s="23">
        <f t="shared" si="15"/>
        <v>252</v>
      </c>
      <c r="F107" s="23">
        <f t="shared" si="16"/>
        <v>700</v>
      </c>
      <c r="G107" s="23">
        <f t="shared" ca="1" si="17"/>
        <v>214</v>
      </c>
      <c r="H107" s="23">
        <f t="shared" ca="1" si="18"/>
        <v>660</v>
      </c>
      <c r="I107" s="23">
        <f t="shared" ca="1" si="19"/>
        <v>382</v>
      </c>
      <c r="J107" s="23">
        <f t="shared" ca="1" si="20"/>
        <v>660</v>
      </c>
      <c r="K107" s="23">
        <f t="shared" ca="1" si="21"/>
        <v>1042</v>
      </c>
      <c r="L107" s="23">
        <f t="shared" ca="1" si="14"/>
        <v>67870</v>
      </c>
    </row>
    <row r="108" spans="3:12">
      <c r="C108" s="23">
        <f t="shared" si="12"/>
        <v>420</v>
      </c>
      <c r="D108" s="23">
        <f t="shared" si="13"/>
        <v>168</v>
      </c>
      <c r="E108" s="23">
        <f t="shared" si="15"/>
        <v>252</v>
      </c>
      <c r="F108" s="23">
        <f t="shared" si="16"/>
        <v>700</v>
      </c>
      <c r="G108" s="23">
        <f t="shared" ca="1" si="17"/>
        <v>201</v>
      </c>
      <c r="H108" s="23">
        <f t="shared" ca="1" si="18"/>
        <v>715</v>
      </c>
      <c r="I108" s="23">
        <f t="shared" ca="1" si="19"/>
        <v>369</v>
      </c>
      <c r="J108" s="23">
        <f t="shared" ca="1" si="20"/>
        <v>715</v>
      </c>
      <c r="K108" s="23">
        <f t="shared" ca="1" si="21"/>
        <v>1084</v>
      </c>
      <c r="L108" s="23">
        <f t="shared" ca="1" si="14"/>
        <v>73540</v>
      </c>
    </row>
    <row r="109" spans="3:12">
      <c r="C109" s="23">
        <f t="shared" si="12"/>
        <v>420</v>
      </c>
      <c r="D109" s="23">
        <f t="shared" si="13"/>
        <v>168</v>
      </c>
      <c r="E109" s="23">
        <f t="shared" si="15"/>
        <v>252</v>
      </c>
      <c r="F109" s="23">
        <f t="shared" si="16"/>
        <v>700</v>
      </c>
      <c r="G109" s="23">
        <f t="shared" ca="1" si="17"/>
        <v>221</v>
      </c>
      <c r="H109" s="23">
        <f t="shared" ca="1" si="18"/>
        <v>634</v>
      </c>
      <c r="I109" s="23">
        <f t="shared" ca="1" si="19"/>
        <v>389</v>
      </c>
      <c r="J109" s="23">
        <f t="shared" ca="1" si="20"/>
        <v>634</v>
      </c>
      <c r="K109" s="23">
        <f t="shared" ca="1" si="21"/>
        <v>1023</v>
      </c>
      <c r="L109" s="23">
        <f t="shared" ca="1" si="14"/>
        <v>65305</v>
      </c>
    </row>
    <row r="110" spans="3:12">
      <c r="C110" s="23">
        <f t="shared" si="12"/>
        <v>420</v>
      </c>
      <c r="D110" s="23">
        <f t="shared" si="13"/>
        <v>168</v>
      </c>
      <c r="E110" s="23">
        <f t="shared" si="15"/>
        <v>252</v>
      </c>
      <c r="F110" s="23">
        <f t="shared" si="16"/>
        <v>700</v>
      </c>
      <c r="G110" s="23">
        <f t="shared" ca="1" si="17"/>
        <v>240</v>
      </c>
      <c r="H110" s="23">
        <f t="shared" ca="1" si="18"/>
        <v>435</v>
      </c>
      <c r="I110" s="23">
        <f t="shared" ca="1" si="19"/>
        <v>408</v>
      </c>
      <c r="J110" s="23">
        <f t="shared" ca="1" si="20"/>
        <v>435</v>
      </c>
      <c r="K110" s="23">
        <f t="shared" ca="1" si="21"/>
        <v>843</v>
      </c>
      <c r="L110" s="23">
        <f t="shared" ca="1" si="14"/>
        <v>41005</v>
      </c>
    </row>
    <row r="111" spans="3:12">
      <c r="C111" s="23">
        <f t="shared" si="12"/>
        <v>420</v>
      </c>
      <c r="D111" s="23">
        <f t="shared" si="13"/>
        <v>168</v>
      </c>
      <c r="E111" s="23">
        <f t="shared" si="15"/>
        <v>252</v>
      </c>
      <c r="F111" s="23">
        <f t="shared" si="16"/>
        <v>700</v>
      </c>
      <c r="G111" s="23">
        <f t="shared" ca="1" si="17"/>
        <v>169</v>
      </c>
      <c r="H111" s="23">
        <f t="shared" ca="1" si="18"/>
        <v>630</v>
      </c>
      <c r="I111" s="23">
        <f t="shared" ca="1" si="19"/>
        <v>337</v>
      </c>
      <c r="J111" s="23">
        <f t="shared" ca="1" si="20"/>
        <v>630</v>
      </c>
      <c r="K111" s="23">
        <f t="shared" ca="1" si="21"/>
        <v>967</v>
      </c>
      <c r="L111" s="23">
        <f t="shared" ca="1" si="14"/>
        <v>57745</v>
      </c>
    </row>
    <row r="112" spans="3:12">
      <c r="C112" s="23">
        <f t="shared" si="12"/>
        <v>420</v>
      </c>
      <c r="D112" s="23">
        <f t="shared" si="13"/>
        <v>168</v>
      </c>
      <c r="E112" s="23">
        <f t="shared" si="15"/>
        <v>252</v>
      </c>
      <c r="F112" s="23">
        <f t="shared" si="16"/>
        <v>700</v>
      </c>
      <c r="G112" s="23">
        <f t="shared" ca="1" si="17"/>
        <v>222</v>
      </c>
      <c r="H112" s="23">
        <f t="shared" ca="1" si="18"/>
        <v>624</v>
      </c>
      <c r="I112" s="23">
        <f t="shared" ca="1" si="19"/>
        <v>390</v>
      </c>
      <c r="J112" s="23">
        <f t="shared" ca="1" si="20"/>
        <v>624</v>
      </c>
      <c r="K112" s="23">
        <f t="shared" ca="1" si="21"/>
        <v>1014</v>
      </c>
      <c r="L112" s="23">
        <f t="shared" ca="1" si="14"/>
        <v>64090</v>
      </c>
    </row>
    <row r="113" spans="3:12">
      <c r="C113" s="23">
        <f t="shared" si="12"/>
        <v>420</v>
      </c>
      <c r="D113" s="23">
        <f t="shared" si="13"/>
        <v>168</v>
      </c>
      <c r="E113" s="23">
        <f t="shared" si="15"/>
        <v>252</v>
      </c>
      <c r="F113" s="23">
        <f t="shared" si="16"/>
        <v>700</v>
      </c>
      <c r="G113" s="23">
        <f t="shared" ca="1" si="17"/>
        <v>207</v>
      </c>
      <c r="H113" s="23">
        <f t="shared" ca="1" si="18"/>
        <v>586</v>
      </c>
      <c r="I113" s="23">
        <f t="shared" ca="1" si="19"/>
        <v>375</v>
      </c>
      <c r="J113" s="23">
        <f t="shared" ca="1" si="20"/>
        <v>586</v>
      </c>
      <c r="K113" s="23">
        <f t="shared" ca="1" si="21"/>
        <v>961</v>
      </c>
      <c r="L113" s="23">
        <f t="shared" ca="1" si="14"/>
        <v>56935</v>
      </c>
    </row>
    <row r="114" spans="3:12">
      <c r="C114" s="23">
        <f t="shared" si="12"/>
        <v>420</v>
      </c>
      <c r="D114" s="23">
        <f t="shared" si="13"/>
        <v>168</v>
      </c>
      <c r="E114" s="23">
        <f t="shared" si="15"/>
        <v>252</v>
      </c>
      <c r="F114" s="23">
        <f t="shared" si="16"/>
        <v>700</v>
      </c>
      <c r="G114" s="23">
        <f t="shared" ca="1" si="17"/>
        <v>192</v>
      </c>
      <c r="H114" s="23">
        <f t="shared" ca="1" si="18"/>
        <v>605</v>
      </c>
      <c r="I114" s="23">
        <f t="shared" ca="1" si="19"/>
        <v>360</v>
      </c>
      <c r="J114" s="23">
        <f t="shared" ca="1" si="20"/>
        <v>605</v>
      </c>
      <c r="K114" s="23">
        <f t="shared" ca="1" si="21"/>
        <v>965</v>
      </c>
      <c r="L114" s="23">
        <f t="shared" ca="1" si="14"/>
        <v>57475</v>
      </c>
    </row>
    <row r="115" spans="3:12">
      <c r="C115" s="23">
        <f t="shared" si="12"/>
        <v>420</v>
      </c>
      <c r="D115" s="23">
        <f t="shared" si="13"/>
        <v>168</v>
      </c>
      <c r="E115" s="23">
        <f t="shared" si="15"/>
        <v>252</v>
      </c>
      <c r="F115" s="23">
        <f t="shared" si="16"/>
        <v>700</v>
      </c>
      <c r="G115" s="23">
        <f t="shared" ca="1" si="17"/>
        <v>190</v>
      </c>
      <c r="H115" s="23">
        <f t="shared" ca="1" si="18"/>
        <v>607</v>
      </c>
      <c r="I115" s="23">
        <f t="shared" ca="1" si="19"/>
        <v>358</v>
      </c>
      <c r="J115" s="23">
        <f t="shared" ca="1" si="20"/>
        <v>607</v>
      </c>
      <c r="K115" s="23">
        <f t="shared" ca="1" si="21"/>
        <v>965</v>
      </c>
      <c r="L115" s="23">
        <f t="shared" ca="1" si="14"/>
        <v>57475</v>
      </c>
    </row>
    <row r="116" spans="3:12">
      <c r="C116" s="23">
        <f t="shared" si="12"/>
        <v>420</v>
      </c>
      <c r="D116" s="23">
        <f t="shared" si="13"/>
        <v>168</v>
      </c>
      <c r="E116" s="23">
        <f t="shared" si="15"/>
        <v>252</v>
      </c>
      <c r="F116" s="23">
        <f t="shared" si="16"/>
        <v>700</v>
      </c>
      <c r="G116" s="23">
        <f t="shared" ca="1" si="17"/>
        <v>229</v>
      </c>
      <c r="H116" s="23">
        <f t="shared" ca="1" si="18"/>
        <v>614</v>
      </c>
      <c r="I116" s="23">
        <f t="shared" ca="1" si="19"/>
        <v>397</v>
      </c>
      <c r="J116" s="23">
        <f t="shared" ca="1" si="20"/>
        <v>614</v>
      </c>
      <c r="K116" s="23">
        <f t="shared" ca="1" si="21"/>
        <v>1011</v>
      </c>
      <c r="L116" s="23">
        <f t="shared" ca="1" si="14"/>
        <v>63685</v>
      </c>
    </row>
    <row r="117" spans="3:12">
      <c r="C117" s="23">
        <f t="shared" si="12"/>
        <v>420</v>
      </c>
      <c r="D117" s="23">
        <f t="shared" si="13"/>
        <v>168</v>
      </c>
      <c r="E117" s="23">
        <f t="shared" si="15"/>
        <v>252</v>
      </c>
      <c r="F117" s="23">
        <f t="shared" si="16"/>
        <v>700</v>
      </c>
      <c r="G117" s="23">
        <f t="shared" ca="1" si="17"/>
        <v>190</v>
      </c>
      <c r="H117" s="23">
        <f t="shared" ca="1" si="18"/>
        <v>679</v>
      </c>
      <c r="I117" s="23">
        <f t="shared" ca="1" si="19"/>
        <v>358</v>
      </c>
      <c r="J117" s="23">
        <f t="shared" ca="1" si="20"/>
        <v>679</v>
      </c>
      <c r="K117" s="23">
        <f t="shared" ca="1" si="21"/>
        <v>1037</v>
      </c>
      <c r="L117" s="23">
        <f t="shared" ca="1" si="14"/>
        <v>67195</v>
      </c>
    </row>
    <row r="118" spans="3:12">
      <c r="C118" s="23">
        <f t="shared" si="12"/>
        <v>420</v>
      </c>
      <c r="D118" s="23">
        <f t="shared" si="13"/>
        <v>168</v>
      </c>
      <c r="E118" s="23">
        <f t="shared" si="15"/>
        <v>252</v>
      </c>
      <c r="F118" s="23">
        <f t="shared" si="16"/>
        <v>700</v>
      </c>
      <c r="G118" s="23">
        <f t="shared" ca="1" si="17"/>
        <v>179</v>
      </c>
      <c r="H118" s="23">
        <f t="shared" ca="1" si="18"/>
        <v>605</v>
      </c>
      <c r="I118" s="23">
        <f t="shared" ca="1" si="19"/>
        <v>347</v>
      </c>
      <c r="J118" s="23">
        <f t="shared" ca="1" si="20"/>
        <v>605</v>
      </c>
      <c r="K118" s="23">
        <f t="shared" ca="1" si="21"/>
        <v>952</v>
      </c>
      <c r="L118" s="23">
        <f t="shared" ca="1" si="14"/>
        <v>55720</v>
      </c>
    </row>
    <row r="119" spans="3:12">
      <c r="C119" s="23">
        <f t="shared" si="12"/>
        <v>420</v>
      </c>
      <c r="D119" s="23">
        <f t="shared" si="13"/>
        <v>168</v>
      </c>
      <c r="E119" s="23">
        <f t="shared" si="15"/>
        <v>252</v>
      </c>
      <c r="F119" s="23">
        <f t="shared" si="16"/>
        <v>700</v>
      </c>
      <c r="G119" s="23">
        <f t="shared" ca="1" si="17"/>
        <v>260</v>
      </c>
      <c r="H119" s="23">
        <f t="shared" ca="1" si="18"/>
        <v>720</v>
      </c>
      <c r="I119" s="23">
        <f t="shared" ca="1" si="19"/>
        <v>420</v>
      </c>
      <c r="J119" s="23">
        <f t="shared" ca="1" si="20"/>
        <v>700</v>
      </c>
      <c r="K119" s="23">
        <f t="shared" ca="1" si="21"/>
        <v>1120</v>
      </c>
      <c r="L119" s="23">
        <f t="shared" ca="1" si="14"/>
        <v>78400</v>
      </c>
    </row>
    <row r="120" spans="3:12">
      <c r="C120" s="23">
        <f t="shared" si="12"/>
        <v>420</v>
      </c>
      <c r="D120" s="23">
        <f t="shared" si="13"/>
        <v>168</v>
      </c>
      <c r="E120" s="23">
        <f t="shared" si="15"/>
        <v>252</v>
      </c>
      <c r="F120" s="23">
        <f t="shared" si="16"/>
        <v>700</v>
      </c>
      <c r="G120" s="23">
        <f t="shared" ca="1" si="17"/>
        <v>227</v>
      </c>
      <c r="H120" s="23">
        <f t="shared" ca="1" si="18"/>
        <v>607</v>
      </c>
      <c r="I120" s="23">
        <f t="shared" ca="1" si="19"/>
        <v>395</v>
      </c>
      <c r="J120" s="23">
        <f t="shared" ca="1" si="20"/>
        <v>607</v>
      </c>
      <c r="K120" s="23">
        <f t="shared" ca="1" si="21"/>
        <v>1002</v>
      </c>
      <c r="L120" s="23">
        <f t="shared" ca="1" si="14"/>
        <v>62470</v>
      </c>
    </row>
    <row r="121" spans="3:12">
      <c r="C121" s="23">
        <f t="shared" si="12"/>
        <v>420</v>
      </c>
      <c r="D121" s="23">
        <f t="shared" si="13"/>
        <v>168</v>
      </c>
      <c r="E121" s="23">
        <f t="shared" si="15"/>
        <v>252</v>
      </c>
      <c r="F121" s="23">
        <f t="shared" si="16"/>
        <v>700</v>
      </c>
      <c r="G121" s="23">
        <f t="shared" ca="1" si="17"/>
        <v>241</v>
      </c>
      <c r="H121" s="23">
        <f t="shared" ca="1" si="18"/>
        <v>738</v>
      </c>
      <c r="I121" s="23">
        <f t="shared" ca="1" si="19"/>
        <v>409</v>
      </c>
      <c r="J121" s="23">
        <f t="shared" ca="1" si="20"/>
        <v>711</v>
      </c>
      <c r="K121" s="23">
        <f t="shared" ca="1" si="21"/>
        <v>1120</v>
      </c>
      <c r="L121" s="23">
        <f t="shared" ca="1" si="14"/>
        <v>78400</v>
      </c>
    </row>
    <row r="122" spans="3:12">
      <c r="C122" s="23">
        <f t="shared" si="12"/>
        <v>420</v>
      </c>
      <c r="D122" s="23">
        <f t="shared" si="13"/>
        <v>168</v>
      </c>
      <c r="E122" s="23">
        <f t="shared" si="15"/>
        <v>252</v>
      </c>
      <c r="F122" s="23">
        <f t="shared" si="16"/>
        <v>700</v>
      </c>
      <c r="G122" s="23">
        <f t="shared" ca="1" si="17"/>
        <v>196</v>
      </c>
      <c r="H122" s="23">
        <f t="shared" ca="1" si="18"/>
        <v>566</v>
      </c>
      <c r="I122" s="23">
        <f t="shared" ca="1" si="19"/>
        <v>364</v>
      </c>
      <c r="J122" s="23">
        <f t="shared" ca="1" si="20"/>
        <v>566</v>
      </c>
      <c r="K122" s="23">
        <f t="shared" ca="1" si="21"/>
        <v>930</v>
      </c>
      <c r="L122" s="23">
        <f t="shared" ca="1" si="14"/>
        <v>52750</v>
      </c>
    </row>
    <row r="123" spans="3:12">
      <c r="C123" s="23">
        <f t="shared" si="12"/>
        <v>420</v>
      </c>
      <c r="D123" s="23">
        <f t="shared" si="13"/>
        <v>168</v>
      </c>
      <c r="E123" s="23">
        <f t="shared" si="15"/>
        <v>252</v>
      </c>
      <c r="F123" s="23">
        <f t="shared" si="16"/>
        <v>700</v>
      </c>
      <c r="G123" s="23">
        <f t="shared" ca="1" si="17"/>
        <v>220</v>
      </c>
      <c r="H123" s="23">
        <f t="shared" ca="1" si="18"/>
        <v>651</v>
      </c>
      <c r="I123" s="23">
        <f t="shared" ca="1" si="19"/>
        <v>388</v>
      </c>
      <c r="J123" s="23">
        <f t="shared" ca="1" si="20"/>
        <v>651</v>
      </c>
      <c r="K123" s="23">
        <f t="shared" ca="1" si="21"/>
        <v>1039</v>
      </c>
      <c r="L123" s="23">
        <f t="shared" ca="1" si="14"/>
        <v>67465</v>
      </c>
    </row>
    <row r="124" spans="3:12">
      <c r="C124" s="23">
        <f t="shared" si="12"/>
        <v>420</v>
      </c>
      <c r="D124" s="23">
        <f t="shared" si="13"/>
        <v>168</v>
      </c>
      <c r="E124" s="23">
        <f t="shared" si="15"/>
        <v>252</v>
      </c>
      <c r="F124" s="23">
        <f t="shared" si="16"/>
        <v>700</v>
      </c>
      <c r="G124" s="23">
        <f t="shared" ca="1" si="17"/>
        <v>239</v>
      </c>
      <c r="H124" s="23">
        <f t="shared" ca="1" si="18"/>
        <v>651</v>
      </c>
      <c r="I124" s="23">
        <f t="shared" ca="1" si="19"/>
        <v>407</v>
      </c>
      <c r="J124" s="23">
        <f t="shared" ca="1" si="20"/>
        <v>651</v>
      </c>
      <c r="K124" s="23">
        <f t="shared" ca="1" si="21"/>
        <v>1058</v>
      </c>
      <c r="L124" s="23">
        <f t="shared" ca="1" si="14"/>
        <v>70030</v>
      </c>
    </row>
    <row r="125" spans="3:12">
      <c r="C125" s="23">
        <f t="shared" si="12"/>
        <v>420</v>
      </c>
      <c r="D125" s="23">
        <f t="shared" si="13"/>
        <v>168</v>
      </c>
      <c r="E125" s="23">
        <f t="shared" si="15"/>
        <v>252</v>
      </c>
      <c r="F125" s="23">
        <f t="shared" si="16"/>
        <v>700</v>
      </c>
      <c r="G125" s="23">
        <f t="shared" ca="1" si="17"/>
        <v>240</v>
      </c>
      <c r="H125" s="23">
        <f t="shared" ca="1" si="18"/>
        <v>593</v>
      </c>
      <c r="I125" s="23">
        <f t="shared" ca="1" si="19"/>
        <v>408</v>
      </c>
      <c r="J125" s="23">
        <f t="shared" ca="1" si="20"/>
        <v>593</v>
      </c>
      <c r="K125" s="23">
        <f t="shared" ca="1" si="21"/>
        <v>1001</v>
      </c>
      <c r="L125" s="23">
        <f t="shared" ca="1" si="14"/>
        <v>62335</v>
      </c>
    </row>
    <row r="126" spans="3:12">
      <c r="C126" s="23">
        <f t="shared" si="12"/>
        <v>420</v>
      </c>
      <c r="D126" s="23">
        <f t="shared" si="13"/>
        <v>168</v>
      </c>
      <c r="E126" s="23">
        <f t="shared" si="15"/>
        <v>252</v>
      </c>
      <c r="F126" s="23">
        <f t="shared" si="16"/>
        <v>700</v>
      </c>
      <c r="G126" s="23">
        <f t="shared" ca="1" si="17"/>
        <v>217</v>
      </c>
      <c r="H126" s="23">
        <f t="shared" ca="1" si="18"/>
        <v>667</v>
      </c>
      <c r="I126" s="23">
        <f t="shared" ca="1" si="19"/>
        <v>385</v>
      </c>
      <c r="J126" s="23">
        <f t="shared" ca="1" si="20"/>
        <v>667</v>
      </c>
      <c r="K126" s="23">
        <f t="shared" ca="1" si="21"/>
        <v>1052</v>
      </c>
      <c r="L126" s="23">
        <f t="shared" ca="1" si="14"/>
        <v>69220</v>
      </c>
    </row>
    <row r="127" spans="3:12">
      <c r="C127" s="23">
        <f t="shared" si="12"/>
        <v>420</v>
      </c>
      <c r="D127" s="23">
        <f t="shared" si="13"/>
        <v>168</v>
      </c>
      <c r="E127" s="23">
        <f t="shared" si="15"/>
        <v>252</v>
      </c>
      <c r="F127" s="23">
        <f t="shared" si="16"/>
        <v>700</v>
      </c>
      <c r="G127" s="23">
        <f t="shared" ca="1" si="17"/>
        <v>211</v>
      </c>
      <c r="H127" s="23">
        <f t="shared" ca="1" si="18"/>
        <v>677</v>
      </c>
      <c r="I127" s="23">
        <f t="shared" ca="1" si="19"/>
        <v>379</v>
      </c>
      <c r="J127" s="23">
        <f t="shared" ca="1" si="20"/>
        <v>677</v>
      </c>
      <c r="K127" s="23">
        <f t="shared" ca="1" si="21"/>
        <v>1056</v>
      </c>
      <c r="L127" s="23">
        <f t="shared" ca="1" si="14"/>
        <v>69760</v>
      </c>
    </row>
    <row r="128" spans="3:12">
      <c r="C128" s="23">
        <f t="shared" si="12"/>
        <v>420</v>
      </c>
      <c r="D128" s="23">
        <f t="shared" si="13"/>
        <v>168</v>
      </c>
      <c r="E128" s="23">
        <f t="shared" si="15"/>
        <v>252</v>
      </c>
      <c r="F128" s="23">
        <f t="shared" si="16"/>
        <v>700</v>
      </c>
      <c r="G128" s="23">
        <f t="shared" ca="1" si="17"/>
        <v>260</v>
      </c>
      <c r="H128" s="23">
        <f t="shared" ca="1" si="18"/>
        <v>673</v>
      </c>
      <c r="I128" s="23">
        <f t="shared" ca="1" si="19"/>
        <v>420</v>
      </c>
      <c r="J128" s="23">
        <f t="shared" ca="1" si="20"/>
        <v>673</v>
      </c>
      <c r="K128" s="23">
        <f t="shared" ca="1" si="21"/>
        <v>1093</v>
      </c>
      <c r="L128" s="23">
        <f t="shared" ca="1" si="14"/>
        <v>74755</v>
      </c>
    </row>
    <row r="129" spans="3:12">
      <c r="C129" s="23">
        <f t="shared" si="12"/>
        <v>420</v>
      </c>
      <c r="D129" s="23">
        <f t="shared" si="13"/>
        <v>168</v>
      </c>
      <c r="E129" s="23">
        <f t="shared" si="15"/>
        <v>252</v>
      </c>
      <c r="F129" s="23">
        <f t="shared" si="16"/>
        <v>700</v>
      </c>
      <c r="G129" s="23">
        <f t="shared" ca="1" si="17"/>
        <v>184</v>
      </c>
      <c r="H129" s="23">
        <f t="shared" ca="1" si="18"/>
        <v>626</v>
      </c>
      <c r="I129" s="23">
        <f t="shared" ca="1" si="19"/>
        <v>352</v>
      </c>
      <c r="J129" s="23">
        <f t="shared" ca="1" si="20"/>
        <v>626</v>
      </c>
      <c r="K129" s="23">
        <f t="shared" ca="1" si="21"/>
        <v>978</v>
      </c>
      <c r="L129" s="23">
        <f t="shared" ca="1" si="14"/>
        <v>59230</v>
      </c>
    </row>
    <row r="130" spans="3:12">
      <c r="C130" s="23">
        <f t="shared" si="12"/>
        <v>420</v>
      </c>
      <c r="D130" s="23">
        <f t="shared" si="13"/>
        <v>168</v>
      </c>
      <c r="E130" s="23">
        <f t="shared" si="15"/>
        <v>252</v>
      </c>
      <c r="F130" s="23">
        <f t="shared" si="16"/>
        <v>700</v>
      </c>
      <c r="G130" s="23">
        <f t="shared" ca="1" si="17"/>
        <v>213</v>
      </c>
      <c r="H130" s="23">
        <f t="shared" ca="1" si="18"/>
        <v>594</v>
      </c>
      <c r="I130" s="23">
        <f t="shared" ca="1" si="19"/>
        <v>381</v>
      </c>
      <c r="J130" s="23">
        <f t="shared" ca="1" si="20"/>
        <v>594</v>
      </c>
      <c r="K130" s="23">
        <f t="shared" ca="1" si="21"/>
        <v>975</v>
      </c>
      <c r="L130" s="23">
        <f t="shared" ca="1" si="14"/>
        <v>58825</v>
      </c>
    </row>
    <row r="131" spans="3:12">
      <c r="C131" s="23">
        <f t="shared" si="12"/>
        <v>420</v>
      </c>
      <c r="D131" s="23">
        <f t="shared" si="13"/>
        <v>168</v>
      </c>
      <c r="E131" s="23">
        <f t="shared" si="15"/>
        <v>252</v>
      </c>
      <c r="F131" s="23">
        <f t="shared" si="16"/>
        <v>700</v>
      </c>
      <c r="G131" s="23">
        <f t="shared" ca="1" si="17"/>
        <v>222</v>
      </c>
      <c r="H131" s="23">
        <f t="shared" ca="1" si="18"/>
        <v>661</v>
      </c>
      <c r="I131" s="23">
        <f t="shared" ca="1" si="19"/>
        <v>390</v>
      </c>
      <c r="J131" s="23">
        <f t="shared" ca="1" si="20"/>
        <v>661</v>
      </c>
      <c r="K131" s="23">
        <f t="shared" ca="1" si="21"/>
        <v>1051</v>
      </c>
      <c r="L131" s="23">
        <f t="shared" ca="1" si="14"/>
        <v>69085</v>
      </c>
    </row>
    <row r="132" spans="3:12">
      <c r="C132" s="23">
        <f t="shared" si="12"/>
        <v>420</v>
      </c>
      <c r="D132" s="23">
        <f t="shared" si="13"/>
        <v>168</v>
      </c>
      <c r="E132" s="23">
        <f t="shared" si="15"/>
        <v>252</v>
      </c>
      <c r="F132" s="23">
        <f t="shared" si="16"/>
        <v>700</v>
      </c>
      <c r="G132" s="23">
        <f t="shared" ca="1" si="17"/>
        <v>164</v>
      </c>
      <c r="H132" s="23">
        <f t="shared" ca="1" si="18"/>
        <v>589</v>
      </c>
      <c r="I132" s="23">
        <f t="shared" ca="1" si="19"/>
        <v>332</v>
      </c>
      <c r="J132" s="23">
        <f t="shared" ca="1" si="20"/>
        <v>589</v>
      </c>
      <c r="K132" s="23">
        <f t="shared" ca="1" si="21"/>
        <v>921</v>
      </c>
      <c r="L132" s="23">
        <f t="shared" ca="1" si="14"/>
        <v>51535</v>
      </c>
    </row>
    <row r="133" spans="3:12">
      <c r="C133" s="23">
        <f t="shared" si="12"/>
        <v>420</v>
      </c>
      <c r="D133" s="23">
        <f t="shared" si="13"/>
        <v>168</v>
      </c>
      <c r="E133" s="23">
        <f t="shared" si="15"/>
        <v>252</v>
      </c>
      <c r="F133" s="23">
        <f t="shared" si="16"/>
        <v>700</v>
      </c>
      <c r="G133" s="23">
        <f t="shared" ca="1" si="17"/>
        <v>230</v>
      </c>
      <c r="H133" s="23">
        <f t="shared" ca="1" si="18"/>
        <v>724</v>
      </c>
      <c r="I133" s="23">
        <f t="shared" ca="1" si="19"/>
        <v>398</v>
      </c>
      <c r="J133" s="23">
        <f t="shared" ca="1" si="20"/>
        <v>722</v>
      </c>
      <c r="K133" s="23">
        <f t="shared" ca="1" si="21"/>
        <v>1120</v>
      </c>
      <c r="L133" s="23">
        <f t="shared" ca="1" si="14"/>
        <v>78400</v>
      </c>
    </row>
    <row r="134" spans="3:12">
      <c r="C134" s="23">
        <f t="shared" si="12"/>
        <v>420</v>
      </c>
      <c r="D134" s="23">
        <f t="shared" si="13"/>
        <v>168</v>
      </c>
      <c r="E134" s="23">
        <f t="shared" si="15"/>
        <v>252</v>
      </c>
      <c r="F134" s="23">
        <f t="shared" si="16"/>
        <v>700</v>
      </c>
      <c r="G134" s="23">
        <f t="shared" ca="1" si="17"/>
        <v>234</v>
      </c>
      <c r="H134" s="23">
        <f t="shared" ca="1" si="18"/>
        <v>566</v>
      </c>
      <c r="I134" s="23">
        <f t="shared" ca="1" si="19"/>
        <v>402</v>
      </c>
      <c r="J134" s="23">
        <f t="shared" ca="1" si="20"/>
        <v>566</v>
      </c>
      <c r="K134" s="23">
        <f t="shared" ca="1" si="21"/>
        <v>968</v>
      </c>
      <c r="L134" s="23">
        <f t="shared" ca="1" si="14"/>
        <v>57880</v>
      </c>
    </row>
    <row r="135" spans="3:12">
      <c r="C135" s="23">
        <f t="shared" si="12"/>
        <v>420</v>
      </c>
      <c r="D135" s="23">
        <f t="shared" si="13"/>
        <v>168</v>
      </c>
      <c r="E135" s="23">
        <f t="shared" si="15"/>
        <v>252</v>
      </c>
      <c r="F135" s="23">
        <f t="shared" si="16"/>
        <v>700</v>
      </c>
      <c r="G135" s="23">
        <f t="shared" ca="1" si="17"/>
        <v>238</v>
      </c>
      <c r="H135" s="23">
        <f t="shared" ca="1" si="18"/>
        <v>803</v>
      </c>
      <c r="I135" s="23">
        <f t="shared" ca="1" si="19"/>
        <v>406</v>
      </c>
      <c r="J135" s="23">
        <f t="shared" ca="1" si="20"/>
        <v>714</v>
      </c>
      <c r="K135" s="23">
        <f t="shared" ca="1" si="21"/>
        <v>1120</v>
      </c>
      <c r="L135" s="23">
        <f t="shared" ca="1" si="14"/>
        <v>78400</v>
      </c>
    </row>
    <row r="136" spans="3:12">
      <c r="C136" s="23">
        <f t="shared" si="12"/>
        <v>420</v>
      </c>
      <c r="D136" s="23">
        <f t="shared" si="13"/>
        <v>168</v>
      </c>
      <c r="E136" s="23">
        <f t="shared" si="15"/>
        <v>252</v>
      </c>
      <c r="F136" s="23">
        <f t="shared" si="16"/>
        <v>700</v>
      </c>
      <c r="G136" s="23">
        <f t="shared" ca="1" si="17"/>
        <v>204</v>
      </c>
      <c r="H136" s="23">
        <f t="shared" ca="1" si="18"/>
        <v>682</v>
      </c>
      <c r="I136" s="23">
        <f t="shared" ca="1" si="19"/>
        <v>372</v>
      </c>
      <c r="J136" s="23">
        <f t="shared" ca="1" si="20"/>
        <v>682</v>
      </c>
      <c r="K136" s="23">
        <f t="shared" ca="1" si="21"/>
        <v>1054</v>
      </c>
      <c r="L136" s="23">
        <f t="shared" ca="1" si="14"/>
        <v>69490</v>
      </c>
    </row>
    <row r="137" spans="3:12">
      <c r="C137" s="23">
        <f t="shared" si="12"/>
        <v>420</v>
      </c>
      <c r="D137" s="23">
        <f t="shared" si="13"/>
        <v>168</v>
      </c>
      <c r="E137" s="23">
        <f t="shared" si="15"/>
        <v>252</v>
      </c>
      <c r="F137" s="23">
        <f t="shared" si="16"/>
        <v>700</v>
      </c>
      <c r="G137" s="23">
        <f t="shared" ca="1" si="17"/>
        <v>196</v>
      </c>
      <c r="H137" s="23">
        <f t="shared" ca="1" si="18"/>
        <v>570</v>
      </c>
      <c r="I137" s="23">
        <f t="shared" ca="1" si="19"/>
        <v>364</v>
      </c>
      <c r="J137" s="23">
        <f t="shared" ca="1" si="20"/>
        <v>570</v>
      </c>
      <c r="K137" s="23">
        <f t="shared" ca="1" si="21"/>
        <v>934</v>
      </c>
      <c r="L137" s="23">
        <f t="shared" ca="1" si="14"/>
        <v>53290</v>
      </c>
    </row>
    <row r="138" spans="3:12">
      <c r="C138" s="23">
        <f t="shared" si="12"/>
        <v>420</v>
      </c>
      <c r="D138" s="23">
        <f t="shared" si="13"/>
        <v>168</v>
      </c>
      <c r="E138" s="23">
        <f t="shared" si="15"/>
        <v>252</v>
      </c>
      <c r="F138" s="23">
        <f t="shared" si="16"/>
        <v>700</v>
      </c>
      <c r="G138" s="23">
        <f t="shared" ca="1" si="17"/>
        <v>234</v>
      </c>
      <c r="H138" s="23">
        <f t="shared" ca="1" si="18"/>
        <v>622</v>
      </c>
      <c r="I138" s="23">
        <f t="shared" ca="1" si="19"/>
        <v>402</v>
      </c>
      <c r="J138" s="23">
        <f t="shared" ca="1" si="20"/>
        <v>622</v>
      </c>
      <c r="K138" s="23">
        <f t="shared" ca="1" si="21"/>
        <v>1024</v>
      </c>
      <c r="L138" s="23">
        <f t="shared" ca="1" si="14"/>
        <v>65440</v>
      </c>
    </row>
    <row r="139" spans="3:12">
      <c r="C139" s="23">
        <f t="shared" si="12"/>
        <v>420</v>
      </c>
      <c r="D139" s="23">
        <f t="shared" si="13"/>
        <v>168</v>
      </c>
      <c r="E139" s="23">
        <f t="shared" si="15"/>
        <v>252</v>
      </c>
      <c r="F139" s="23">
        <f t="shared" si="16"/>
        <v>700</v>
      </c>
      <c r="G139" s="23">
        <f t="shared" ca="1" si="17"/>
        <v>216</v>
      </c>
      <c r="H139" s="23">
        <f t="shared" ca="1" si="18"/>
        <v>541</v>
      </c>
      <c r="I139" s="23">
        <f t="shared" ca="1" si="19"/>
        <v>384</v>
      </c>
      <c r="J139" s="23">
        <f t="shared" ca="1" si="20"/>
        <v>541</v>
      </c>
      <c r="K139" s="23">
        <f t="shared" ca="1" si="21"/>
        <v>925</v>
      </c>
      <c r="L139" s="23">
        <f t="shared" ca="1" si="14"/>
        <v>52075</v>
      </c>
    </row>
    <row r="140" spans="3:12">
      <c r="C140" s="23">
        <f t="shared" ref="C140:C203" si="22">$B$4</f>
        <v>420</v>
      </c>
      <c r="D140" s="23">
        <f t="shared" ref="D140:D203" si="23">$B$5</f>
        <v>168</v>
      </c>
      <c r="E140" s="23">
        <f t="shared" si="15"/>
        <v>252</v>
      </c>
      <c r="F140" s="23">
        <f t="shared" si="16"/>
        <v>700</v>
      </c>
      <c r="G140" s="23">
        <f t="shared" ca="1" si="17"/>
        <v>177</v>
      </c>
      <c r="H140" s="23">
        <f t="shared" ca="1" si="18"/>
        <v>682</v>
      </c>
      <c r="I140" s="23">
        <f t="shared" ca="1" si="19"/>
        <v>345</v>
      </c>
      <c r="J140" s="23">
        <f t="shared" ca="1" si="20"/>
        <v>682</v>
      </c>
      <c r="K140" s="23">
        <f t="shared" ca="1" si="21"/>
        <v>1027</v>
      </c>
      <c r="L140" s="23">
        <f t="shared" ref="L140:L203" ca="1" si="24">K140*$B$2-(F140+C140)*$B$1</f>
        <v>65845</v>
      </c>
    </row>
    <row r="141" spans="3:12">
      <c r="C141" s="23">
        <f t="shared" si="22"/>
        <v>420</v>
      </c>
      <c r="D141" s="23">
        <f t="shared" si="23"/>
        <v>168</v>
      </c>
      <c r="E141" s="23">
        <f t="shared" ref="E141:E204" si="25">MAX(0,C141-D141)</f>
        <v>252</v>
      </c>
      <c r="F141" s="23">
        <f t="shared" ref="F141:F204" si="26">$E$8</f>
        <v>700</v>
      </c>
      <c r="G141" s="23">
        <f t="shared" ref="G141:G204" ca="1" si="27">_xlfn.FLOOR.MATH(MAX(0,_xlfn.NORM.INV(RAND(),$B$6*$B$8,$B$3*($B$8+0.0001))))</f>
        <v>217</v>
      </c>
      <c r="H141" s="23">
        <f t="shared" ref="H141:H204" ca="1" si="28">_xlfn.FLOOR.MATH(MAX(0,_xlfn.NORM.INV(RAND(),$B$6*(1-$B$8),$B$3*(1.00001-$B$8))))</f>
        <v>701</v>
      </c>
      <c r="I141" s="23">
        <f t="shared" ref="I141:I204" ca="1" si="29">MIN(C141,D141+G141)</f>
        <v>385</v>
      </c>
      <c r="J141" s="23">
        <f t="shared" ref="J141:J204" ca="1" si="30">MIN(C141-I141+F141,H141)</f>
        <v>701</v>
      </c>
      <c r="K141" s="23">
        <f t="shared" ref="K141:K204" ca="1" si="31">I141+J141</f>
        <v>1086</v>
      </c>
      <c r="L141" s="23">
        <f t="shared" ca="1" si="24"/>
        <v>73810</v>
      </c>
    </row>
    <row r="142" spans="3:12">
      <c r="C142" s="23">
        <f t="shared" si="22"/>
        <v>420</v>
      </c>
      <c r="D142" s="23">
        <f t="shared" si="23"/>
        <v>168</v>
      </c>
      <c r="E142" s="23">
        <f t="shared" si="25"/>
        <v>252</v>
      </c>
      <c r="F142" s="23">
        <f t="shared" si="26"/>
        <v>700</v>
      </c>
      <c r="G142" s="23">
        <f t="shared" ca="1" si="27"/>
        <v>190</v>
      </c>
      <c r="H142" s="23">
        <f t="shared" ca="1" si="28"/>
        <v>657</v>
      </c>
      <c r="I142" s="23">
        <f t="shared" ca="1" si="29"/>
        <v>358</v>
      </c>
      <c r="J142" s="23">
        <f t="shared" ca="1" si="30"/>
        <v>657</v>
      </c>
      <c r="K142" s="23">
        <f t="shared" ca="1" si="31"/>
        <v>1015</v>
      </c>
      <c r="L142" s="23">
        <f t="shared" ca="1" si="24"/>
        <v>64225</v>
      </c>
    </row>
    <row r="143" spans="3:12">
      <c r="C143" s="23">
        <f t="shared" si="22"/>
        <v>420</v>
      </c>
      <c r="D143" s="23">
        <f t="shared" si="23"/>
        <v>168</v>
      </c>
      <c r="E143" s="23">
        <f t="shared" si="25"/>
        <v>252</v>
      </c>
      <c r="F143" s="23">
        <f t="shared" si="26"/>
        <v>700</v>
      </c>
      <c r="G143" s="23">
        <f t="shared" ca="1" si="27"/>
        <v>216</v>
      </c>
      <c r="H143" s="23">
        <f t="shared" ca="1" si="28"/>
        <v>644</v>
      </c>
      <c r="I143" s="23">
        <f t="shared" ca="1" si="29"/>
        <v>384</v>
      </c>
      <c r="J143" s="23">
        <f t="shared" ca="1" si="30"/>
        <v>644</v>
      </c>
      <c r="K143" s="23">
        <f t="shared" ca="1" si="31"/>
        <v>1028</v>
      </c>
      <c r="L143" s="23">
        <f t="shared" ca="1" si="24"/>
        <v>65980</v>
      </c>
    </row>
    <row r="144" spans="3:12">
      <c r="C144" s="23">
        <f t="shared" si="22"/>
        <v>420</v>
      </c>
      <c r="D144" s="23">
        <f t="shared" si="23"/>
        <v>168</v>
      </c>
      <c r="E144" s="23">
        <f t="shared" si="25"/>
        <v>252</v>
      </c>
      <c r="F144" s="23">
        <f t="shared" si="26"/>
        <v>700</v>
      </c>
      <c r="G144" s="23">
        <f t="shared" ca="1" si="27"/>
        <v>208</v>
      </c>
      <c r="H144" s="23">
        <f t="shared" ca="1" si="28"/>
        <v>663</v>
      </c>
      <c r="I144" s="23">
        <f t="shared" ca="1" si="29"/>
        <v>376</v>
      </c>
      <c r="J144" s="23">
        <f t="shared" ca="1" si="30"/>
        <v>663</v>
      </c>
      <c r="K144" s="23">
        <f t="shared" ca="1" si="31"/>
        <v>1039</v>
      </c>
      <c r="L144" s="23">
        <f t="shared" ca="1" si="24"/>
        <v>67465</v>
      </c>
    </row>
    <row r="145" spans="3:12">
      <c r="C145" s="23">
        <f t="shared" si="22"/>
        <v>420</v>
      </c>
      <c r="D145" s="23">
        <f t="shared" si="23"/>
        <v>168</v>
      </c>
      <c r="E145" s="23">
        <f t="shared" si="25"/>
        <v>252</v>
      </c>
      <c r="F145" s="23">
        <f t="shared" si="26"/>
        <v>700</v>
      </c>
      <c r="G145" s="23">
        <f t="shared" ca="1" si="27"/>
        <v>193</v>
      </c>
      <c r="H145" s="23">
        <f t="shared" ca="1" si="28"/>
        <v>706</v>
      </c>
      <c r="I145" s="23">
        <f t="shared" ca="1" si="29"/>
        <v>361</v>
      </c>
      <c r="J145" s="23">
        <f t="shared" ca="1" si="30"/>
        <v>706</v>
      </c>
      <c r="K145" s="23">
        <f t="shared" ca="1" si="31"/>
        <v>1067</v>
      </c>
      <c r="L145" s="23">
        <f t="shared" ca="1" si="24"/>
        <v>71245</v>
      </c>
    </row>
    <row r="146" spans="3:12">
      <c r="C146" s="23">
        <f t="shared" si="22"/>
        <v>420</v>
      </c>
      <c r="D146" s="23">
        <f t="shared" si="23"/>
        <v>168</v>
      </c>
      <c r="E146" s="23">
        <f t="shared" si="25"/>
        <v>252</v>
      </c>
      <c r="F146" s="23">
        <f t="shared" si="26"/>
        <v>700</v>
      </c>
      <c r="G146" s="23">
        <f t="shared" ca="1" si="27"/>
        <v>215</v>
      </c>
      <c r="H146" s="23">
        <f t="shared" ca="1" si="28"/>
        <v>646</v>
      </c>
      <c r="I146" s="23">
        <f t="shared" ca="1" si="29"/>
        <v>383</v>
      </c>
      <c r="J146" s="23">
        <f t="shared" ca="1" si="30"/>
        <v>646</v>
      </c>
      <c r="K146" s="23">
        <f t="shared" ca="1" si="31"/>
        <v>1029</v>
      </c>
      <c r="L146" s="23">
        <f t="shared" ca="1" si="24"/>
        <v>66115</v>
      </c>
    </row>
    <row r="147" spans="3:12">
      <c r="C147" s="23">
        <f t="shared" si="22"/>
        <v>420</v>
      </c>
      <c r="D147" s="23">
        <f t="shared" si="23"/>
        <v>168</v>
      </c>
      <c r="E147" s="23">
        <f t="shared" si="25"/>
        <v>252</v>
      </c>
      <c r="F147" s="23">
        <f t="shared" si="26"/>
        <v>700</v>
      </c>
      <c r="G147" s="23">
        <f t="shared" ca="1" si="27"/>
        <v>201</v>
      </c>
      <c r="H147" s="23">
        <f t="shared" ca="1" si="28"/>
        <v>709</v>
      </c>
      <c r="I147" s="23">
        <f t="shared" ca="1" si="29"/>
        <v>369</v>
      </c>
      <c r="J147" s="23">
        <f t="shared" ca="1" si="30"/>
        <v>709</v>
      </c>
      <c r="K147" s="23">
        <f t="shared" ca="1" si="31"/>
        <v>1078</v>
      </c>
      <c r="L147" s="23">
        <f t="shared" ca="1" si="24"/>
        <v>72730</v>
      </c>
    </row>
    <row r="148" spans="3:12">
      <c r="C148" s="23">
        <f t="shared" si="22"/>
        <v>420</v>
      </c>
      <c r="D148" s="23">
        <f t="shared" si="23"/>
        <v>168</v>
      </c>
      <c r="E148" s="23">
        <f t="shared" si="25"/>
        <v>252</v>
      </c>
      <c r="F148" s="23">
        <f t="shared" si="26"/>
        <v>700</v>
      </c>
      <c r="G148" s="23">
        <f t="shared" ca="1" si="27"/>
        <v>194</v>
      </c>
      <c r="H148" s="23">
        <f t="shared" ca="1" si="28"/>
        <v>587</v>
      </c>
      <c r="I148" s="23">
        <f t="shared" ca="1" si="29"/>
        <v>362</v>
      </c>
      <c r="J148" s="23">
        <f t="shared" ca="1" si="30"/>
        <v>587</v>
      </c>
      <c r="K148" s="23">
        <f t="shared" ca="1" si="31"/>
        <v>949</v>
      </c>
      <c r="L148" s="23">
        <f t="shared" ca="1" si="24"/>
        <v>55315</v>
      </c>
    </row>
    <row r="149" spans="3:12">
      <c r="C149" s="23">
        <f t="shared" si="22"/>
        <v>420</v>
      </c>
      <c r="D149" s="23">
        <f t="shared" si="23"/>
        <v>168</v>
      </c>
      <c r="E149" s="23">
        <f t="shared" si="25"/>
        <v>252</v>
      </c>
      <c r="F149" s="23">
        <f t="shared" si="26"/>
        <v>700</v>
      </c>
      <c r="G149" s="23">
        <f t="shared" ca="1" si="27"/>
        <v>219</v>
      </c>
      <c r="H149" s="23">
        <f t="shared" ca="1" si="28"/>
        <v>644</v>
      </c>
      <c r="I149" s="23">
        <f t="shared" ca="1" si="29"/>
        <v>387</v>
      </c>
      <c r="J149" s="23">
        <f t="shared" ca="1" si="30"/>
        <v>644</v>
      </c>
      <c r="K149" s="23">
        <f t="shared" ca="1" si="31"/>
        <v>1031</v>
      </c>
      <c r="L149" s="23">
        <f t="shared" ca="1" si="24"/>
        <v>66385</v>
      </c>
    </row>
    <row r="150" spans="3:12">
      <c r="C150" s="23">
        <f t="shared" si="22"/>
        <v>420</v>
      </c>
      <c r="D150" s="23">
        <f t="shared" si="23"/>
        <v>168</v>
      </c>
      <c r="E150" s="23">
        <f t="shared" si="25"/>
        <v>252</v>
      </c>
      <c r="F150" s="23">
        <f t="shared" si="26"/>
        <v>700</v>
      </c>
      <c r="G150" s="23">
        <f t="shared" ca="1" si="27"/>
        <v>199</v>
      </c>
      <c r="H150" s="23">
        <f t="shared" ca="1" si="28"/>
        <v>623</v>
      </c>
      <c r="I150" s="23">
        <f t="shared" ca="1" si="29"/>
        <v>367</v>
      </c>
      <c r="J150" s="23">
        <f t="shared" ca="1" si="30"/>
        <v>623</v>
      </c>
      <c r="K150" s="23">
        <f t="shared" ca="1" si="31"/>
        <v>990</v>
      </c>
      <c r="L150" s="23">
        <f t="shared" ca="1" si="24"/>
        <v>60850</v>
      </c>
    </row>
    <row r="151" spans="3:12">
      <c r="C151" s="23">
        <f t="shared" si="22"/>
        <v>420</v>
      </c>
      <c r="D151" s="23">
        <f t="shared" si="23"/>
        <v>168</v>
      </c>
      <c r="E151" s="23">
        <f t="shared" si="25"/>
        <v>252</v>
      </c>
      <c r="F151" s="23">
        <f t="shared" si="26"/>
        <v>700</v>
      </c>
      <c r="G151" s="23">
        <f t="shared" ca="1" si="27"/>
        <v>236</v>
      </c>
      <c r="H151" s="23">
        <f t="shared" ca="1" si="28"/>
        <v>536</v>
      </c>
      <c r="I151" s="23">
        <f t="shared" ca="1" si="29"/>
        <v>404</v>
      </c>
      <c r="J151" s="23">
        <f t="shared" ca="1" si="30"/>
        <v>536</v>
      </c>
      <c r="K151" s="23">
        <f t="shared" ca="1" si="31"/>
        <v>940</v>
      </c>
      <c r="L151" s="23">
        <f t="shared" ca="1" si="24"/>
        <v>54100</v>
      </c>
    </row>
    <row r="152" spans="3:12">
      <c r="C152" s="23">
        <f t="shared" si="22"/>
        <v>420</v>
      </c>
      <c r="D152" s="23">
        <f t="shared" si="23"/>
        <v>168</v>
      </c>
      <c r="E152" s="23">
        <f t="shared" si="25"/>
        <v>252</v>
      </c>
      <c r="F152" s="23">
        <f t="shared" si="26"/>
        <v>700</v>
      </c>
      <c r="G152" s="23">
        <f t="shared" ca="1" si="27"/>
        <v>198</v>
      </c>
      <c r="H152" s="23">
        <f t="shared" ca="1" si="28"/>
        <v>612</v>
      </c>
      <c r="I152" s="23">
        <f t="shared" ca="1" si="29"/>
        <v>366</v>
      </c>
      <c r="J152" s="23">
        <f t="shared" ca="1" si="30"/>
        <v>612</v>
      </c>
      <c r="K152" s="23">
        <f t="shared" ca="1" si="31"/>
        <v>978</v>
      </c>
      <c r="L152" s="23">
        <f t="shared" ca="1" si="24"/>
        <v>59230</v>
      </c>
    </row>
    <row r="153" spans="3:12">
      <c r="C153" s="23">
        <f t="shared" si="22"/>
        <v>420</v>
      </c>
      <c r="D153" s="23">
        <f t="shared" si="23"/>
        <v>168</v>
      </c>
      <c r="E153" s="23">
        <f t="shared" si="25"/>
        <v>252</v>
      </c>
      <c r="F153" s="23">
        <f t="shared" si="26"/>
        <v>700</v>
      </c>
      <c r="G153" s="23">
        <f t="shared" ca="1" si="27"/>
        <v>231</v>
      </c>
      <c r="H153" s="23">
        <f t="shared" ca="1" si="28"/>
        <v>731</v>
      </c>
      <c r="I153" s="23">
        <f t="shared" ca="1" si="29"/>
        <v>399</v>
      </c>
      <c r="J153" s="23">
        <f t="shared" ca="1" si="30"/>
        <v>721</v>
      </c>
      <c r="K153" s="23">
        <f t="shared" ca="1" si="31"/>
        <v>1120</v>
      </c>
      <c r="L153" s="23">
        <f t="shared" ca="1" si="24"/>
        <v>78400</v>
      </c>
    </row>
    <row r="154" spans="3:12">
      <c r="C154" s="23">
        <f t="shared" si="22"/>
        <v>420</v>
      </c>
      <c r="D154" s="23">
        <f t="shared" si="23"/>
        <v>168</v>
      </c>
      <c r="E154" s="23">
        <f t="shared" si="25"/>
        <v>252</v>
      </c>
      <c r="F154" s="23">
        <f t="shared" si="26"/>
        <v>700</v>
      </c>
      <c r="G154" s="23">
        <f t="shared" ca="1" si="27"/>
        <v>238</v>
      </c>
      <c r="H154" s="23">
        <f t="shared" ca="1" si="28"/>
        <v>591</v>
      </c>
      <c r="I154" s="23">
        <f t="shared" ca="1" si="29"/>
        <v>406</v>
      </c>
      <c r="J154" s="23">
        <f t="shared" ca="1" si="30"/>
        <v>591</v>
      </c>
      <c r="K154" s="23">
        <f t="shared" ca="1" si="31"/>
        <v>997</v>
      </c>
      <c r="L154" s="23">
        <f t="shared" ca="1" si="24"/>
        <v>61795</v>
      </c>
    </row>
    <row r="155" spans="3:12">
      <c r="C155" s="23">
        <f t="shared" si="22"/>
        <v>420</v>
      </c>
      <c r="D155" s="23">
        <f t="shared" si="23"/>
        <v>168</v>
      </c>
      <c r="E155" s="23">
        <f t="shared" si="25"/>
        <v>252</v>
      </c>
      <c r="F155" s="23">
        <f t="shared" si="26"/>
        <v>700</v>
      </c>
      <c r="G155" s="23">
        <f t="shared" ca="1" si="27"/>
        <v>225</v>
      </c>
      <c r="H155" s="23">
        <f t="shared" ca="1" si="28"/>
        <v>631</v>
      </c>
      <c r="I155" s="23">
        <f t="shared" ca="1" si="29"/>
        <v>393</v>
      </c>
      <c r="J155" s="23">
        <f t="shared" ca="1" si="30"/>
        <v>631</v>
      </c>
      <c r="K155" s="23">
        <f t="shared" ca="1" si="31"/>
        <v>1024</v>
      </c>
      <c r="L155" s="23">
        <f t="shared" ca="1" si="24"/>
        <v>65440</v>
      </c>
    </row>
    <row r="156" spans="3:12">
      <c r="C156" s="23">
        <f t="shared" si="22"/>
        <v>420</v>
      </c>
      <c r="D156" s="23">
        <f t="shared" si="23"/>
        <v>168</v>
      </c>
      <c r="E156" s="23">
        <f t="shared" si="25"/>
        <v>252</v>
      </c>
      <c r="F156" s="23">
        <f t="shared" si="26"/>
        <v>700</v>
      </c>
      <c r="G156" s="23">
        <f t="shared" ca="1" si="27"/>
        <v>234</v>
      </c>
      <c r="H156" s="23">
        <f t="shared" ca="1" si="28"/>
        <v>664</v>
      </c>
      <c r="I156" s="23">
        <f t="shared" ca="1" si="29"/>
        <v>402</v>
      </c>
      <c r="J156" s="23">
        <f t="shared" ca="1" si="30"/>
        <v>664</v>
      </c>
      <c r="K156" s="23">
        <f t="shared" ca="1" si="31"/>
        <v>1066</v>
      </c>
      <c r="L156" s="23">
        <f t="shared" ca="1" si="24"/>
        <v>71110</v>
      </c>
    </row>
    <row r="157" spans="3:12">
      <c r="C157" s="23">
        <f t="shared" si="22"/>
        <v>420</v>
      </c>
      <c r="D157" s="23">
        <f t="shared" si="23"/>
        <v>168</v>
      </c>
      <c r="E157" s="23">
        <f t="shared" si="25"/>
        <v>252</v>
      </c>
      <c r="F157" s="23">
        <f t="shared" si="26"/>
        <v>700</v>
      </c>
      <c r="G157" s="23">
        <f t="shared" ca="1" si="27"/>
        <v>216</v>
      </c>
      <c r="H157" s="23">
        <f t="shared" ca="1" si="28"/>
        <v>596</v>
      </c>
      <c r="I157" s="23">
        <f t="shared" ca="1" si="29"/>
        <v>384</v>
      </c>
      <c r="J157" s="23">
        <f t="shared" ca="1" si="30"/>
        <v>596</v>
      </c>
      <c r="K157" s="23">
        <f t="shared" ca="1" si="31"/>
        <v>980</v>
      </c>
      <c r="L157" s="23">
        <f t="shared" ca="1" si="24"/>
        <v>59500</v>
      </c>
    </row>
    <row r="158" spans="3:12">
      <c r="C158" s="23">
        <f t="shared" si="22"/>
        <v>420</v>
      </c>
      <c r="D158" s="23">
        <f t="shared" si="23"/>
        <v>168</v>
      </c>
      <c r="E158" s="23">
        <f t="shared" si="25"/>
        <v>252</v>
      </c>
      <c r="F158" s="23">
        <f t="shared" si="26"/>
        <v>700</v>
      </c>
      <c r="G158" s="23">
        <f t="shared" ca="1" si="27"/>
        <v>223</v>
      </c>
      <c r="H158" s="23">
        <f t="shared" ca="1" si="28"/>
        <v>634</v>
      </c>
      <c r="I158" s="23">
        <f t="shared" ca="1" si="29"/>
        <v>391</v>
      </c>
      <c r="J158" s="23">
        <f t="shared" ca="1" si="30"/>
        <v>634</v>
      </c>
      <c r="K158" s="23">
        <f t="shared" ca="1" si="31"/>
        <v>1025</v>
      </c>
      <c r="L158" s="23">
        <f t="shared" ca="1" si="24"/>
        <v>65575</v>
      </c>
    </row>
    <row r="159" spans="3:12">
      <c r="C159" s="23">
        <f t="shared" si="22"/>
        <v>420</v>
      </c>
      <c r="D159" s="23">
        <f t="shared" si="23"/>
        <v>168</v>
      </c>
      <c r="E159" s="23">
        <f t="shared" si="25"/>
        <v>252</v>
      </c>
      <c r="F159" s="23">
        <f t="shared" si="26"/>
        <v>700</v>
      </c>
      <c r="G159" s="23">
        <f t="shared" ca="1" si="27"/>
        <v>198</v>
      </c>
      <c r="H159" s="23">
        <f t="shared" ca="1" si="28"/>
        <v>566</v>
      </c>
      <c r="I159" s="23">
        <f t="shared" ca="1" si="29"/>
        <v>366</v>
      </c>
      <c r="J159" s="23">
        <f t="shared" ca="1" si="30"/>
        <v>566</v>
      </c>
      <c r="K159" s="23">
        <f t="shared" ca="1" si="31"/>
        <v>932</v>
      </c>
      <c r="L159" s="23">
        <f t="shared" ca="1" si="24"/>
        <v>53020</v>
      </c>
    </row>
    <row r="160" spans="3:12">
      <c r="C160" s="23">
        <f t="shared" si="22"/>
        <v>420</v>
      </c>
      <c r="D160" s="23">
        <f t="shared" si="23"/>
        <v>168</v>
      </c>
      <c r="E160" s="23">
        <f t="shared" si="25"/>
        <v>252</v>
      </c>
      <c r="F160" s="23">
        <f t="shared" si="26"/>
        <v>700</v>
      </c>
      <c r="G160" s="23">
        <f t="shared" ca="1" si="27"/>
        <v>258</v>
      </c>
      <c r="H160" s="23">
        <f t="shared" ca="1" si="28"/>
        <v>559</v>
      </c>
      <c r="I160" s="23">
        <f t="shared" ca="1" si="29"/>
        <v>420</v>
      </c>
      <c r="J160" s="23">
        <f t="shared" ca="1" si="30"/>
        <v>559</v>
      </c>
      <c r="K160" s="23">
        <f t="shared" ca="1" si="31"/>
        <v>979</v>
      </c>
      <c r="L160" s="23">
        <f t="shared" ca="1" si="24"/>
        <v>59365</v>
      </c>
    </row>
    <row r="161" spans="3:12">
      <c r="C161" s="23">
        <f t="shared" si="22"/>
        <v>420</v>
      </c>
      <c r="D161" s="23">
        <f t="shared" si="23"/>
        <v>168</v>
      </c>
      <c r="E161" s="23">
        <f t="shared" si="25"/>
        <v>252</v>
      </c>
      <c r="F161" s="23">
        <f t="shared" si="26"/>
        <v>700</v>
      </c>
      <c r="G161" s="23">
        <f t="shared" ca="1" si="27"/>
        <v>208</v>
      </c>
      <c r="H161" s="23">
        <f t="shared" ca="1" si="28"/>
        <v>749</v>
      </c>
      <c r="I161" s="23">
        <f t="shared" ca="1" si="29"/>
        <v>376</v>
      </c>
      <c r="J161" s="23">
        <f t="shared" ca="1" si="30"/>
        <v>744</v>
      </c>
      <c r="K161" s="23">
        <f t="shared" ca="1" si="31"/>
        <v>1120</v>
      </c>
      <c r="L161" s="23">
        <f t="shared" ca="1" si="24"/>
        <v>78400</v>
      </c>
    </row>
    <row r="162" spans="3:12">
      <c r="C162" s="23">
        <f t="shared" si="22"/>
        <v>420</v>
      </c>
      <c r="D162" s="23">
        <f t="shared" si="23"/>
        <v>168</v>
      </c>
      <c r="E162" s="23">
        <f t="shared" si="25"/>
        <v>252</v>
      </c>
      <c r="F162" s="23">
        <f t="shared" si="26"/>
        <v>700</v>
      </c>
      <c r="G162" s="23">
        <f t="shared" ca="1" si="27"/>
        <v>161</v>
      </c>
      <c r="H162" s="23">
        <f t="shared" ca="1" si="28"/>
        <v>668</v>
      </c>
      <c r="I162" s="23">
        <f t="shared" ca="1" si="29"/>
        <v>329</v>
      </c>
      <c r="J162" s="23">
        <f t="shared" ca="1" si="30"/>
        <v>668</v>
      </c>
      <c r="K162" s="23">
        <f t="shared" ca="1" si="31"/>
        <v>997</v>
      </c>
      <c r="L162" s="23">
        <f t="shared" ca="1" si="24"/>
        <v>61795</v>
      </c>
    </row>
    <row r="163" spans="3:12">
      <c r="C163" s="23">
        <f t="shared" si="22"/>
        <v>420</v>
      </c>
      <c r="D163" s="23">
        <f t="shared" si="23"/>
        <v>168</v>
      </c>
      <c r="E163" s="23">
        <f t="shared" si="25"/>
        <v>252</v>
      </c>
      <c r="F163" s="23">
        <f t="shared" si="26"/>
        <v>700</v>
      </c>
      <c r="G163" s="23">
        <f t="shared" ca="1" si="27"/>
        <v>232</v>
      </c>
      <c r="H163" s="23">
        <f t="shared" ca="1" si="28"/>
        <v>773</v>
      </c>
      <c r="I163" s="23">
        <f t="shared" ca="1" si="29"/>
        <v>400</v>
      </c>
      <c r="J163" s="23">
        <f t="shared" ca="1" si="30"/>
        <v>720</v>
      </c>
      <c r="K163" s="23">
        <f t="shared" ca="1" si="31"/>
        <v>1120</v>
      </c>
      <c r="L163" s="23">
        <f t="shared" ca="1" si="24"/>
        <v>78400</v>
      </c>
    </row>
    <row r="164" spans="3:12">
      <c r="C164" s="23">
        <f t="shared" si="22"/>
        <v>420</v>
      </c>
      <c r="D164" s="23">
        <f t="shared" si="23"/>
        <v>168</v>
      </c>
      <c r="E164" s="23">
        <f t="shared" si="25"/>
        <v>252</v>
      </c>
      <c r="F164" s="23">
        <f t="shared" si="26"/>
        <v>700</v>
      </c>
      <c r="G164" s="23">
        <f t="shared" ca="1" si="27"/>
        <v>224</v>
      </c>
      <c r="H164" s="23">
        <f t="shared" ca="1" si="28"/>
        <v>754</v>
      </c>
      <c r="I164" s="23">
        <f t="shared" ca="1" si="29"/>
        <v>392</v>
      </c>
      <c r="J164" s="23">
        <f t="shared" ca="1" si="30"/>
        <v>728</v>
      </c>
      <c r="K164" s="23">
        <f t="shared" ca="1" si="31"/>
        <v>1120</v>
      </c>
      <c r="L164" s="23">
        <f t="shared" ca="1" si="24"/>
        <v>78400</v>
      </c>
    </row>
    <row r="165" spans="3:12">
      <c r="C165" s="23">
        <f t="shared" si="22"/>
        <v>420</v>
      </c>
      <c r="D165" s="23">
        <f t="shared" si="23"/>
        <v>168</v>
      </c>
      <c r="E165" s="23">
        <f t="shared" si="25"/>
        <v>252</v>
      </c>
      <c r="F165" s="23">
        <f t="shared" si="26"/>
        <v>700</v>
      </c>
      <c r="G165" s="23">
        <f t="shared" ca="1" si="27"/>
        <v>198</v>
      </c>
      <c r="H165" s="23">
        <f t="shared" ca="1" si="28"/>
        <v>535</v>
      </c>
      <c r="I165" s="23">
        <f t="shared" ca="1" si="29"/>
        <v>366</v>
      </c>
      <c r="J165" s="23">
        <f t="shared" ca="1" si="30"/>
        <v>535</v>
      </c>
      <c r="K165" s="23">
        <f t="shared" ca="1" si="31"/>
        <v>901</v>
      </c>
      <c r="L165" s="23">
        <f t="shared" ca="1" si="24"/>
        <v>48835</v>
      </c>
    </row>
    <row r="166" spans="3:12">
      <c r="C166" s="23">
        <f t="shared" si="22"/>
        <v>420</v>
      </c>
      <c r="D166" s="23">
        <f t="shared" si="23"/>
        <v>168</v>
      </c>
      <c r="E166" s="23">
        <f t="shared" si="25"/>
        <v>252</v>
      </c>
      <c r="F166" s="23">
        <f t="shared" si="26"/>
        <v>700</v>
      </c>
      <c r="G166" s="23">
        <f t="shared" ca="1" si="27"/>
        <v>192</v>
      </c>
      <c r="H166" s="23">
        <f t="shared" ca="1" si="28"/>
        <v>682</v>
      </c>
      <c r="I166" s="23">
        <f t="shared" ca="1" si="29"/>
        <v>360</v>
      </c>
      <c r="J166" s="23">
        <f t="shared" ca="1" si="30"/>
        <v>682</v>
      </c>
      <c r="K166" s="23">
        <f t="shared" ca="1" si="31"/>
        <v>1042</v>
      </c>
      <c r="L166" s="23">
        <f t="shared" ca="1" si="24"/>
        <v>67870</v>
      </c>
    </row>
    <row r="167" spans="3:12">
      <c r="C167" s="23">
        <f t="shared" si="22"/>
        <v>420</v>
      </c>
      <c r="D167" s="23">
        <f t="shared" si="23"/>
        <v>168</v>
      </c>
      <c r="E167" s="23">
        <f t="shared" si="25"/>
        <v>252</v>
      </c>
      <c r="F167" s="23">
        <f t="shared" si="26"/>
        <v>700</v>
      </c>
      <c r="G167" s="23">
        <f t="shared" ca="1" si="27"/>
        <v>192</v>
      </c>
      <c r="H167" s="23">
        <f t="shared" ca="1" si="28"/>
        <v>572</v>
      </c>
      <c r="I167" s="23">
        <f t="shared" ca="1" si="29"/>
        <v>360</v>
      </c>
      <c r="J167" s="23">
        <f t="shared" ca="1" si="30"/>
        <v>572</v>
      </c>
      <c r="K167" s="23">
        <f t="shared" ca="1" si="31"/>
        <v>932</v>
      </c>
      <c r="L167" s="23">
        <f t="shared" ca="1" si="24"/>
        <v>53020</v>
      </c>
    </row>
    <row r="168" spans="3:12">
      <c r="C168" s="23">
        <f t="shared" si="22"/>
        <v>420</v>
      </c>
      <c r="D168" s="23">
        <f t="shared" si="23"/>
        <v>168</v>
      </c>
      <c r="E168" s="23">
        <f t="shared" si="25"/>
        <v>252</v>
      </c>
      <c r="F168" s="23">
        <f t="shared" si="26"/>
        <v>700</v>
      </c>
      <c r="G168" s="23">
        <f t="shared" ca="1" si="27"/>
        <v>260</v>
      </c>
      <c r="H168" s="23">
        <f t="shared" ca="1" si="28"/>
        <v>649</v>
      </c>
      <c r="I168" s="23">
        <f t="shared" ca="1" si="29"/>
        <v>420</v>
      </c>
      <c r="J168" s="23">
        <f t="shared" ca="1" si="30"/>
        <v>649</v>
      </c>
      <c r="K168" s="23">
        <f t="shared" ca="1" si="31"/>
        <v>1069</v>
      </c>
      <c r="L168" s="23">
        <f t="shared" ca="1" si="24"/>
        <v>71515</v>
      </c>
    </row>
    <row r="169" spans="3:12">
      <c r="C169" s="23">
        <f t="shared" si="22"/>
        <v>420</v>
      </c>
      <c r="D169" s="23">
        <f t="shared" si="23"/>
        <v>168</v>
      </c>
      <c r="E169" s="23">
        <f t="shared" si="25"/>
        <v>252</v>
      </c>
      <c r="F169" s="23">
        <f t="shared" si="26"/>
        <v>700</v>
      </c>
      <c r="G169" s="23">
        <f t="shared" ca="1" si="27"/>
        <v>220</v>
      </c>
      <c r="H169" s="23">
        <f t="shared" ca="1" si="28"/>
        <v>676</v>
      </c>
      <c r="I169" s="23">
        <f t="shared" ca="1" si="29"/>
        <v>388</v>
      </c>
      <c r="J169" s="23">
        <f t="shared" ca="1" si="30"/>
        <v>676</v>
      </c>
      <c r="K169" s="23">
        <f t="shared" ca="1" si="31"/>
        <v>1064</v>
      </c>
      <c r="L169" s="23">
        <f t="shared" ca="1" si="24"/>
        <v>70840</v>
      </c>
    </row>
    <row r="170" spans="3:12">
      <c r="C170" s="23">
        <f t="shared" si="22"/>
        <v>420</v>
      </c>
      <c r="D170" s="23">
        <f t="shared" si="23"/>
        <v>168</v>
      </c>
      <c r="E170" s="23">
        <f t="shared" si="25"/>
        <v>252</v>
      </c>
      <c r="F170" s="23">
        <f t="shared" si="26"/>
        <v>700</v>
      </c>
      <c r="G170" s="23">
        <f t="shared" ca="1" si="27"/>
        <v>226</v>
      </c>
      <c r="H170" s="23">
        <f t="shared" ca="1" si="28"/>
        <v>546</v>
      </c>
      <c r="I170" s="23">
        <f t="shared" ca="1" si="29"/>
        <v>394</v>
      </c>
      <c r="J170" s="23">
        <f t="shared" ca="1" si="30"/>
        <v>546</v>
      </c>
      <c r="K170" s="23">
        <f t="shared" ca="1" si="31"/>
        <v>940</v>
      </c>
      <c r="L170" s="23">
        <f t="shared" ca="1" si="24"/>
        <v>54100</v>
      </c>
    </row>
    <row r="171" spans="3:12">
      <c r="C171" s="23">
        <f t="shared" si="22"/>
        <v>420</v>
      </c>
      <c r="D171" s="23">
        <f t="shared" si="23"/>
        <v>168</v>
      </c>
      <c r="E171" s="23">
        <f t="shared" si="25"/>
        <v>252</v>
      </c>
      <c r="F171" s="23">
        <f t="shared" si="26"/>
        <v>700</v>
      </c>
      <c r="G171" s="23">
        <f t="shared" ca="1" si="27"/>
        <v>208</v>
      </c>
      <c r="H171" s="23">
        <f t="shared" ca="1" si="28"/>
        <v>664</v>
      </c>
      <c r="I171" s="23">
        <f t="shared" ca="1" si="29"/>
        <v>376</v>
      </c>
      <c r="J171" s="23">
        <f t="shared" ca="1" si="30"/>
        <v>664</v>
      </c>
      <c r="K171" s="23">
        <f t="shared" ca="1" si="31"/>
        <v>1040</v>
      </c>
      <c r="L171" s="23">
        <f t="shared" ca="1" si="24"/>
        <v>67600</v>
      </c>
    </row>
    <row r="172" spans="3:12">
      <c r="C172" s="23">
        <f t="shared" si="22"/>
        <v>420</v>
      </c>
      <c r="D172" s="23">
        <f t="shared" si="23"/>
        <v>168</v>
      </c>
      <c r="E172" s="23">
        <f t="shared" si="25"/>
        <v>252</v>
      </c>
      <c r="F172" s="23">
        <f t="shared" si="26"/>
        <v>700</v>
      </c>
      <c r="G172" s="23">
        <f t="shared" ca="1" si="27"/>
        <v>217</v>
      </c>
      <c r="H172" s="23">
        <f t="shared" ca="1" si="28"/>
        <v>654</v>
      </c>
      <c r="I172" s="23">
        <f t="shared" ca="1" si="29"/>
        <v>385</v>
      </c>
      <c r="J172" s="23">
        <f t="shared" ca="1" si="30"/>
        <v>654</v>
      </c>
      <c r="K172" s="23">
        <f t="shared" ca="1" si="31"/>
        <v>1039</v>
      </c>
      <c r="L172" s="23">
        <f t="shared" ca="1" si="24"/>
        <v>67465</v>
      </c>
    </row>
    <row r="173" spans="3:12">
      <c r="C173" s="23">
        <f t="shared" si="22"/>
        <v>420</v>
      </c>
      <c r="D173" s="23">
        <f t="shared" si="23"/>
        <v>168</v>
      </c>
      <c r="E173" s="23">
        <f t="shared" si="25"/>
        <v>252</v>
      </c>
      <c r="F173" s="23">
        <f t="shared" si="26"/>
        <v>700</v>
      </c>
      <c r="G173" s="23">
        <f t="shared" ca="1" si="27"/>
        <v>245</v>
      </c>
      <c r="H173" s="23">
        <f t="shared" ca="1" si="28"/>
        <v>563</v>
      </c>
      <c r="I173" s="23">
        <f t="shared" ca="1" si="29"/>
        <v>413</v>
      </c>
      <c r="J173" s="23">
        <f t="shared" ca="1" si="30"/>
        <v>563</v>
      </c>
      <c r="K173" s="23">
        <f t="shared" ca="1" si="31"/>
        <v>976</v>
      </c>
      <c r="L173" s="23">
        <f t="shared" ca="1" si="24"/>
        <v>58960</v>
      </c>
    </row>
    <row r="174" spans="3:12">
      <c r="C174" s="23">
        <f t="shared" si="22"/>
        <v>420</v>
      </c>
      <c r="D174" s="23">
        <f t="shared" si="23"/>
        <v>168</v>
      </c>
      <c r="E174" s="23">
        <f t="shared" si="25"/>
        <v>252</v>
      </c>
      <c r="F174" s="23">
        <f t="shared" si="26"/>
        <v>700</v>
      </c>
      <c r="G174" s="23">
        <f t="shared" ca="1" si="27"/>
        <v>190</v>
      </c>
      <c r="H174" s="23">
        <f t="shared" ca="1" si="28"/>
        <v>681</v>
      </c>
      <c r="I174" s="23">
        <f t="shared" ca="1" si="29"/>
        <v>358</v>
      </c>
      <c r="J174" s="23">
        <f t="shared" ca="1" si="30"/>
        <v>681</v>
      </c>
      <c r="K174" s="23">
        <f t="shared" ca="1" si="31"/>
        <v>1039</v>
      </c>
      <c r="L174" s="23">
        <f t="shared" ca="1" si="24"/>
        <v>67465</v>
      </c>
    </row>
    <row r="175" spans="3:12">
      <c r="C175" s="23">
        <f t="shared" si="22"/>
        <v>420</v>
      </c>
      <c r="D175" s="23">
        <f t="shared" si="23"/>
        <v>168</v>
      </c>
      <c r="E175" s="23">
        <f t="shared" si="25"/>
        <v>252</v>
      </c>
      <c r="F175" s="23">
        <f t="shared" si="26"/>
        <v>700</v>
      </c>
      <c r="G175" s="23">
        <f t="shared" ca="1" si="27"/>
        <v>240</v>
      </c>
      <c r="H175" s="23">
        <f t="shared" ca="1" si="28"/>
        <v>608</v>
      </c>
      <c r="I175" s="23">
        <f t="shared" ca="1" si="29"/>
        <v>408</v>
      </c>
      <c r="J175" s="23">
        <f t="shared" ca="1" si="30"/>
        <v>608</v>
      </c>
      <c r="K175" s="23">
        <f t="shared" ca="1" si="31"/>
        <v>1016</v>
      </c>
      <c r="L175" s="23">
        <f t="shared" ca="1" si="24"/>
        <v>64360</v>
      </c>
    </row>
    <row r="176" spans="3:12">
      <c r="C176" s="23">
        <f t="shared" si="22"/>
        <v>420</v>
      </c>
      <c r="D176" s="23">
        <f t="shared" si="23"/>
        <v>168</v>
      </c>
      <c r="E176" s="23">
        <f t="shared" si="25"/>
        <v>252</v>
      </c>
      <c r="F176" s="23">
        <f t="shared" si="26"/>
        <v>700</v>
      </c>
      <c r="G176" s="23">
        <f t="shared" ca="1" si="27"/>
        <v>229</v>
      </c>
      <c r="H176" s="23">
        <f t="shared" ca="1" si="28"/>
        <v>531</v>
      </c>
      <c r="I176" s="23">
        <f t="shared" ca="1" si="29"/>
        <v>397</v>
      </c>
      <c r="J176" s="23">
        <f t="shared" ca="1" si="30"/>
        <v>531</v>
      </c>
      <c r="K176" s="23">
        <f t="shared" ca="1" si="31"/>
        <v>928</v>
      </c>
      <c r="L176" s="23">
        <f t="shared" ca="1" si="24"/>
        <v>52480</v>
      </c>
    </row>
    <row r="177" spans="3:12">
      <c r="C177" s="23">
        <f t="shared" si="22"/>
        <v>420</v>
      </c>
      <c r="D177" s="23">
        <f t="shared" si="23"/>
        <v>168</v>
      </c>
      <c r="E177" s="23">
        <f t="shared" si="25"/>
        <v>252</v>
      </c>
      <c r="F177" s="23">
        <f t="shared" si="26"/>
        <v>700</v>
      </c>
      <c r="G177" s="23">
        <f t="shared" ca="1" si="27"/>
        <v>251</v>
      </c>
      <c r="H177" s="23">
        <f t="shared" ca="1" si="28"/>
        <v>700</v>
      </c>
      <c r="I177" s="23">
        <f t="shared" ca="1" si="29"/>
        <v>419</v>
      </c>
      <c r="J177" s="23">
        <f t="shared" ca="1" si="30"/>
        <v>700</v>
      </c>
      <c r="K177" s="23">
        <f t="shared" ca="1" si="31"/>
        <v>1119</v>
      </c>
      <c r="L177" s="23">
        <f t="shared" ca="1" si="24"/>
        <v>78265</v>
      </c>
    </row>
    <row r="178" spans="3:12">
      <c r="C178" s="23">
        <f t="shared" si="22"/>
        <v>420</v>
      </c>
      <c r="D178" s="23">
        <f t="shared" si="23"/>
        <v>168</v>
      </c>
      <c r="E178" s="23">
        <f t="shared" si="25"/>
        <v>252</v>
      </c>
      <c r="F178" s="23">
        <f t="shared" si="26"/>
        <v>700</v>
      </c>
      <c r="G178" s="23">
        <f t="shared" ca="1" si="27"/>
        <v>241</v>
      </c>
      <c r="H178" s="23">
        <f t="shared" ca="1" si="28"/>
        <v>657</v>
      </c>
      <c r="I178" s="23">
        <f t="shared" ca="1" si="29"/>
        <v>409</v>
      </c>
      <c r="J178" s="23">
        <f t="shared" ca="1" si="30"/>
        <v>657</v>
      </c>
      <c r="K178" s="23">
        <f t="shared" ca="1" si="31"/>
        <v>1066</v>
      </c>
      <c r="L178" s="23">
        <f t="shared" ca="1" si="24"/>
        <v>71110</v>
      </c>
    </row>
    <row r="179" spans="3:12">
      <c r="C179" s="23">
        <f t="shared" si="22"/>
        <v>420</v>
      </c>
      <c r="D179" s="23">
        <f t="shared" si="23"/>
        <v>168</v>
      </c>
      <c r="E179" s="23">
        <f t="shared" si="25"/>
        <v>252</v>
      </c>
      <c r="F179" s="23">
        <f t="shared" si="26"/>
        <v>700</v>
      </c>
      <c r="G179" s="23">
        <f t="shared" ca="1" si="27"/>
        <v>223</v>
      </c>
      <c r="H179" s="23">
        <f t="shared" ca="1" si="28"/>
        <v>684</v>
      </c>
      <c r="I179" s="23">
        <f t="shared" ca="1" si="29"/>
        <v>391</v>
      </c>
      <c r="J179" s="23">
        <f t="shared" ca="1" si="30"/>
        <v>684</v>
      </c>
      <c r="K179" s="23">
        <f t="shared" ca="1" si="31"/>
        <v>1075</v>
      </c>
      <c r="L179" s="23">
        <f t="shared" ca="1" si="24"/>
        <v>72325</v>
      </c>
    </row>
    <row r="180" spans="3:12">
      <c r="C180" s="23">
        <f t="shared" si="22"/>
        <v>420</v>
      </c>
      <c r="D180" s="23">
        <f t="shared" si="23"/>
        <v>168</v>
      </c>
      <c r="E180" s="23">
        <f t="shared" si="25"/>
        <v>252</v>
      </c>
      <c r="F180" s="23">
        <f t="shared" si="26"/>
        <v>700</v>
      </c>
      <c r="G180" s="23">
        <f t="shared" ca="1" si="27"/>
        <v>209</v>
      </c>
      <c r="H180" s="23">
        <f t="shared" ca="1" si="28"/>
        <v>582</v>
      </c>
      <c r="I180" s="23">
        <f t="shared" ca="1" si="29"/>
        <v>377</v>
      </c>
      <c r="J180" s="23">
        <f t="shared" ca="1" si="30"/>
        <v>582</v>
      </c>
      <c r="K180" s="23">
        <f t="shared" ca="1" si="31"/>
        <v>959</v>
      </c>
      <c r="L180" s="23">
        <f t="shared" ca="1" si="24"/>
        <v>56665</v>
      </c>
    </row>
    <row r="181" spans="3:12">
      <c r="C181" s="23">
        <f t="shared" si="22"/>
        <v>420</v>
      </c>
      <c r="D181" s="23">
        <f t="shared" si="23"/>
        <v>168</v>
      </c>
      <c r="E181" s="23">
        <f t="shared" si="25"/>
        <v>252</v>
      </c>
      <c r="F181" s="23">
        <f t="shared" si="26"/>
        <v>700</v>
      </c>
      <c r="G181" s="23">
        <f t="shared" ca="1" si="27"/>
        <v>251</v>
      </c>
      <c r="H181" s="23">
        <f t="shared" ca="1" si="28"/>
        <v>651</v>
      </c>
      <c r="I181" s="23">
        <f t="shared" ca="1" si="29"/>
        <v>419</v>
      </c>
      <c r="J181" s="23">
        <f t="shared" ca="1" si="30"/>
        <v>651</v>
      </c>
      <c r="K181" s="23">
        <f t="shared" ca="1" si="31"/>
        <v>1070</v>
      </c>
      <c r="L181" s="23">
        <f t="shared" ca="1" si="24"/>
        <v>71650</v>
      </c>
    </row>
    <row r="182" spans="3:12">
      <c r="C182" s="23">
        <f t="shared" si="22"/>
        <v>420</v>
      </c>
      <c r="D182" s="23">
        <f t="shared" si="23"/>
        <v>168</v>
      </c>
      <c r="E182" s="23">
        <f t="shared" si="25"/>
        <v>252</v>
      </c>
      <c r="F182" s="23">
        <f t="shared" si="26"/>
        <v>700</v>
      </c>
      <c r="G182" s="23">
        <f t="shared" ca="1" si="27"/>
        <v>225</v>
      </c>
      <c r="H182" s="23">
        <f t="shared" ca="1" si="28"/>
        <v>607</v>
      </c>
      <c r="I182" s="23">
        <f t="shared" ca="1" si="29"/>
        <v>393</v>
      </c>
      <c r="J182" s="23">
        <f t="shared" ca="1" si="30"/>
        <v>607</v>
      </c>
      <c r="K182" s="23">
        <f t="shared" ca="1" si="31"/>
        <v>1000</v>
      </c>
      <c r="L182" s="23">
        <f t="shared" ca="1" si="24"/>
        <v>62200</v>
      </c>
    </row>
    <row r="183" spans="3:12">
      <c r="C183" s="23">
        <f t="shared" si="22"/>
        <v>420</v>
      </c>
      <c r="D183" s="23">
        <f t="shared" si="23"/>
        <v>168</v>
      </c>
      <c r="E183" s="23">
        <f t="shared" si="25"/>
        <v>252</v>
      </c>
      <c r="F183" s="23">
        <f t="shared" si="26"/>
        <v>700</v>
      </c>
      <c r="G183" s="23">
        <f t="shared" ca="1" si="27"/>
        <v>233</v>
      </c>
      <c r="H183" s="23">
        <f t="shared" ca="1" si="28"/>
        <v>654</v>
      </c>
      <c r="I183" s="23">
        <f t="shared" ca="1" si="29"/>
        <v>401</v>
      </c>
      <c r="J183" s="23">
        <f t="shared" ca="1" si="30"/>
        <v>654</v>
      </c>
      <c r="K183" s="23">
        <f t="shared" ca="1" si="31"/>
        <v>1055</v>
      </c>
      <c r="L183" s="23">
        <f t="shared" ca="1" si="24"/>
        <v>69625</v>
      </c>
    </row>
    <row r="184" spans="3:12">
      <c r="C184" s="23">
        <f t="shared" si="22"/>
        <v>420</v>
      </c>
      <c r="D184" s="23">
        <f t="shared" si="23"/>
        <v>168</v>
      </c>
      <c r="E184" s="23">
        <f t="shared" si="25"/>
        <v>252</v>
      </c>
      <c r="F184" s="23">
        <f t="shared" si="26"/>
        <v>700</v>
      </c>
      <c r="G184" s="23">
        <f t="shared" ca="1" si="27"/>
        <v>212</v>
      </c>
      <c r="H184" s="23">
        <f t="shared" ca="1" si="28"/>
        <v>728</v>
      </c>
      <c r="I184" s="23">
        <f t="shared" ca="1" si="29"/>
        <v>380</v>
      </c>
      <c r="J184" s="23">
        <f t="shared" ca="1" si="30"/>
        <v>728</v>
      </c>
      <c r="K184" s="23">
        <f t="shared" ca="1" si="31"/>
        <v>1108</v>
      </c>
      <c r="L184" s="23">
        <f t="shared" ca="1" si="24"/>
        <v>76780</v>
      </c>
    </row>
    <row r="185" spans="3:12">
      <c r="C185" s="23">
        <f t="shared" si="22"/>
        <v>420</v>
      </c>
      <c r="D185" s="23">
        <f t="shared" si="23"/>
        <v>168</v>
      </c>
      <c r="E185" s="23">
        <f t="shared" si="25"/>
        <v>252</v>
      </c>
      <c r="F185" s="23">
        <f t="shared" si="26"/>
        <v>700</v>
      </c>
      <c r="G185" s="23">
        <f t="shared" ca="1" si="27"/>
        <v>177</v>
      </c>
      <c r="H185" s="23">
        <f t="shared" ca="1" si="28"/>
        <v>656</v>
      </c>
      <c r="I185" s="23">
        <f t="shared" ca="1" si="29"/>
        <v>345</v>
      </c>
      <c r="J185" s="23">
        <f t="shared" ca="1" si="30"/>
        <v>656</v>
      </c>
      <c r="K185" s="23">
        <f t="shared" ca="1" si="31"/>
        <v>1001</v>
      </c>
      <c r="L185" s="23">
        <f t="shared" ca="1" si="24"/>
        <v>62335</v>
      </c>
    </row>
    <row r="186" spans="3:12">
      <c r="C186" s="23">
        <f t="shared" si="22"/>
        <v>420</v>
      </c>
      <c r="D186" s="23">
        <f t="shared" si="23"/>
        <v>168</v>
      </c>
      <c r="E186" s="23">
        <f t="shared" si="25"/>
        <v>252</v>
      </c>
      <c r="F186" s="23">
        <f t="shared" si="26"/>
        <v>700</v>
      </c>
      <c r="G186" s="23">
        <f t="shared" ca="1" si="27"/>
        <v>225</v>
      </c>
      <c r="H186" s="23">
        <f t="shared" ca="1" si="28"/>
        <v>685</v>
      </c>
      <c r="I186" s="23">
        <f t="shared" ca="1" si="29"/>
        <v>393</v>
      </c>
      <c r="J186" s="23">
        <f t="shared" ca="1" si="30"/>
        <v>685</v>
      </c>
      <c r="K186" s="23">
        <f t="shared" ca="1" si="31"/>
        <v>1078</v>
      </c>
      <c r="L186" s="23">
        <f t="shared" ca="1" si="24"/>
        <v>72730</v>
      </c>
    </row>
    <row r="187" spans="3:12">
      <c r="C187" s="23">
        <f t="shared" si="22"/>
        <v>420</v>
      </c>
      <c r="D187" s="23">
        <f t="shared" si="23"/>
        <v>168</v>
      </c>
      <c r="E187" s="23">
        <f t="shared" si="25"/>
        <v>252</v>
      </c>
      <c r="F187" s="23">
        <f t="shared" si="26"/>
        <v>700</v>
      </c>
      <c r="G187" s="23">
        <f t="shared" ca="1" si="27"/>
        <v>221</v>
      </c>
      <c r="H187" s="23">
        <f t="shared" ca="1" si="28"/>
        <v>531</v>
      </c>
      <c r="I187" s="23">
        <f t="shared" ca="1" si="29"/>
        <v>389</v>
      </c>
      <c r="J187" s="23">
        <f t="shared" ca="1" si="30"/>
        <v>531</v>
      </c>
      <c r="K187" s="23">
        <f t="shared" ca="1" si="31"/>
        <v>920</v>
      </c>
      <c r="L187" s="23">
        <f t="shared" ca="1" si="24"/>
        <v>51400</v>
      </c>
    </row>
    <row r="188" spans="3:12">
      <c r="C188" s="23">
        <f t="shared" si="22"/>
        <v>420</v>
      </c>
      <c r="D188" s="23">
        <f t="shared" si="23"/>
        <v>168</v>
      </c>
      <c r="E188" s="23">
        <f t="shared" si="25"/>
        <v>252</v>
      </c>
      <c r="F188" s="23">
        <f t="shared" si="26"/>
        <v>700</v>
      </c>
      <c r="G188" s="23">
        <f t="shared" ca="1" si="27"/>
        <v>199</v>
      </c>
      <c r="H188" s="23">
        <f t="shared" ca="1" si="28"/>
        <v>636</v>
      </c>
      <c r="I188" s="23">
        <f t="shared" ca="1" si="29"/>
        <v>367</v>
      </c>
      <c r="J188" s="23">
        <f t="shared" ca="1" si="30"/>
        <v>636</v>
      </c>
      <c r="K188" s="23">
        <f t="shared" ca="1" si="31"/>
        <v>1003</v>
      </c>
      <c r="L188" s="23">
        <f t="shared" ca="1" si="24"/>
        <v>62605</v>
      </c>
    </row>
    <row r="189" spans="3:12">
      <c r="C189" s="23">
        <f t="shared" si="22"/>
        <v>420</v>
      </c>
      <c r="D189" s="23">
        <f t="shared" si="23"/>
        <v>168</v>
      </c>
      <c r="E189" s="23">
        <f t="shared" si="25"/>
        <v>252</v>
      </c>
      <c r="F189" s="23">
        <f t="shared" si="26"/>
        <v>700</v>
      </c>
      <c r="G189" s="23">
        <f t="shared" ca="1" si="27"/>
        <v>231</v>
      </c>
      <c r="H189" s="23">
        <f t="shared" ca="1" si="28"/>
        <v>611</v>
      </c>
      <c r="I189" s="23">
        <f t="shared" ca="1" si="29"/>
        <v>399</v>
      </c>
      <c r="J189" s="23">
        <f t="shared" ca="1" si="30"/>
        <v>611</v>
      </c>
      <c r="K189" s="23">
        <f t="shared" ca="1" si="31"/>
        <v>1010</v>
      </c>
      <c r="L189" s="23">
        <f t="shared" ca="1" si="24"/>
        <v>63550</v>
      </c>
    </row>
    <row r="190" spans="3:12">
      <c r="C190" s="23">
        <f t="shared" si="22"/>
        <v>420</v>
      </c>
      <c r="D190" s="23">
        <f t="shared" si="23"/>
        <v>168</v>
      </c>
      <c r="E190" s="23">
        <f t="shared" si="25"/>
        <v>252</v>
      </c>
      <c r="F190" s="23">
        <f t="shared" si="26"/>
        <v>700</v>
      </c>
      <c r="G190" s="23">
        <f t="shared" ca="1" si="27"/>
        <v>204</v>
      </c>
      <c r="H190" s="23">
        <f t="shared" ca="1" si="28"/>
        <v>592</v>
      </c>
      <c r="I190" s="23">
        <f t="shared" ca="1" si="29"/>
        <v>372</v>
      </c>
      <c r="J190" s="23">
        <f t="shared" ca="1" si="30"/>
        <v>592</v>
      </c>
      <c r="K190" s="23">
        <f t="shared" ca="1" si="31"/>
        <v>964</v>
      </c>
      <c r="L190" s="23">
        <f t="shared" ca="1" si="24"/>
        <v>57340</v>
      </c>
    </row>
    <row r="191" spans="3:12">
      <c r="C191" s="23">
        <f t="shared" si="22"/>
        <v>420</v>
      </c>
      <c r="D191" s="23">
        <f t="shared" si="23"/>
        <v>168</v>
      </c>
      <c r="E191" s="23">
        <f t="shared" si="25"/>
        <v>252</v>
      </c>
      <c r="F191" s="23">
        <f t="shared" si="26"/>
        <v>700</v>
      </c>
      <c r="G191" s="23">
        <f t="shared" ca="1" si="27"/>
        <v>200</v>
      </c>
      <c r="H191" s="23">
        <f t="shared" ca="1" si="28"/>
        <v>511</v>
      </c>
      <c r="I191" s="23">
        <f t="shared" ca="1" si="29"/>
        <v>368</v>
      </c>
      <c r="J191" s="23">
        <f t="shared" ca="1" si="30"/>
        <v>511</v>
      </c>
      <c r="K191" s="23">
        <f t="shared" ca="1" si="31"/>
        <v>879</v>
      </c>
      <c r="L191" s="23">
        <f t="shared" ca="1" si="24"/>
        <v>45865</v>
      </c>
    </row>
    <row r="192" spans="3:12">
      <c r="C192" s="23">
        <f t="shared" si="22"/>
        <v>420</v>
      </c>
      <c r="D192" s="23">
        <f t="shared" si="23"/>
        <v>168</v>
      </c>
      <c r="E192" s="23">
        <f t="shared" si="25"/>
        <v>252</v>
      </c>
      <c r="F192" s="23">
        <f t="shared" si="26"/>
        <v>700</v>
      </c>
      <c r="G192" s="23">
        <f t="shared" ca="1" si="27"/>
        <v>170</v>
      </c>
      <c r="H192" s="23">
        <f t="shared" ca="1" si="28"/>
        <v>596</v>
      </c>
      <c r="I192" s="23">
        <f t="shared" ca="1" si="29"/>
        <v>338</v>
      </c>
      <c r="J192" s="23">
        <f t="shared" ca="1" si="30"/>
        <v>596</v>
      </c>
      <c r="K192" s="23">
        <f t="shared" ca="1" si="31"/>
        <v>934</v>
      </c>
      <c r="L192" s="23">
        <f t="shared" ca="1" si="24"/>
        <v>53290</v>
      </c>
    </row>
    <row r="193" spans="3:12">
      <c r="C193" s="23">
        <f t="shared" si="22"/>
        <v>420</v>
      </c>
      <c r="D193" s="23">
        <f t="shared" si="23"/>
        <v>168</v>
      </c>
      <c r="E193" s="23">
        <f t="shared" si="25"/>
        <v>252</v>
      </c>
      <c r="F193" s="23">
        <f t="shared" si="26"/>
        <v>700</v>
      </c>
      <c r="G193" s="23">
        <f t="shared" ca="1" si="27"/>
        <v>170</v>
      </c>
      <c r="H193" s="23">
        <f t="shared" ca="1" si="28"/>
        <v>560</v>
      </c>
      <c r="I193" s="23">
        <f t="shared" ca="1" si="29"/>
        <v>338</v>
      </c>
      <c r="J193" s="23">
        <f t="shared" ca="1" si="30"/>
        <v>560</v>
      </c>
      <c r="K193" s="23">
        <f t="shared" ca="1" si="31"/>
        <v>898</v>
      </c>
      <c r="L193" s="23">
        <f t="shared" ca="1" si="24"/>
        <v>48430</v>
      </c>
    </row>
    <row r="194" spans="3:12">
      <c r="C194" s="23">
        <f t="shared" si="22"/>
        <v>420</v>
      </c>
      <c r="D194" s="23">
        <f t="shared" si="23"/>
        <v>168</v>
      </c>
      <c r="E194" s="23">
        <f t="shared" si="25"/>
        <v>252</v>
      </c>
      <c r="F194" s="23">
        <f t="shared" si="26"/>
        <v>700</v>
      </c>
      <c r="G194" s="23">
        <f t="shared" ca="1" si="27"/>
        <v>210</v>
      </c>
      <c r="H194" s="23">
        <f t="shared" ca="1" si="28"/>
        <v>704</v>
      </c>
      <c r="I194" s="23">
        <f t="shared" ca="1" si="29"/>
        <v>378</v>
      </c>
      <c r="J194" s="23">
        <f t="shared" ca="1" si="30"/>
        <v>704</v>
      </c>
      <c r="K194" s="23">
        <f t="shared" ca="1" si="31"/>
        <v>1082</v>
      </c>
      <c r="L194" s="23">
        <f t="shared" ca="1" si="24"/>
        <v>73270</v>
      </c>
    </row>
    <row r="195" spans="3:12">
      <c r="C195" s="23">
        <f t="shared" si="22"/>
        <v>420</v>
      </c>
      <c r="D195" s="23">
        <f t="shared" si="23"/>
        <v>168</v>
      </c>
      <c r="E195" s="23">
        <f t="shared" si="25"/>
        <v>252</v>
      </c>
      <c r="F195" s="23">
        <f t="shared" si="26"/>
        <v>700</v>
      </c>
      <c r="G195" s="23">
        <f t="shared" ca="1" si="27"/>
        <v>191</v>
      </c>
      <c r="H195" s="23">
        <f t="shared" ca="1" si="28"/>
        <v>727</v>
      </c>
      <c r="I195" s="23">
        <f t="shared" ca="1" si="29"/>
        <v>359</v>
      </c>
      <c r="J195" s="23">
        <f t="shared" ca="1" si="30"/>
        <v>727</v>
      </c>
      <c r="K195" s="23">
        <f t="shared" ca="1" si="31"/>
        <v>1086</v>
      </c>
      <c r="L195" s="23">
        <f t="shared" ca="1" si="24"/>
        <v>73810</v>
      </c>
    </row>
    <row r="196" spans="3:12">
      <c r="C196" s="23">
        <f t="shared" si="22"/>
        <v>420</v>
      </c>
      <c r="D196" s="23">
        <f t="shared" si="23"/>
        <v>168</v>
      </c>
      <c r="E196" s="23">
        <f t="shared" si="25"/>
        <v>252</v>
      </c>
      <c r="F196" s="23">
        <f t="shared" si="26"/>
        <v>700</v>
      </c>
      <c r="G196" s="23">
        <f t="shared" ca="1" si="27"/>
        <v>213</v>
      </c>
      <c r="H196" s="23">
        <f t="shared" ca="1" si="28"/>
        <v>594</v>
      </c>
      <c r="I196" s="23">
        <f t="shared" ca="1" si="29"/>
        <v>381</v>
      </c>
      <c r="J196" s="23">
        <f t="shared" ca="1" si="30"/>
        <v>594</v>
      </c>
      <c r="K196" s="23">
        <f t="shared" ca="1" si="31"/>
        <v>975</v>
      </c>
      <c r="L196" s="23">
        <f t="shared" ca="1" si="24"/>
        <v>58825</v>
      </c>
    </row>
    <row r="197" spans="3:12">
      <c r="C197" s="23">
        <f t="shared" si="22"/>
        <v>420</v>
      </c>
      <c r="D197" s="23">
        <f t="shared" si="23"/>
        <v>168</v>
      </c>
      <c r="E197" s="23">
        <f t="shared" si="25"/>
        <v>252</v>
      </c>
      <c r="F197" s="23">
        <f t="shared" si="26"/>
        <v>700</v>
      </c>
      <c r="G197" s="23">
        <f t="shared" ca="1" si="27"/>
        <v>229</v>
      </c>
      <c r="H197" s="23">
        <f t="shared" ca="1" si="28"/>
        <v>582</v>
      </c>
      <c r="I197" s="23">
        <f t="shared" ca="1" si="29"/>
        <v>397</v>
      </c>
      <c r="J197" s="23">
        <f t="shared" ca="1" si="30"/>
        <v>582</v>
      </c>
      <c r="K197" s="23">
        <f t="shared" ca="1" si="31"/>
        <v>979</v>
      </c>
      <c r="L197" s="23">
        <f t="shared" ca="1" si="24"/>
        <v>59365</v>
      </c>
    </row>
    <row r="198" spans="3:12">
      <c r="C198" s="23">
        <f t="shared" si="22"/>
        <v>420</v>
      </c>
      <c r="D198" s="23">
        <f t="shared" si="23"/>
        <v>168</v>
      </c>
      <c r="E198" s="23">
        <f t="shared" si="25"/>
        <v>252</v>
      </c>
      <c r="F198" s="23">
        <f t="shared" si="26"/>
        <v>700</v>
      </c>
      <c r="G198" s="23">
        <f t="shared" ca="1" si="27"/>
        <v>196</v>
      </c>
      <c r="H198" s="23">
        <f t="shared" ca="1" si="28"/>
        <v>715</v>
      </c>
      <c r="I198" s="23">
        <f t="shared" ca="1" si="29"/>
        <v>364</v>
      </c>
      <c r="J198" s="23">
        <f t="shared" ca="1" si="30"/>
        <v>715</v>
      </c>
      <c r="K198" s="23">
        <f t="shared" ca="1" si="31"/>
        <v>1079</v>
      </c>
      <c r="L198" s="23">
        <f t="shared" ca="1" si="24"/>
        <v>72865</v>
      </c>
    </row>
    <row r="199" spans="3:12">
      <c r="C199" s="23">
        <f t="shared" si="22"/>
        <v>420</v>
      </c>
      <c r="D199" s="23">
        <f t="shared" si="23"/>
        <v>168</v>
      </c>
      <c r="E199" s="23">
        <f t="shared" si="25"/>
        <v>252</v>
      </c>
      <c r="F199" s="23">
        <f t="shared" si="26"/>
        <v>700</v>
      </c>
      <c r="G199" s="23">
        <f t="shared" ca="1" si="27"/>
        <v>202</v>
      </c>
      <c r="H199" s="23">
        <f t="shared" ca="1" si="28"/>
        <v>544</v>
      </c>
      <c r="I199" s="23">
        <f t="shared" ca="1" si="29"/>
        <v>370</v>
      </c>
      <c r="J199" s="23">
        <f t="shared" ca="1" si="30"/>
        <v>544</v>
      </c>
      <c r="K199" s="23">
        <f t="shared" ca="1" si="31"/>
        <v>914</v>
      </c>
      <c r="L199" s="23">
        <f t="shared" ca="1" si="24"/>
        <v>50590</v>
      </c>
    </row>
    <row r="200" spans="3:12">
      <c r="C200" s="23">
        <f t="shared" si="22"/>
        <v>420</v>
      </c>
      <c r="D200" s="23">
        <f t="shared" si="23"/>
        <v>168</v>
      </c>
      <c r="E200" s="23">
        <f t="shared" si="25"/>
        <v>252</v>
      </c>
      <c r="F200" s="23">
        <f t="shared" si="26"/>
        <v>700</v>
      </c>
      <c r="G200" s="23">
        <f t="shared" ca="1" si="27"/>
        <v>216</v>
      </c>
      <c r="H200" s="23">
        <f t="shared" ca="1" si="28"/>
        <v>640</v>
      </c>
      <c r="I200" s="23">
        <f t="shared" ca="1" si="29"/>
        <v>384</v>
      </c>
      <c r="J200" s="23">
        <f t="shared" ca="1" si="30"/>
        <v>640</v>
      </c>
      <c r="K200" s="23">
        <f t="shared" ca="1" si="31"/>
        <v>1024</v>
      </c>
      <c r="L200" s="23">
        <f t="shared" ca="1" si="24"/>
        <v>65440</v>
      </c>
    </row>
    <row r="201" spans="3:12">
      <c r="C201" s="23">
        <f t="shared" si="22"/>
        <v>420</v>
      </c>
      <c r="D201" s="23">
        <f t="shared" si="23"/>
        <v>168</v>
      </c>
      <c r="E201" s="23">
        <f t="shared" si="25"/>
        <v>252</v>
      </c>
      <c r="F201" s="23">
        <f t="shared" si="26"/>
        <v>700</v>
      </c>
      <c r="G201" s="23">
        <f t="shared" ca="1" si="27"/>
        <v>201</v>
      </c>
      <c r="H201" s="23">
        <f t="shared" ca="1" si="28"/>
        <v>582</v>
      </c>
      <c r="I201" s="23">
        <f t="shared" ca="1" si="29"/>
        <v>369</v>
      </c>
      <c r="J201" s="23">
        <f t="shared" ca="1" si="30"/>
        <v>582</v>
      </c>
      <c r="K201" s="23">
        <f t="shared" ca="1" si="31"/>
        <v>951</v>
      </c>
      <c r="L201" s="23">
        <f t="shared" ca="1" si="24"/>
        <v>55585</v>
      </c>
    </row>
    <row r="202" spans="3:12">
      <c r="C202" s="23">
        <f t="shared" si="22"/>
        <v>420</v>
      </c>
      <c r="D202" s="23">
        <f t="shared" si="23"/>
        <v>168</v>
      </c>
      <c r="E202" s="23">
        <f t="shared" si="25"/>
        <v>252</v>
      </c>
      <c r="F202" s="23">
        <f t="shared" si="26"/>
        <v>700</v>
      </c>
      <c r="G202" s="23">
        <f t="shared" ca="1" si="27"/>
        <v>195</v>
      </c>
      <c r="H202" s="23">
        <f t="shared" ca="1" si="28"/>
        <v>630</v>
      </c>
      <c r="I202" s="23">
        <f t="shared" ca="1" si="29"/>
        <v>363</v>
      </c>
      <c r="J202" s="23">
        <f t="shared" ca="1" si="30"/>
        <v>630</v>
      </c>
      <c r="K202" s="23">
        <f t="shared" ca="1" si="31"/>
        <v>993</v>
      </c>
      <c r="L202" s="23">
        <f t="shared" ca="1" si="24"/>
        <v>61255</v>
      </c>
    </row>
    <row r="203" spans="3:12">
      <c r="C203" s="23">
        <f t="shared" si="22"/>
        <v>420</v>
      </c>
      <c r="D203" s="23">
        <f t="shared" si="23"/>
        <v>168</v>
      </c>
      <c r="E203" s="23">
        <f t="shared" si="25"/>
        <v>252</v>
      </c>
      <c r="F203" s="23">
        <f t="shared" si="26"/>
        <v>700</v>
      </c>
      <c r="G203" s="23">
        <f t="shared" ca="1" si="27"/>
        <v>176</v>
      </c>
      <c r="H203" s="23">
        <f t="shared" ca="1" si="28"/>
        <v>609</v>
      </c>
      <c r="I203" s="23">
        <f t="shared" ca="1" si="29"/>
        <v>344</v>
      </c>
      <c r="J203" s="23">
        <f t="shared" ca="1" si="30"/>
        <v>609</v>
      </c>
      <c r="K203" s="23">
        <f t="shared" ca="1" si="31"/>
        <v>953</v>
      </c>
      <c r="L203" s="23">
        <f t="shared" ca="1" si="24"/>
        <v>55855</v>
      </c>
    </row>
    <row r="204" spans="3:12">
      <c r="C204" s="23">
        <f t="shared" ref="C204:C267" si="32">$B$4</f>
        <v>420</v>
      </c>
      <c r="D204" s="23">
        <f t="shared" ref="D204:D267" si="33">$B$5</f>
        <v>168</v>
      </c>
      <c r="E204" s="23">
        <f t="shared" si="25"/>
        <v>252</v>
      </c>
      <c r="F204" s="23">
        <f t="shared" si="26"/>
        <v>700</v>
      </c>
      <c r="G204" s="23">
        <f t="shared" ca="1" si="27"/>
        <v>228</v>
      </c>
      <c r="H204" s="23">
        <f t="shared" ca="1" si="28"/>
        <v>735</v>
      </c>
      <c r="I204" s="23">
        <f t="shared" ca="1" si="29"/>
        <v>396</v>
      </c>
      <c r="J204" s="23">
        <f t="shared" ca="1" si="30"/>
        <v>724</v>
      </c>
      <c r="K204" s="23">
        <f t="shared" ca="1" si="31"/>
        <v>1120</v>
      </c>
      <c r="L204" s="23">
        <f t="shared" ref="L204:L267" ca="1" si="34">K204*$B$2-(F204+C204)*$B$1</f>
        <v>78400</v>
      </c>
    </row>
    <row r="205" spans="3:12">
      <c r="C205" s="23">
        <f t="shared" si="32"/>
        <v>420</v>
      </c>
      <c r="D205" s="23">
        <f t="shared" si="33"/>
        <v>168</v>
      </c>
      <c r="E205" s="23">
        <f t="shared" ref="E205:E268" si="35">MAX(0,C205-D205)</f>
        <v>252</v>
      </c>
      <c r="F205" s="23">
        <f t="shared" ref="F205:F268" si="36">$E$8</f>
        <v>700</v>
      </c>
      <c r="G205" s="23">
        <f t="shared" ref="G205:G268" ca="1" si="37">_xlfn.FLOOR.MATH(MAX(0,_xlfn.NORM.INV(RAND(),$B$6*$B$8,$B$3*($B$8+0.0001))))</f>
        <v>220</v>
      </c>
      <c r="H205" s="23">
        <f t="shared" ref="H205:H268" ca="1" si="38">_xlfn.FLOOR.MATH(MAX(0,_xlfn.NORM.INV(RAND(),$B$6*(1-$B$8),$B$3*(1.00001-$B$8))))</f>
        <v>651</v>
      </c>
      <c r="I205" s="23">
        <f t="shared" ref="I205:I268" ca="1" si="39">MIN(C205,D205+G205)</f>
        <v>388</v>
      </c>
      <c r="J205" s="23">
        <f t="shared" ref="J205:J268" ca="1" si="40">MIN(C205-I205+F205,H205)</f>
        <v>651</v>
      </c>
      <c r="K205" s="23">
        <f t="shared" ref="K205:K268" ca="1" si="41">I205+J205</f>
        <v>1039</v>
      </c>
      <c r="L205" s="23">
        <f t="shared" ca="1" si="34"/>
        <v>67465</v>
      </c>
    </row>
    <row r="206" spans="3:12">
      <c r="C206" s="23">
        <f t="shared" si="32"/>
        <v>420</v>
      </c>
      <c r="D206" s="23">
        <f t="shared" si="33"/>
        <v>168</v>
      </c>
      <c r="E206" s="23">
        <f t="shared" si="35"/>
        <v>252</v>
      </c>
      <c r="F206" s="23">
        <f t="shared" si="36"/>
        <v>700</v>
      </c>
      <c r="G206" s="23">
        <f t="shared" ca="1" si="37"/>
        <v>227</v>
      </c>
      <c r="H206" s="23">
        <f t="shared" ca="1" si="38"/>
        <v>622</v>
      </c>
      <c r="I206" s="23">
        <f t="shared" ca="1" si="39"/>
        <v>395</v>
      </c>
      <c r="J206" s="23">
        <f t="shared" ca="1" si="40"/>
        <v>622</v>
      </c>
      <c r="K206" s="23">
        <f t="shared" ca="1" si="41"/>
        <v>1017</v>
      </c>
      <c r="L206" s="23">
        <f t="shared" ca="1" si="34"/>
        <v>64495</v>
      </c>
    </row>
    <row r="207" spans="3:12">
      <c r="C207" s="23">
        <f t="shared" si="32"/>
        <v>420</v>
      </c>
      <c r="D207" s="23">
        <f t="shared" si="33"/>
        <v>168</v>
      </c>
      <c r="E207" s="23">
        <f t="shared" si="35"/>
        <v>252</v>
      </c>
      <c r="F207" s="23">
        <f t="shared" si="36"/>
        <v>700</v>
      </c>
      <c r="G207" s="23">
        <f t="shared" ca="1" si="37"/>
        <v>178</v>
      </c>
      <c r="H207" s="23">
        <f t="shared" ca="1" si="38"/>
        <v>724</v>
      </c>
      <c r="I207" s="23">
        <f t="shared" ca="1" si="39"/>
        <v>346</v>
      </c>
      <c r="J207" s="23">
        <f t="shared" ca="1" si="40"/>
        <v>724</v>
      </c>
      <c r="K207" s="23">
        <f t="shared" ca="1" si="41"/>
        <v>1070</v>
      </c>
      <c r="L207" s="23">
        <f t="shared" ca="1" si="34"/>
        <v>71650</v>
      </c>
    </row>
    <row r="208" spans="3:12">
      <c r="C208" s="23">
        <f t="shared" si="32"/>
        <v>420</v>
      </c>
      <c r="D208" s="23">
        <f t="shared" si="33"/>
        <v>168</v>
      </c>
      <c r="E208" s="23">
        <f t="shared" si="35"/>
        <v>252</v>
      </c>
      <c r="F208" s="23">
        <f t="shared" si="36"/>
        <v>700</v>
      </c>
      <c r="G208" s="23">
        <f t="shared" ca="1" si="37"/>
        <v>221</v>
      </c>
      <c r="H208" s="23">
        <f t="shared" ca="1" si="38"/>
        <v>596</v>
      </c>
      <c r="I208" s="23">
        <f t="shared" ca="1" si="39"/>
        <v>389</v>
      </c>
      <c r="J208" s="23">
        <f t="shared" ca="1" si="40"/>
        <v>596</v>
      </c>
      <c r="K208" s="23">
        <f t="shared" ca="1" si="41"/>
        <v>985</v>
      </c>
      <c r="L208" s="23">
        <f t="shared" ca="1" si="34"/>
        <v>60175</v>
      </c>
    </row>
    <row r="209" spans="3:12">
      <c r="C209" s="23">
        <f t="shared" si="32"/>
        <v>420</v>
      </c>
      <c r="D209" s="23">
        <f t="shared" si="33"/>
        <v>168</v>
      </c>
      <c r="E209" s="23">
        <f t="shared" si="35"/>
        <v>252</v>
      </c>
      <c r="F209" s="23">
        <f t="shared" si="36"/>
        <v>700</v>
      </c>
      <c r="G209" s="23">
        <f t="shared" ca="1" si="37"/>
        <v>204</v>
      </c>
      <c r="H209" s="23">
        <f t="shared" ca="1" si="38"/>
        <v>603</v>
      </c>
      <c r="I209" s="23">
        <f t="shared" ca="1" si="39"/>
        <v>372</v>
      </c>
      <c r="J209" s="23">
        <f t="shared" ca="1" si="40"/>
        <v>603</v>
      </c>
      <c r="K209" s="23">
        <f t="shared" ca="1" si="41"/>
        <v>975</v>
      </c>
      <c r="L209" s="23">
        <f t="shared" ca="1" si="34"/>
        <v>58825</v>
      </c>
    </row>
    <row r="210" spans="3:12">
      <c r="C210" s="23">
        <f t="shared" si="32"/>
        <v>420</v>
      </c>
      <c r="D210" s="23">
        <f t="shared" si="33"/>
        <v>168</v>
      </c>
      <c r="E210" s="23">
        <f t="shared" si="35"/>
        <v>252</v>
      </c>
      <c r="F210" s="23">
        <f t="shared" si="36"/>
        <v>700</v>
      </c>
      <c r="G210" s="23">
        <f t="shared" ca="1" si="37"/>
        <v>238</v>
      </c>
      <c r="H210" s="23">
        <f t="shared" ca="1" si="38"/>
        <v>621</v>
      </c>
      <c r="I210" s="23">
        <f t="shared" ca="1" si="39"/>
        <v>406</v>
      </c>
      <c r="J210" s="23">
        <f t="shared" ca="1" si="40"/>
        <v>621</v>
      </c>
      <c r="K210" s="23">
        <f t="shared" ca="1" si="41"/>
        <v>1027</v>
      </c>
      <c r="L210" s="23">
        <f t="shared" ca="1" si="34"/>
        <v>65845</v>
      </c>
    </row>
    <row r="211" spans="3:12">
      <c r="C211" s="23">
        <f t="shared" si="32"/>
        <v>420</v>
      </c>
      <c r="D211" s="23">
        <f t="shared" si="33"/>
        <v>168</v>
      </c>
      <c r="E211" s="23">
        <f t="shared" si="35"/>
        <v>252</v>
      </c>
      <c r="F211" s="23">
        <f t="shared" si="36"/>
        <v>700</v>
      </c>
      <c r="G211" s="23">
        <f t="shared" ca="1" si="37"/>
        <v>203</v>
      </c>
      <c r="H211" s="23">
        <f t="shared" ca="1" si="38"/>
        <v>628</v>
      </c>
      <c r="I211" s="23">
        <f t="shared" ca="1" si="39"/>
        <v>371</v>
      </c>
      <c r="J211" s="23">
        <f t="shared" ca="1" si="40"/>
        <v>628</v>
      </c>
      <c r="K211" s="23">
        <f t="shared" ca="1" si="41"/>
        <v>999</v>
      </c>
      <c r="L211" s="23">
        <f t="shared" ca="1" si="34"/>
        <v>62065</v>
      </c>
    </row>
    <row r="212" spans="3:12">
      <c r="C212" s="23">
        <f t="shared" si="32"/>
        <v>420</v>
      </c>
      <c r="D212" s="23">
        <f t="shared" si="33"/>
        <v>168</v>
      </c>
      <c r="E212" s="23">
        <f t="shared" si="35"/>
        <v>252</v>
      </c>
      <c r="F212" s="23">
        <f t="shared" si="36"/>
        <v>700</v>
      </c>
      <c r="G212" s="23">
        <f t="shared" ca="1" si="37"/>
        <v>185</v>
      </c>
      <c r="H212" s="23">
        <f t="shared" ca="1" si="38"/>
        <v>630</v>
      </c>
      <c r="I212" s="23">
        <f t="shared" ca="1" si="39"/>
        <v>353</v>
      </c>
      <c r="J212" s="23">
        <f t="shared" ca="1" si="40"/>
        <v>630</v>
      </c>
      <c r="K212" s="23">
        <f t="shared" ca="1" si="41"/>
        <v>983</v>
      </c>
      <c r="L212" s="23">
        <f t="shared" ca="1" si="34"/>
        <v>59905</v>
      </c>
    </row>
    <row r="213" spans="3:12">
      <c r="C213" s="23">
        <f t="shared" si="32"/>
        <v>420</v>
      </c>
      <c r="D213" s="23">
        <f t="shared" si="33"/>
        <v>168</v>
      </c>
      <c r="E213" s="23">
        <f t="shared" si="35"/>
        <v>252</v>
      </c>
      <c r="F213" s="23">
        <f t="shared" si="36"/>
        <v>700</v>
      </c>
      <c r="G213" s="23">
        <f t="shared" ca="1" si="37"/>
        <v>204</v>
      </c>
      <c r="H213" s="23">
        <f t="shared" ca="1" si="38"/>
        <v>691</v>
      </c>
      <c r="I213" s="23">
        <f t="shared" ca="1" si="39"/>
        <v>372</v>
      </c>
      <c r="J213" s="23">
        <f t="shared" ca="1" si="40"/>
        <v>691</v>
      </c>
      <c r="K213" s="23">
        <f t="shared" ca="1" si="41"/>
        <v>1063</v>
      </c>
      <c r="L213" s="23">
        <f t="shared" ca="1" si="34"/>
        <v>70705</v>
      </c>
    </row>
    <row r="214" spans="3:12">
      <c r="C214" s="23">
        <f t="shared" si="32"/>
        <v>420</v>
      </c>
      <c r="D214" s="23">
        <f t="shared" si="33"/>
        <v>168</v>
      </c>
      <c r="E214" s="23">
        <f t="shared" si="35"/>
        <v>252</v>
      </c>
      <c r="F214" s="23">
        <f t="shared" si="36"/>
        <v>700</v>
      </c>
      <c r="G214" s="23">
        <f t="shared" ca="1" si="37"/>
        <v>218</v>
      </c>
      <c r="H214" s="23">
        <f t="shared" ca="1" si="38"/>
        <v>630</v>
      </c>
      <c r="I214" s="23">
        <f t="shared" ca="1" si="39"/>
        <v>386</v>
      </c>
      <c r="J214" s="23">
        <f t="shared" ca="1" si="40"/>
        <v>630</v>
      </c>
      <c r="K214" s="23">
        <f t="shared" ca="1" si="41"/>
        <v>1016</v>
      </c>
      <c r="L214" s="23">
        <f t="shared" ca="1" si="34"/>
        <v>64360</v>
      </c>
    </row>
    <row r="215" spans="3:12">
      <c r="C215" s="23">
        <f t="shared" si="32"/>
        <v>420</v>
      </c>
      <c r="D215" s="23">
        <f t="shared" si="33"/>
        <v>168</v>
      </c>
      <c r="E215" s="23">
        <f t="shared" si="35"/>
        <v>252</v>
      </c>
      <c r="F215" s="23">
        <f t="shared" si="36"/>
        <v>700</v>
      </c>
      <c r="G215" s="23">
        <f t="shared" ca="1" si="37"/>
        <v>223</v>
      </c>
      <c r="H215" s="23">
        <f t="shared" ca="1" si="38"/>
        <v>586</v>
      </c>
      <c r="I215" s="23">
        <f t="shared" ca="1" si="39"/>
        <v>391</v>
      </c>
      <c r="J215" s="23">
        <f t="shared" ca="1" si="40"/>
        <v>586</v>
      </c>
      <c r="K215" s="23">
        <f t="shared" ca="1" si="41"/>
        <v>977</v>
      </c>
      <c r="L215" s="23">
        <f t="shared" ca="1" si="34"/>
        <v>59095</v>
      </c>
    </row>
    <row r="216" spans="3:12">
      <c r="C216" s="23">
        <f t="shared" si="32"/>
        <v>420</v>
      </c>
      <c r="D216" s="23">
        <f t="shared" si="33"/>
        <v>168</v>
      </c>
      <c r="E216" s="23">
        <f t="shared" si="35"/>
        <v>252</v>
      </c>
      <c r="F216" s="23">
        <f t="shared" si="36"/>
        <v>700</v>
      </c>
      <c r="G216" s="23">
        <f t="shared" ca="1" si="37"/>
        <v>208</v>
      </c>
      <c r="H216" s="23">
        <f t="shared" ca="1" si="38"/>
        <v>637</v>
      </c>
      <c r="I216" s="23">
        <f t="shared" ca="1" si="39"/>
        <v>376</v>
      </c>
      <c r="J216" s="23">
        <f t="shared" ca="1" si="40"/>
        <v>637</v>
      </c>
      <c r="K216" s="23">
        <f t="shared" ca="1" si="41"/>
        <v>1013</v>
      </c>
      <c r="L216" s="23">
        <f t="shared" ca="1" si="34"/>
        <v>63955</v>
      </c>
    </row>
    <row r="217" spans="3:12">
      <c r="C217" s="23">
        <f t="shared" si="32"/>
        <v>420</v>
      </c>
      <c r="D217" s="23">
        <f t="shared" si="33"/>
        <v>168</v>
      </c>
      <c r="E217" s="23">
        <f t="shared" si="35"/>
        <v>252</v>
      </c>
      <c r="F217" s="23">
        <f t="shared" si="36"/>
        <v>700</v>
      </c>
      <c r="G217" s="23">
        <f t="shared" ca="1" si="37"/>
        <v>152</v>
      </c>
      <c r="H217" s="23">
        <f t="shared" ca="1" si="38"/>
        <v>696</v>
      </c>
      <c r="I217" s="23">
        <f t="shared" ca="1" si="39"/>
        <v>320</v>
      </c>
      <c r="J217" s="23">
        <f t="shared" ca="1" si="40"/>
        <v>696</v>
      </c>
      <c r="K217" s="23">
        <f t="shared" ca="1" si="41"/>
        <v>1016</v>
      </c>
      <c r="L217" s="23">
        <f t="shared" ca="1" si="34"/>
        <v>64360</v>
      </c>
    </row>
    <row r="218" spans="3:12">
      <c r="C218" s="23">
        <f t="shared" si="32"/>
        <v>420</v>
      </c>
      <c r="D218" s="23">
        <f t="shared" si="33"/>
        <v>168</v>
      </c>
      <c r="E218" s="23">
        <f t="shared" si="35"/>
        <v>252</v>
      </c>
      <c r="F218" s="23">
        <f t="shared" si="36"/>
        <v>700</v>
      </c>
      <c r="G218" s="23">
        <f t="shared" ca="1" si="37"/>
        <v>188</v>
      </c>
      <c r="H218" s="23">
        <f t="shared" ca="1" si="38"/>
        <v>652</v>
      </c>
      <c r="I218" s="23">
        <f t="shared" ca="1" si="39"/>
        <v>356</v>
      </c>
      <c r="J218" s="23">
        <f t="shared" ca="1" si="40"/>
        <v>652</v>
      </c>
      <c r="K218" s="23">
        <f t="shared" ca="1" si="41"/>
        <v>1008</v>
      </c>
      <c r="L218" s="23">
        <f t="shared" ca="1" si="34"/>
        <v>63280</v>
      </c>
    </row>
    <row r="219" spans="3:12">
      <c r="C219" s="23">
        <f t="shared" si="32"/>
        <v>420</v>
      </c>
      <c r="D219" s="23">
        <f t="shared" si="33"/>
        <v>168</v>
      </c>
      <c r="E219" s="23">
        <f t="shared" si="35"/>
        <v>252</v>
      </c>
      <c r="F219" s="23">
        <f t="shared" si="36"/>
        <v>700</v>
      </c>
      <c r="G219" s="23">
        <f t="shared" ca="1" si="37"/>
        <v>197</v>
      </c>
      <c r="H219" s="23">
        <f t="shared" ca="1" si="38"/>
        <v>703</v>
      </c>
      <c r="I219" s="23">
        <f t="shared" ca="1" si="39"/>
        <v>365</v>
      </c>
      <c r="J219" s="23">
        <f t="shared" ca="1" si="40"/>
        <v>703</v>
      </c>
      <c r="K219" s="23">
        <f t="shared" ca="1" si="41"/>
        <v>1068</v>
      </c>
      <c r="L219" s="23">
        <f t="shared" ca="1" si="34"/>
        <v>71380</v>
      </c>
    </row>
    <row r="220" spans="3:12">
      <c r="C220" s="23">
        <f t="shared" si="32"/>
        <v>420</v>
      </c>
      <c r="D220" s="23">
        <f t="shared" si="33"/>
        <v>168</v>
      </c>
      <c r="E220" s="23">
        <f t="shared" si="35"/>
        <v>252</v>
      </c>
      <c r="F220" s="23">
        <f t="shared" si="36"/>
        <v>700</v>
      </c>
      <c r="G220" s="23">
        <f t="shared" ca="1" si="37"/>
        <v>211</v>
      </c>
      <c r="H220" s="23">
        <f t="shared" ca="1" si="38"/>
        <v>615</v>
      </c>
      <c r="I220" s="23">
        <f t="shared" ca="1" si="39"/>
        <v>379</v>
      </c>
      <c r="J220" s="23">
        <f t="shared" ca="1" si="40"/>
        <v>615</v>
      </c>
      <c r="K220" s="23">
        <f t="shared" ca="1" si="41"/>
        <v>994</v>
      </c>
      <c r="L220" s="23">
        <f t="shared" ca="1" si="34"/>
        <v>61390</v>
      </c>
    </row>
    <row r="221" spans="3:12">
      <c r="C221" s="23">
        <f t="shared" si="32"/>
        <v>420</v>
      </c>
      <c r="D221" s="23">
        <f t="shared" si="33"/>
        <v>168</v>
      </c>
      <c r="E221" s="23">
        <f t="shared" si="35"/>
        <v>252</v>
      </c>
      <c r="F221" s="23">
        <f t="shared" si="36"/>
        <v>700</v>
      </c>
      <c r="G221" s="23">
        <f t="shared" ca="1" si="37"/>
        <v>198</v>
      </c>
      <c r="H221" s="23">
        <f t="shared" ca="1" si="38"/>
        <v>780</v>
      </c>
      <c r="I221" s="23">
        <f t="shared" ca="1" si="39"/>
        <v>366</v>
      </c>
      <c r="J221" s="23">
        <f t="shared" ca="1" si="40"/>
        <v>754</v>
      </c>
      <c r="K221" s="23">
        <f t="shared" ca="1" si="41"/>
        <v>1120</v>
      </c>
      <c r="L221" s="23">
        <f t="shared" ca="1" si="34"/>
        <v>78400</v>
      </c>
    </row>
    <row r="222" spans="3:12">
      <c r="C222" s="23">
        <f t="shared" si="32"/>
        <v>420</v>
      </c>
      <c r="D222" s="23">
        <f t="shared" si="33"/>
        <v>168</v>
      </c>
      <c r="E222" s="23">
        <f t="shared" si="35"/>
        <v>252</v>
      </c>
      <c r="F222" s="23">
        <f t="shared" si="36"/>
        <v>700</v>
      </c>
      <c r="G222" s="23">
        <f t="shared" ca="1" si="37"/>
        <v>234</v>
      </c>
      <c r="H222" s="23">
        <f t="shared" ca="1" si="38"/>
        <v>573</v>
      </c>
      <c r="I222" s="23">
        <f t="shared" ca="1" si="39"/>
        <v>402</v>
      </c>
      <c r="J222" s="23">
        <f t="shared" ca="1" si="40"/>
        <v>573</v>
      </c>
      <c r="K222" s="23">
        <f t="shared" ca="1" si="41"/>
        <v>975</v>
      </c>
      <c r="L222" s="23">
        <f t="shared" ca="1" si="34"/>
        <v>58825</v>
      </c>
    </row>
    <row r="223" spans="3:12">
      <c r="C223" s="23">
        <f t="shared" si="32"/>
        <v>420</v>
      </c>
      <c r="D223" s="23">
        <f t="shared" si="33"/>
        <v>168</v>
      </c>
      <c r="E223" s="23">
        <f t="shared" si="35"/>
        <v>252</v>
      </c>
      <c r="F223" s="23">
        <f t="shared" si="36"/>
        <v>700</v>
      </c>
      <c r="G223" s="23">
        <f t="shared" ca="1" si="37"/>
        <v>171</v>
      </c>
      <c r="H223" s="23">
        <f t="shared" ca="1" si="38"/>
        <v>664</v>
      </c>
      <c r="I223" s="23">
        <f t="shared" ca="1" si="39"/>
        <v>339</v>
      </c>
      <c r="J223" s="23">
        <f t="shared" ca="1" si="40"/>
        <v>664</v>
      </c>
      <c r="K223" s="23">
        <f t="shared" ca="1" si="41"/>
        <v>1003</v>
      </c>
      <c r="L223" s="23">
        <f t="shared" ca="1" si="34"/>
        <v>62605</v>
      </c>
    </row>
    <row r="224" spans="3:12">
      <c r="C224" s="23">
        <f t="shared" si="32"/>
        <v>420</v>
      </c>
      <c r="D224" s="23">
        <f t="shared" si="33"/>
        <v>168</v>
      </c>
      <c r="E224" s="23">
        <f t="shared" si="35"/>
        <v>252</v>
      </c>
      <c r="F224" s="23">
        <f t="shared" si="36"/>
        <v>700</v>
      </c>
      <c r="G224" s="23">
        <f t="shared" ca="1" si="37"/>
        <v>210</v>
      </c>
      <c r="H224" s="23">
        <f t="shared" ca="1" si="38"/>
        <v>558</v>
      </c>
      <c r="I224" s="23">
        <f t="shared" ca="1" si="39"/>
        <v>378</v>
      </c>
      <c r="J224" s="23">
        <f t="shared" ca="1" si="40"/>
        <v>558</v>
      </c>
      <c r="K224" s="23">
        <f t="shared" ca="1" si="41"/>
        <v>936</v>
      </c>
      <c r="L224" s="23">
        <f t="shared" ca="1" si="34"/>
        <v>53560</v>
      </c>
    </row>
    <row r="225" spans="3:12">
      <c r="C225" s="23">
        <f t="shared" si="32"/>
        <v>420</v>
      </c>
      <c r="D225" s="23">
        <f t="shared" si="33"/>
        <v>168</v>
      </c>
      <c r="E225" s="23">
        <f t="shared" si="35"/>
        <v>252</v>
      </c>
      <c r="F225" s="23">
        <f t="shared" si="36"/>
        <v>700</v>
      </c>
      <c r="G225" s="23">
        <f t="shared" ca="1" si="37"/>
        <v>192</v>
      </c>
      <c r="H225" s="23">
        <f t="shared" ca="1" si="38"/>
        <v>581</v>
      </c>
      <c r="I225" s="23">
        <f t="shared" ca="1" si="39"/>
        <v>360</v>
      </c>
      <c r="J225" s="23">
        <f t="shared" ca="1" si="40"/>
        <v>581</v>
      </c>
      <c r="K225" s="23">
        <f t="shared" ca="1" si="41"/>
        <v>941</v>
      </c>
      <c r="L225" s="23">
        <f t="shared" ca="1" si="34"/>
        <v>54235</v>
      </c>
    </row>
    <row r="226" spans="3:12">
      <c r="C226" s="23">
        <f t="shared" si="32"/>
        <v>420</v>
      </c>
      <c r="D226" s="23">
        <f t="shared" si="33"/>
        <v>168</v>
      </c>
      <c r="E226" s="23">
        <f t="shared" si="35"/>
        <v>252</v>
      </c>
      <c r="F226" s="23">
        <f t="shared" si="36"/>
        <v>700</v>
      </c>
      <c r="G226" s="23">
        <f t="shared" ca="1" si="37"/>
        <v>254</v>
      </c>
      <c r="H226" s="23">
        <f t="shared" ca="1" si="38"/>
        <v>556</v>
      </c>
      <c r="I226" s="23">
        <f t="shared" ca="1" si="39"/>
        <v>420</v>
      </c>
      <c r="J226" s="23">
        <f t="shared" ca="1" si="40"/>
        <v>556</v>
      </c>
      <c r="K226" s="23">
        <f t="shared" ca="1" si="41"/>
        <v>976</v>
      </c>
      <c r="L226" s="23">
        <f t="shared" ca="1" si="34"/>
        <v>58960</v>
      </c>
    </row>
    <row r="227" spans="3:12">
      <c r="C227" s="23">
        <f t="shared" si="32"/>
        <v>420</v>
      </c>
      <c r="D227" s="23">
        <f t="shared" si="33"/>
        <v>168</v>
      </c>
      <c r="E227" s="23">
        <f t="shared" si="35"/>
        <v>252</v>
      </c>
      <c r="F227" s="23">
        <f t="shared" si="36"/>
        <v>700</v>
      </c>
      <c r="G227" s="23">
        <f t="shared" ca="1" si="37"/>
        <v>197</v>
      </c>
      <c r="H227" s="23">
        <f t="shared" ca="1" si="38"/>
        <v>732</v>
      </c>
      <c r="I227" s="23">
        <f t="shared" ca="1" si="39"/>
        <v>365</v>
      </c>
      <c r="J227" s="23">
        <f t="shared" ca="1" si="40"/>
        <v>732</v>
      </c>
      <c r="K227" s="23">
        <f t="shared" ca="1" si="41"/>
        <v>1097</v>
      </c>
      <c r="L227" s="23">
        <f t="shared" ca="1" si="34"/>
        <v>75295</v>
      </c>
    </row>
    <row r="228" spans="3:12">
      <c r="C228" s="23">
        <f t="shared" si="32"/>
        <v>420</v>
      </c>
      <c r="D228" s="23">
        <f t="shared" si="33"/>
        <v>168</v>
      </c>
      <c r="E228" s="23">
        <f t="shared" si="35"/>
        <v>252</v>
      </c>
      <c r="F228" s="23">
        <f t="shared" si="36"/>
        <v>700</v>
      </c>
      <c r="G228" s="23">
        <f t="shared" ca="1" si="37"/>
        <v>211</v>
      </c>
      <c r="H228" s="23">
        <f t="shared" ca="1" si="38"/>
        <v>709</v>
      </c>
      <c r="I228" s="23">
        <f t="shared" ca="1" si="39"/>
        <v>379</v>
      </c>
      <c r="J228" s="23">
        <f t="shared" ca="1" si="40"/>
        <v>709</v>
      </c>
      <c r="K228" s="23">
        <f t="shared" ca="1" si="41"/>
        <v>1088</v>
      </c>
      <c r="L228" s="23">
        <f t="shared" ca="1" si="34"/>
        <v>74080</v>
      </c>
    </row>
    <row r="229" spans="3:12">
      <c r="C229" s="23">
        <f t="shared" si="32"/>
        <v>420</v>
      </c>
      <c r="D229" s="23">
        <f t="shared" si="33"/>
        <v>168</v>
      </c>
      <c r="E229" s="23">
        <f t="shared" si="35"/>
        <v>252</v>
      </c>
      <c r="F229" s="23">
        <f t="shared" si="36"/>
        <v>700</v>
      </c>
      <c r="G229" s="23">
        <f t="shared" ca="1" si="37"/>
        <v>193</v>
      </c>
      <c r="H229" s="23">
        <f t="shared" ca="1" si="38"/>
        <v>652</v>
      </c>
      <c r="I229" s="23">
        <f t="shared" ca="1" si="39"/>
        <v>361</v>
      </c>
      <c r="J229" s="23">
        <f t="shared" ca="1" si="40"/>
        <v>652</v>
      </c>
      <c r="K229" s="23">
        <f t="shared" ca="1" si="41"/>
        <v>1013</v>
      </c>
      <c r="L229" s="23">
        <f t="shared" ca="1" si="34"/>
        <v>63955</v>
      </c>
    </row>
    <row r="230" spans="3:12">
      <c r="C230" s="23">
        <f t="shared" si="32"/>
        <v>420</v>
      </c>
      <c r="D230" s="23">
        <f t="shared" si="33"/>
        <v>168</v>
      </c>
      <c r="E230" s="23">
        <f t="shared" si="35"/>
        <v>252</v>
      </c>
      <c r="F230" s="23">
        <f t="shared" si="36"/>
        <v>700</v>
      </c>
      <c r="G230" s="23">
        <f t="shared" ca="1" si="37"/>
        <v>228</v>
      </c>
      <c r="H230" s="23">
        <f t="shared" ca="1" si="38"/>
        <v>709</v>
      </c>
      <c r="I230" s="23">
        <f t="shared" ca="1" si="39"/>
        <v>396</v>
      </c>
      <c r="J230" s="23">
        <f t="shared" ca="1" si="40"/>
        <v>709</v>
      </c>
      <c r="K230" s="23">
        <f t="shared" ca="1" si="41"/>
        <v>1105</v>
      </c>
      <c r="L230" s="23">
        <f t="shared" ca="1" si="34"/>
        <v>76375</v>
      </c>
    </row>
    <row r="231" spans="3:12">
      <c r="C231" s="23">
        <f t="shared" si="32"/>
        <v>420</v>
      </c>
      <c r="D231" s="23">
        <f t="shared" si="33"/>
        <v>168</v>
      </c>
      <c r="E231" s="23">
        <f t="shared" si="35"/>
        <v>252</v>
      </c>
      <c r="F231" s="23">
        <f t="shared" si="36"/>
        <v>700</v>
      </c>
      <c r="G231" s="23">
        <f t="shared" ca="1" si="37"/>
        <v>226</v>
      </c>
      <c r="H231" s="23">
        <f t="shared" ca="1" si="38"/>
        <v>730</v>
      </c>
      <c r="I231" s="23">
        <f t="shared" ca="1" si="39"/>
        <v>394</v>
      </c>
      <c r="J231" s="23">
        <f t="shared" ca="1" si="40"/>
        <v>726</v>
      </c>
      <c r="K231" s="23">
        <f t="shared" ca="1" si="41"/>
        <v>1120</v>
      </c>
      <c r="L231" s="23">
        <f t="shared" ca="1" si="34"/>
        <v>78400</v>
      </c>
    </row>
    <row r="232" spans="3:12">
      <c r="C232" s="23">
        <f t="shared" si="32"/>
        <v>420</v>
      </c>
      <c r="D232" s="23">
        <f t="shared" si="33"/>
        <v>168</v>
      </c>
      <c r="E232" s="23">
        <f t="shared" si="35"/>
        <v>252</v>
      </c>
      <c r="F232" s="23">
        <f t="shared" si="36"/>
        <v>700</v>
      </c>
      <c r="G232" s="23">
        <f t="shared" ca="1" si="37"/>
        <v>206</v>
      </c>
      <c r="H232" s="23">
        <f t="shared" ca="1" si="38"/>
        <v>733</v>
      </c>
      <c r="I232" s="23">
        <f t="shared" ca="1" si="39"/>
        <v>374</v>
      </c>
      <c r="J232" s="23">
        <f t="shared" ca="1" si="40"/>
        <v>733</v>
      </c>
      <c r="K232" s="23">
        <f t="shared" ca="1" si="41"/>
        <v>1107</v>
      </c>
      <c r="L232" s="23">
        <f t="shared" ca="1" si="34"/>
        <v>76645</v>
      </c>
    </row>
    <row r="233" spans="3:12">
      <c r="C233" s="23">
        <f t="shared" si="32"/>
        <v>420</v>
      </c>
      <c r="D233" s="23">
        <f t="shared" si="33"/>
        <v>168</v>
      </c>
      <c r="E233" s="23">
        <f t="shared" si="35"/>
        <v>252</v>
      </c>
      <c r="F233" s="23">
        <f t="shared" si="36"/>
        <v>700</v>
      </c>
      <c r="G233" s="23">
        <f t="shared" ca="1" si="37"/>
        <v>227</v>
      </c>
      <c r="H233" s="23">
        <f t="shared" ca="1" si="38"/>
        <v>538</v>
      </c>
      <c r="I233" s="23">
        <f t="shared" ca="1" si="39"/>
        <v>395</v>
      </c>
      <c r="J233" s="23">
        <f t="shared" ca="1" si="40"/>
        <v>538</v>
      </c>
      <c r="K233" s="23">
        <f t="shared" ca="1" si="41"/>
        <v>933</v>
      </c>
      <c r="L233" s="23">
        <f t="shared" ca="1" si="34"/>
        <v>53155</v>
      </c>
    </row>
    <row r="234" spans="3:12">
      <c r="C234" s="23">
        <f t="shared" si="32"/>
        <v>420</v>
      </c>
      <c r="D234" s="23">
        <f t="shared" si="33"/>
        <v>168</v>
      </c>
      <c r="E234" s="23">
        <f t="shared" si="35"/>
        <v>252</v>
      </c>
      <c r="F234" s="23">
        <f t="shared" si="36"/>
        <v>700</v>
      </c>
      <c r="G234" s="23">
        <f t="shared" ca="1" si="37"/>
        <v>201</v>
      </c>
      <c r="H234" s="23">
        <f t="shared" ca="1" si="38"/>
        <v>628</v>
      </c>
      <c r="I234" s="23">
        <f t="shared" ca="1" si="39"/>
        <v>369</v>
      </c>
      <c r="J234" s="23">
        <f t="shared" ca="1" si="40"/>
        <v>628</v>
      </c>
      <c r="K234" s="23">
        <f t="shared" ca="1" si="41"/>
        <v>997</v>
      </c>
      <c r="L234" s="23">
        <f t="shared" ca="1" si="34"/>
        <v>61795</v>
      </c>
    </row>
    <row r="235" spans="3:12">
      <c r="C235" s="23">
        <f t="shared" si="32"/>
        <v>420</v>
      </c>
      <c r="D235" s="23">
        <f t="shared" si="33"/>
        <v>168</v>
      </c>
      <c r="E235" s="23">
        <f t="shared" si="35"/>
        <v>252</v>
      </c>
      <c r="F235" s="23">
        <f t="shared" si="36"/>
        <v>700</v>
      </c>
      <c r="G235" s="23">
        <f t="shared" ca="1" si="37"/>
        <v>256</v>
      </c>
      <c r="H235" s="23">
        <f t="shared" ca="1" si="38"/>
        <v>705</v>
      </c>
      <c r="I235" s="23">
        <f t="shared" ca="1" si="39"/>
        <v>420</v>
      </c>
      <c r="J235" s="23">
        <f t="shared" ca="1" si="40"/>
        <v>700</v>
      </c>
      <c r="K235" s="23">
        <f t="shared" ca="1" si="41"/>
        <v>1120</v>
      </c>
      <c r="L235" s="23">
        <f t="shared" ca="1" si="34"/>
        <v>78400</v>
      </c>
    </row>
    <row r="236" spans="3:12">
      <c r="C236" s="23">
        <f t="shared" si="32"/>
        <v>420</v>
      </c>
      <c r="D236" s="23">
        <f t="shared" si="33"/>
        <v>168</v>
      </c>
      <c r="E236" s="23">
        <f t="shared" si="35"/>
        <v>252</v>
      </c>
      <c r="F236" s="23">
        <f t="shared" si="36"/>
        <v>700</v>
      </c>
      <c r="G236" s="23">
        <f t="shared" ca="1" si="37"/>
        <v>245</v>
      </c>
      <c r="H236" s="23">
        <f t="shared" ca="1" si="38"/>
        <v>625</v>
      </c>
      <c r="I236" s="23">
        <f t="shared" ca="1" si="39"/>
        <v>413</v>
      </c>
      <c r="J236" s="23">
        <f t="shared" ca="1" si="40"/>
        <v>625</v>
      </c>
      <c r="K236" s="23">
        <f t="shared" ca="1" si="41"/>
        <v>1038</v>
      </c>
      <c r="L236" s="23">
        <f t="shared" ca="1" si="34"/>
        <v>67330</v>
      </c>
    </row>
    <row r="237" spans="3:12">
      <c r="C237" s="23">
        <f t="shared" si="32"/>
        <v>420</v>
      </c>
      <c r="D237" s="23">
        <f t="shared" si="33"/>
        <v>168</v>
      </c>
      <c r="E237" s="23">
        <f t="shared" si="35"/>
        <v>252</v>
      </c>
      <c r="F237" s="23">
        <f t="shared" si="36"/>
        <v>700</v>
      </c>
      <c r="G237" s="23">
        <f t="shared" ca="1" si="37"/>
        <v>266</v>
      </c>
      <c r="H237" s="23">
        <f t="shared" ca="1" si="38"/>
        <v>665</v>
      </c>
      <c r="I237" s="23">
        <f t="shared" ca="1" si="39"/>
        <v>420</v>
      </c>
      <c r="J237" s="23">
        <f t="shared" ca="1" si="40"/>
        <v>665</v>
      </c>
      <c r="K237" s="23">
        <f t="shared" ca="1" si="41"/>
        <v>1085</v>
      </c>
      <c r="L237" s="23">
        <f t="shared" ca="1" si="34"/>
        <v>73675</v>
      </c>
    </row>
    <row r="238" spans="3:12">
      <c r="C238" s="23">
        <f t="shared" si="32"/>
        <v>420</v>
      </c>
      <c r="D238" s="23">
        <f t="shared" si="33"/>
        <v>168</v>
      </c>
      <c r="E238" s="23">
        <f t="shared" si="35"/>
        <v>252</v>
      </c>
      <c r="F238" s="23">
        <f t="shared" si="36"/>
        <v>700</v>
      </c>
      <c r="G238" s="23">
        <f t="shared" ca="1" si="37"/>
        <v>227</v>
      </c>
      <c r="H238" s="23">
        <f t="shared" ca="1" si="38"/>
        <v>733</v>
      </c>
      <c r="I238" s="23">
        <f t="shared" ca="1" si="39"/>
        <v>395</v>
      </c>
      <c r="J238" s="23">
        <f t="shared" ca="1" si="40"/>
        <v>725</v>
      </c>
      <c r="K238" s="23">
        <f t="shared" ca="1" si="41"/>
        <v>1120</v>
      </c>
      <c r="L238" s="23">
        <f t="shared" ca="1" si="34"/>
        <v>78400</v>
      </c>
    </row>
    <row r="239" spans="3:12">
      <c r="C239" s="23">
        <f t="shared" si="32"/>
        <v>420</v>
      </c>
      <c r="D239" s="23">
        <f t="shared" si="33"/>
        <v>168</v>
      </c>
      <c r="E239" s="23">
        <f t="shared" si="35"/>
        <v>252</v>
      </c>
      <c r="F239" s="23">
        <f t="shared" si="36"/>
        <v>700</v>
      </c>
      <c r="G239" s="23">
        <f t="shared" ca="1" si="37"/>
        <v>232</v>
      </c>
      <c r="H239" s="23">
        <f t="shared" ca="1" si="38"/>
        <v>665</v>
      </c>
      <c r="I239" s="23">
        <f t="shared" ca="1" si="39"/>
        <v>400</v>
      </c>
      <c r="J239" s="23">
        <f t="shared" ca="1" si="40"/>
        <v>665</v>
      </c>
      <c r="K239" s="23">
        <f t="shared" ca="1" si="41"/>
        <v>1065</v>
      </c>
      <c r="L239" s="23">
        <f t="shared" ca="1" si="34"/>
        <v>70975</v>
      </c>
    </row>
    <row r="240" spans="3:12">
      <c r="C240" s="23">
        <f t="shared" si="32"/>
        <v>420</v>
      </c>
      <c r="D240" s="23">
        <f t="shared" si="33"/>
        <v>168</v>
      </c>
      <c r="E240" s="23">
        <f t="shared" si="35"/>
        <v>252</v>
      </c>
      <c r="F240" s="23">
        <f t="shared" si="36"/>
        <v>700</v>
      </c>
      <c r="G240" s="23">
        <f t="shared" ca="1" si="37"/>
        <v>206</v>
      </c>
      <c r="H240" s="23">
        <f t="shared" ca="1" si="38"/>
        <v>612</v>
      </c>
      <c r="I240" s="23">
        <f t="shared" ca="1" si="39"/>
        <v>374</v>
      </c>
      <c r="J240" s="23">
        <f t="shared" ca="1" si="40"/>
        <v>612</v>
      </c>
      <c r="K240" s="23">
        <f t="shared" ca="1" si="41"/>
        <v>986</v>
      </c>
      <c r="L240" s="23">
        <f t="shared" ca="1" si="34"/>
        <v>60310</v>
      </c>
    </row>
    <row r="241" spans="3:12">
      <c r="C241" s="23">
        <f t="shared" si="32"/>
        <v>420</v>
      </c>
      <c r="D241" s="23">
        <f t="shared" si="33"/>
        <v>168</v>
      </c>
      <c r="E241" s="23">
        <f t="shared" si="35"/>
        <v>252</v>
      </c>
      <c r="F241" s="23">
        <f t="shared" si="36"/>
        <v>700</v>
      </c>
      <c r="G241" s="23">
        <f t="shared" ca="1" si="37"/>
        <v>248</v>
      </c>
      <c r="H241" s="23">
        <f t="shared" ca="1" si="38"/>
        <v>586</v>
      </c>
      <c r="I241" s="23">
        <f t="shared" ca="1" si="39"/>
        <v>416</v>
      </c>
      <c r="J241" s="23">
        <f t="shared" ca="1" si="40"/>
        <v>586</v>
      </c>
      <c r="K241" s="23">
        <f t="shared" ca="1" si="41"/>
        <v>1002</v>
      </c>
      <c r="L241" s="23">
        <f t="shared" ca="1" si="34"/>
        <v>62470</v>
      </c>
    </row>
    <row r="242" spans="3:12">
      <c r="C242" s="23">
        <f t="shared" si="32"/>
        <v>420</v>
      </c>
      <c r="D242" s="23">
        <f t="shared" si="33"/>
        <v>168</v>
      </c>
      <c r="E242" s="23">
        <f t="shared" si="35"/>
        <v>252</v>
      </c>
      <c r="F242" s="23">
        <f t="shared" si="36"/>
        <v>700</v>
      </c>
      <c r="G242" s="23">
        <f t="shared" ca="1" si="37"/>
        <v>200</v>
      </c>
      <c r="H242" s="23">
        <f t="shared" ca="1" si="38"/>
        <v>582</v>
      </c>
      <c r="I242" s="23">
        <f t="shared" ca="1" si="39"/>
        <v>368</v>
      </c>
      <c r="J242" s="23">
        <f t="shared" ca="1" si="40"/>
        <v>582</v>
      </c>
      <c r="K242" s="23">
        <f t="shared" ca="1" si="41"/>
        <v>950</v>
      </c>
      <c r="L242" s="23">
        <f t="shared" ca="1" si="34"/>
        <v>55450</v>
      </c>
    </row>
    <row r="243" spans="3:12">
      <c r="C243" s="23">
        <f t="shared" si="32"/>
        <v>420</v>
      </c>
      <c r="D243" s="23">
        <f t="shared" si="33"/>
        <v>168</v>
      </c>
      <c r="E243" s="23">
        <f t="shared" si="35"/>
        <v>252</v>
      </c>
      <c r="F243" s="23">
        <f t="shared" si="36"/>
        <v>700</v>
      </c>
      <c r="G243" s="23">
        <f t="shared" ca="1" si="37"/>
        <v>251</v>
      </c>
      <c r="H243" s="23">
        <f t="shared" ca="1" si="38"/>
        <v>665</v>
      </c>
      <c r="I243" s="23">
        <f t="shared" ca="1" si="39"/>
        <v>419</v>
      </c>
      <c r="J243" s="23">
        <f t="shared" ca="1" si="40"/>
        <v>665</v>
      </c>
      <c r="K243" s="23">
        <f t="shared" ca="1" si="41"/>
        <v>1084</v>
      </c>
      <c r="L243" s="23">
        <f t="shared" ca="1" si="34"/>
        <v>73540</v>
      </c>
    </row>
    <row r="244" spans="3:12">
      <c r="C244" s="23">
        <f t="shared" si="32"/>
        <v>420</v>
      </c>
      <c r="D244" s="23">
        <f t="shared" si="33"/>
        <v>168</v>
      </c>
      <c r="E244" s="23">
        <f t="shared" si="35"/>
        <v>252</v>
      </c>
      <c r="F244" s="23">
        <f t="shared" si="36"/>
        <v>700</v>
      </c>
      <c r="G244" s="23">
        <f t="shared" ca="1" si="37"/>
        <v>232</v>
      </c>
      <c r="H244" s="23">
        <f t="shared" ca="1" si="38"/>
        <v>715</v>
      </c>
      <c r="I244" s="23">
        <f t="shared" ca="1" si="39"/>
        <v>400</v>
      </c>
      <c r="J244" s="23">
        <f t="shared" ca="1" si="40"/>
        <v>715</v>
      </c>
      <c r="K244" s="23">
        <f t="shared" ca="1" si="41"/>
        <v>1115</v>
      </c>
      <c r="L244" s="23">
        <f t="shared" ca="1" si="34"/>
        <v>77725</v>
      </c>
    </row>
    <row r="245" spans="3:12">
      <c r="C245" s="23">
        <f t="shared" si="32"/>
        <v>420</v>
      </c>
      <c r="D245" s="23">
        <f t="shared" si="33"/>
        <v>168</v>
      </c>
      <c r="E245" s="23">
        <f t="shared" si="35"/>
        <v>252</v>
      </c>
      <c r="F245" s="23">
        <f t="shared" si="36"/>
        <v>700</v>
      </c>
      <c r="G245" s="23">
        <f t="shared" ca="1" si="37"/>
        <v>233</v>
      </c>
      <c r="H245" s="23">
        <f t="shared" ca="1" si="38"/>
        <v>634</v>
      </c>
      <c r="I245" s="23">
        <f t="shared" ca="1" si="39"/>
        <v>401</v>
      </c>
      <c r="J245" s="23">
        <f t="shared" ca="1" si="40"/>
        <v>634</v>
      </c>
      <c r="K245" s="23">
        <f t="shared" ca="1" si="41"/>
        <v>1035</v>
      </c>
      <c r="L245" s="23">
        <f t="shared" ca="1" si="34"/>
        <v>66925</v>
      </c>
    </row>
    <row r="246" spans="3:12">
      <c r="C246" s="23">
        <f t="shared" si="32"/>
        <v>420</v>
      </c>
      <c r="D246" s="23">
        <f t="shared" si="33"/>
        <v>168</v>
      </c>
      <c r="E246" s="23">
        <f t="shared" si="35"/>
        <v>252</v>
      </c>
      <c r="F246" s="23">
        <f t="shared" si="36"/>
        <v>700</v>
      </c>
      <c r="G246" s="23">
        <f t="shared" ca="1" si="37"/>
        <v>263</v>
      </c>
      <c r="H246" s="23">
        <f t="shared" ca="1" si="38"/>
        <v>568</v>
      </c>
      <c r="I246" s="23">
        <f t="shared" ca="1" si="39"/>
        <v>420</v>
      </c>
      <c r="J246" s="23">
        <f t="shared" ca="1" si="40"/>
        <v>568</v>
      </c>
      <c r="K246" s="23">
        <f t="shared" ca="1" si="41"/>
        <v>988</v>
      </c>
      <c r="L246" s="23">
        <f t="shared" ca="1" si="34"/>
        <v>60580</v>
      </c>
    </row>
    <row r="247" spans="3:12">
      <c r="C247" s="23">
        <f t="shared" si="32"/>
        <v>420</v>
      </c>
      <c r="D247" s="23">
        <f t="shared" si="33"/>
        <v>168</v>
      </c>
      <c r="E247" s="23">
        <f t="shared" si="35"/>
        <v>252</v>
      </c>
      <c r="F247" s="23">
        <f t="shared" si="36"/>
        <v>700</v>
      </c>
      <c r="G247" s="23">
        <f t="shared" ca="1" si="37"/>
        <v>205</v>
      </c>
      <c r="H247" s="23">
        <f t="shared" ca="1" si="38"/>
        <v>717</v>
      </c>
      <c r="I247" s="23">
        <f t="shared" ca="1" si="39"/>
        <v>373</v>
      </c>
      <c r="J247" s="23">
        <f t="shared" ca="1" si="40"/>
        <v>717</v>
      </c>
      <c r="K247" s="23">
        <f t="shared" ca="1" si="41"/>
        <v>1090</v>
      </c>
      <c r="L247" s="23">
        <f t="shared" ca="1" si="34"/>
        <v>74350</v>
      </c>
    </row>
    <row r="248" spans="3:12">
      <c r="C248" s="23">
        <f t="shared" si="32"/>
        <v>420</v>
      </c>
      <c r="D248" s="23">
        <f t="shared" si="33"/>
        <v>168</v>
      </c>
      <c r="E248" s="23">
        <f t="shared" si="35"/>
        <v>252</v>
      </c>
      <c r="F248" s="23">
        <f t="shared" si="36"/>
        <v>700</v>
      </c>
      <c r="G248" s="23">
        <f t="shared" ca="1" si="37"/>
        <v>201</v>
      </c>
      <c r="H248" s="23">
        <f t="shared" ca="1" si="38"/>
        <v>666</v>
      </c>
      <c r="I248" s="23">
        <f t="shared" ca="1" si="39"/>
        <v>369</v>
      </c>
      <c r="J248" s="23">
        <f t="shared" ca="1" si="40"/>
        <v>666</v>
      </c>
      <c r="K248" s="23">
        <f t="shared" ca="1" si="41"/>
        <v>1035</v>
      </c>
      <c r="L248" s="23">
        <f t="shared" ca="1" si="34"/>
        <v>66925</v>
      </c>
    </row>
    <row r="249" spans="3:12">
      <c r="C249" s="23">
        <f t="shared" si="32"/>
        <v>420</v>
      </c>
      <c r="D249" s="23">
        <f t="shared" si="33"/>
        <v>168</v>
      </c>
      <c r="E249" s="23">
        <f t="shared" si="35"/>
        <v>252</v>
      </c>
      <c r="F249" s="23">
        <f t="shared" si="36"/>
        <v>700</v>
      </c>
      <c r="G249" s="23">
        <f t="shared" ca="1" si="37"/>
        <v>209</v>
      </c>
      <c r="H249" s="23">
        <f t="shared" ca="1" si="38"/>
        <v>658</v>
      </c>
      <c r="I249" s="23">
        <f t="shared" ca="1" si="39"/>
        <v>377</v>
      </c>
      <c r="J249" s="23">
        <f t="shared" ca="1" si="40"/>
        <v>658</v>
      </c>
      <c r="K249" s="23">
        <f t="shared" ca="1" si="41"/>
        <v>1035</v>
      </c>
      <c r="L249" s="23">
        <f t="shared" ca="1" si="34"/>
        <v>66925</v>
      </c>
    </row>
    <row r="250" spans="3:12">
      <c r="C250" s="23">
        <f t="shared" si="32"/>
        <v>420</v>
      </c>
      <c r="D250" s="23">
        <f t="shared" si="33"/>
        <v>168</v>
      </c>
      <c r="E250" s="23">
        <f t="shared" si="35"/>
        <v>252</v>
      </c>
      <c r="F250" s="23">
        <f t="shared" si="36"/>
        <v>700</v>
      </c>
      <c r="G250" s="23">
        <f t="shared" ca="1" si="37"/>
        <v>211</v>
      </c>
      <c r="H250" s="23">
        <f t="shared" ca="1" si="38"/>
        <v>880</v>
      </c>
      <c r="I250" s="23">
        <f t="shared" ca="1" si="39"/>
        <v>379</v>
      </c>
      <c r="J250" s="23">
        <f t="shared" ca="1" si="40"/>
        <v>741</v>
      </c>
      <c r="K250" s="23">
        <f t="shared" ca="1" si="41"/>
        <v>1120</v>
      </c>
      <c r="L250" s="23">
        <f t="shared" ca="1" si="34"/>
        <v>78400</v>
      </c>
    </row>
    <row r="251" spans="3:12">
      <c r="C251" s="23">
        <f t="shared" si="32"/>
        <v>420</v>
      </c>
      <c r="D251" s="23">
        <f t="shared" si="33"/>
        <v>168</v>
      </c>
      <c r="E251" s="23">
        <f t="shared" si="35"/>
        <v>252</v>
      </c>
      <c r="F251" s="23">
        <f t="shared" si="36"/>
        <v>700</v>
      </c>
      <c r="G251" s="23">
        <f t="shared" ca="1" si="37"/>
        <v>215</v>
      </c>
      <c r="H251" s="23">
        <f t="shared" ca="1" si="38"/>
        <v>616</v>
      </c>
      <c r="I251" s="23">
        <f t="shared" ca="1" si="39"/>
        <v>383</v>
      </c>
      <c r="J251" s="23">
        <f t="shared" ca="1" si="40"/>
        <v>616</v>
      </c>
      <c r="K251" s="23">
        <f t="shared" ca="1" si="41"/>
        <v>999</v>
      </c>
      <c r="L251" s="23">
        <f t="shared" ca="1" si="34"/>
        <v>62065</v>
      </c>
    </row>
    <row r="252" spans="3:12">
      <c r="C252" s="23">
        <f t="shared" si="32"/>
        <v>420</v>
      </c>
      <c r="D252" s="23">
        <f t="shared" si="33"/>
        <v>168</v>
      </c>
      <c r="E252" s="23">
        <f t="shared" si="35"/>
        <v>252</v>
      </c>
      <c r="F252" s="23">
        <f t="shared" si="36"/>
        <v>700</v>
      </c>
      <c r="G252" s="23">
        <f t="shared" ca="1" si="37"/>
        <v>230</v>
      </c>
      <c r="H252" s="23">
        <f t="shared" ca="1" si="38"/>
        <v>638</v>
      </c>
      <c r="I252" s="23">
        <f t="shared" ca="1" si="39"/>
        <v>398</v>
      </c>
      <c r="J252" s="23">
        <f t="shared" ca="1" si="40"/>
        <v>638</v>
      </c>
      <c r="K252" s="23">
        <f t="shared" ca="1" si="41"/>
        <v>1036</v>
      </c>
      <c r="L252" s="23">
        <f t="shared" ca="1" si="34"/>
        <v>67060</v>
      </c>
    </row>
    <row r="253" spans="3:12">
      <c r="C253" s="23">
        <f t="shared" si="32"/>
        <v>420</v>
      </c>
      <c r="D253" s="23">
        <f t="shared" si="33"/>
        <v>168</v>
      </c>
      <c r="E253" s="23">
        <f t="shared" si="35"/>
        <v>252</v>
      </c>
      <c r="F253" s="23">
        <f t="shared" si="36"/>
        <v>700</v>
      </c>
      <c r="G253" s="23">
        <f t="shared" ca="1" si="37"/>
        <v>212</v>
      </c>
      <c r="H253" s="23">
        <f t="shared" ca="1" si="38"/>
        <v>612</v>
      </c>
      <c r="I253" s="23">
        <f t="shared" ca="1" si="39"/>
        <v>380</v>
      </c>
      <c r="J253" s="23">
        <f t="shared" ca="1" si="40"/>
        <v>612</v>
      </c>
      <c r="K253" s="23">
        <f t="shared" ca="1" si="41"/>
        <v>992</v>
      </c>
      <c r="L253" s="23">
        <f t="shared" ca="1" si="34"/>
        <v>61120</v>
      </c>
    </row>
    <row r="254" spans="3:12">
      <c r="C254" s="23">
        <f t="shared" si="32"/>
        <v>420</v>
      </c>
      <c r="D254" s="23">
        <f t="shared" si="33"/>
        <v>168</v>
      </c>
      <c r="E254" s="23">
        <f t="shared" si="35"/>
        <v>252</v>
      </c>
      <c r="F254" s="23">
        <f t="shared" si="36"/>
        <v>700</v>
      </c>
      <c r="G254" s="23">
        <f t="shared" ca="1" si="37"/>
        <v>223</v>
      </c>
      <c r="H254" s="23">
        <f t="shared" ca="1" si="38"/>
        <v>677</v>
      </c>
      <c r="I254" s="23">
        <f t="shared" ca="1" si="39"/>
        <v>391</v>
      </c>
      <c r="J254" s="23">
        <f t="shared" ca="1" si="40"/>
        <v>677</v>
      </c>
      <c r="K254" s="23">
        <f t="shared" ca="1" si="41"/>
        <v>1068</v>
      </c>
      <c r="L254" s="23">
        <f t="shared" ca="1" si="34"/>
        <v>71380</v>
      </c>
    </row>
    <row r="255" spans="3:12">
      <c r="C255" s="23">
        <f t="shared" si="32"/>
        <v>420</v>
      </c>
      <c r="D255" s="23">
        <f t="shared" si="33"/>
        <v>168</v>
      </c>
      <c r="E255" s="23">
        <f t="shared" si="35"/>
        <v>252</v>
      </c>
      <c r="F255" s="23">
        <f t="shared" si="36"/>
        <v>700</v>
      </c>
      <c r="G255" s="23">
        <f t="shared" ca="1" si="37"/>
        <v>201</v>
      </c>
      <c r="H255" s="23">
        <f t="shared" ca="1" si="38"/>
        <v>655</v>
      </c>
      <c r="I255" s="23">
        <f t="shared" ca="1" si="39"/>
        <v>369</v>
      </c>
      <c r="J255" s="23">
        <f t="shared" ca="1" si="40"/>
        <v>655</v>
      </c>
      <c r="K255" s="23">
        <f t="shared" ca="1" si="41"/>
        <v>1024</v>
      </c>
      <c r="L255" s="23">
        <f t="shared" ca="1" si="34"/>
        <v>65440</v>
      </c>
    </row>
    <row r="256" spans="3:12">
      <c r="C256" s="23">
        <f t="shared" si="32"/>
        <v>420</v>
      </c>
      <c r="D256" s="23">
        <f t="shared" si="33"/>
        <v>168</v>
      </c>
      <c r="E256" s="23">
        <f t="shared" si="35"/>
        <v>252</v>
      </c>
      <c r="F256" s="23">
        <f t="shared" si="36"/>
        <v>700</v>
      </c>
      <c r="G256" s="23">
        <f t="shared" ca="1" si="37"/>
        <v>216</v>
      </c>
      <c r="H256" s="23">
        <f t="shared" ca="1" si="38"/>
        <v>734</v>
      </c>
      <c r="I256" s="23">
        <f t="shared" ca="1" si="39"/>
        <v>384</v>
      </c>
      <c r="J256" s="23">
        <f t="shared" ca="1" si="40"/>
        <v>734</v>
      </c>
      <c r="K256" s="23">
        <f t="shared" ca="1" si="41"/>
        <v>1118</v>
      </c>
      <c r="L256" s="23">
        <f t="shared" ca="1" si="34"/>
        <v>78130</v>
      </c>
    </row>
    <row r="257" spans="3:12">
      <c r="C257" s="23">
        <f t="shared" si="32"/>
        <v>420</v>
      </c>
      <c r="D257" s="23">
        <f t="shared" si="33"/>
        <v>168</v>
      </c>
      <c r="E257" s="23">
        <f t="shared" si="35"/>
        <v>252</v>
      </c>
      <c r="F257" s="23">
        <f t="shared" si="36"/>
        <v>700</v>
      </c>
      <c r="G257" s="23">
        <f t="shared" ca="1" si="37"/>
        <v>245</v>
      </c>
      <c r="H257" s="23">
        <f t="shared" ca="1" si="38"/>
        <v>704</v>
      </c>
      <c r="I257" s="23">
        <f t="shared" ca="1" si="39"/>
        <v>413</v>
      </c>
      <c r="J257" s="23">
        <f t="shared" ca="1" si="40"/>
        <v>704</v>
      </c>
      <c r="K257" s="23">
        <f t="shared" ca="1" si="41"/>
        <v>1117</v>
      </c>
      <c r="L257" s="23">
        <f t="shared" ca="1" si="34"/>
        <v>77995</v>
      </c>
    </row>
    <row r="258" spans="3:12">
      <c r="C258" s="23">
        <f t="shared" si="32"/>
        <v>420</v>
      </c>
      <c r="D258" s="23">
        <f t="shared" si="33"/>
        <v>168</v>
      </c>
      <c r="E258" s="23">
        <f t="shared" si="35"/>
        <v>252</v>
      </c>
      <c r="F258" s="23">
        <f t="shared" si="36"/>
        <v>700</v>
      </c>
      <c r="G258" s="23">
        <f t="shared" ca="1" si="37"/>
        <v>213</v>
      </c>
      <c r="H258" s="23">
        <f t="shared" ca="1" si="38"/>
        <v>697</v>
      </c>
      <c r="I258" s="23">
        <f t="shared" ca="1" si="39"/>
        <v>381</v>
      </c>
      <c r="J258" s="23">
        <f t="shared" ca="1" si="40"/>
        <v>697</v>
      </c>
      <c r="K258" s="23">
        <f t="shared" ca="1" si="41"/>
        <v>1078</v>
      </c>
      <c r="L258" s="23">
        <f t="shared" ca="1" si="34"/>
        <v>72730</v>
      </c>
    </row>
    <row r="259" spans="3:12">
      <c r="C259" s="23">
        <f t="shared" si="32"/>
        <v>420</v>
      </c>
      <c r="D259" s="23">
        <f t="shared" si="33"/>
        <v>168</v>
      </c>
      <c r="E259" s="23">
        <f t="shared" si="35"/>
        <v>252</v>
      </c>
      <c r="F259" s="23">
        <f t="shared" si="36"/>
        <v>700</v>
      </c>
      <c r="G259" s="23">
        <f t="shared" ca="1" si="37"/>
        <v>226</v>
      </c>
      <c r="H259" s="23">
        <f t="shared" ca="1" si="38"/>
        <v>661</v>
      </c>
      <c r="I259" s="23">
        <f t="shared" ca="1" si="39"/>
        <v>394</v>
      </c>
      <c r="J259" s="23">
        <f t="shared" ca="1" si="40"/>
        <v>661</v>
      </c>
      <c r="K259" s="23">
        <f t="shared" ca="1" si="41"/>
        <v>1055</v>
      </c>
      <c r="L259" s="23">
        <f t="shared" ca="1" si="34"/>
        <v>69625</v>
      </c>
    </row>
    <row r="260" spans="3:12">
      <c r="C260" s="23">
        <f t="shared" si="32"/>
        <v>420</v>
      </c>
      <c r="D260" s="23">
        <f t="shared" si="33"/>
        <v>168</v>
      </c>
      <c r="E260" s="23">
        <f t="shared" si="35"/>
        <v>252</v>
      </c>
      <c r="F260" s="23">
        <f t="shared" si="36"/>
        <v>700</v>
      </c>
      <c r="G260" s="23">
        <f t="shared" ca="1" si="37"/>
        <v>232</v>
      </c>
      <c r="H260" s="23">
        <f t="shared" ca="1" si="38"/>
        <v>694</v>
      </c>
      <c r="I260" s="23">
        <f t="shared" ca="1" si="39"/>
        <v>400</v>
      </c>
      <c r="J260" s="23">
        <f t="shared" ca="1" si="40"/>
        <v>694</v>
      </c>
      <c r="K260" s="23">
        <f t="shared" ca="1" si="41"/>
        <v>1094</v>
      </c>
      <c r="L260" s="23">
        <f t="shared" ca="1" si="34"/>
        <v>74890</v>
      </c>
    </row>
    <row r="261" spans="3:12">
      <c r="C261" s="23">
        <f t="shared" si="32"/>
        <v>420</v>
      </c>
      <c r="D261" s="23">
        <f t="shared" si="33"/>
        <v>168</v>
      </c>
      <c r="E261" s="23">
        <f t="shared" si="35"/>
        <v>252</v>
      </c>
      <c r="F261" s="23">
        <f t="shared" si="36"/>
        <v>700</v>
      </c>
      <c r="G261" s="23">
        <f t="shared" ca="1" si="37"/>
        <v>245</v>
      </c>
      <c r="H261" s="23">
        <f t="shared" ca="1" si="38"/>
        <v>724</v>
      </c>
      <c r="I261" s="23">
        <f t="shared" ca="1" si="39"/>
        <v>413</v>
      </c>
      <c r="J261" s="23">
        <f t="shared" ca="1" si="40"/>
        <v>707</v>
      </c>
      <c r="K261" s="23">
        <f t="shared" ca="1" si="41"/>
        <v>1120</v>
      </c>
      <c r="L261" s="23">
        <f t="shared" ca="1" si="34"/>
        <v>78400</v>
      </c>
    </row>
    <row r="262" spans="3:12">
      <c r="C262" s="23">
        <f t="shared" si="32"/>
        <v>420</v>
      </c>
      <c r="D262" s="23">
        <f t="shared" si="33"/>
        <v>168</v>
      </c>
      <c r="E262" s="23">
        <f t="shared" si="35"/>
        <v>252</v>
      </c>
      <c r="F262" s="23">
        <f t="shared" si="36"/>
        <v>700</v>
      </c>
      <c r="G262" s="23">
        <f t="shared" ca="1" si="37"/>
        <v>199</v>
      </c>
      <c r="H262" s="23">
        <f t="shared" ca="1" si="38"/>
        <v>660</v>
      </c>
      <c r="I262" s="23">
        <f t="shared" ca="1" si="39"/>
        <v>367</v>
      </c>
      <c r="J262" s="23">
        <f t="shared" ca="1" si="40"/>
        <v>660</v>
      </c>
      <c r="K262" s="23">
        <f t="shared" ca="1" si="41"/>
        <v>1027</v>
      </c>
      <c r="L262" s="23">
        <f t="shared" ca="1" si="34"/>
        <v>65845</v>
      </c>
    </row>
    <row r="263" spans="3:12">
      <c r="C263" s="23">
        <f t="shared" si="32"/>
        <v>420</v>
      </c>
      <c r="D263" s="23">
        <f t="shared" si="33"/>
        <v>168</v>
      </c>
      <c r="E263" s="23">
        <f t="shared" si="35"/>
        <v>252</v>
      </c>
      <c r="F263" s="23">
        <f t="shared" si="36"/>
        <v>700</v>
      </c>
      <c r="G263" s="23">
        <f t="shared" ca="1" si="37"/>
        <v>213</v>
      </c>
      <c r="H263" s="23">
        <f t="shared" ca="1" si="38"/>
        <v>612</v>
      </c>
      <c r="I263" s="23">
        <f t="shared" ca="1" si="39"/>
        <v>381</v>
      </c>
      <c r="J263" s="23">
        <f t="shared" ca="1" si="40"/>
        <v>612</v>
      </c>
      <c r="K263" s="23">
        <f t="shared" ca="1" si="41"/>
        <v>993</v>
      </c>
      <c r="L263" s="23">
        <f t="shared" ca="1" si="34"/>
        <v>61255</v>
      </c>
    </row>
    <row r="264" spans="3:12">
      <c r="C264" s="23">
        <f t="shared" si="32"/>
        <v>420</v>
      </c>
      <c r="D264" s="23">
        <f t="shared" si="33"/>
        <v>168</v>
      </c>
      <c r="E264" s="23">
        <f t="shared" si="35"/>
        <v>252</v>
      </c>
      <c r="F264" s="23">
        <f t="shared" si="36"/>
        <v>700</v>
      </c>
      <c r="G264" s="23">
        <f t="shared" ca="1" si="37"/>
        <v>189</v>
      </c>
      <c r="H264" s="23">
        <f t="shared" ca="1" si="38"/>
        <v>730</v>
      </c>
      <c r="I264" s="23">
        <f t="shared" ca="1" si="39"/>
        <v>357</v>
      </c>
      <c r="J264" s="23">
        <f t="shared" ca="1" si="40"/>
        <v>730</v>
      </c>
      <c r="K264" s="23">
        <f t="shared" ca="1" si="41"/>
        <v>1087</v>
      </c>
      <c r="L264" s="23">
        <f t="shared" ca="1" si="34"/>
        <v>73945</v>
      </c>
    </row>
    <row r="265" spans="3:12">
      <c r="C265" s="23">
        <f t="shared" si="32"/>
        <v>420</v>
      </c>
      <c r="D265" s="23">
        <f t="shared" si="33"/>
        <v>168</v>
      </c>
      <c r="E265" s="23">
        <f t="shared" si="35"/>
        <v>252</v>
      </c>
      <c r="F265" s="23">
        <f t="shared" si="36"/>
        <v>700</v>
      </c>
      <c r="G265" s="23">
        <f t="shared" ca="1" si="37"/>
        <v>215</v>
      </c>
      <c r="H265" s="23">
        <f t="shared" ca="1" si="38"/>
        <v>602</v>
      </c>
      <c r="I265" s="23">
        <f t="shared" ca="1" si="39"/>
        <v>383</v>
      </c>
      <c r="J265" s="23">
        <f t="shared" ca="1" si="40"/>
        <v>602</v>
      </c>
      <c r="K265" s="23">
        <f t="shared" ca="1" si="41"/>
        <v>985</v>
      </c>
      <c r="L265" s="23">
        <f t="shared" ca="1" si="34"/>
        <v>60175</v>
      </c>
    </row>
    <row r="266" spans="3:12">
      <c r="C266" s="23">
        <f t="shared" si="32"/>
        <v>420</v>
      </c>
      <c r="D266" s="23">
        <f t="shared" si="33"/>
        <v>168</v>
      </c>
      <c r="E266" s="23">
        <f t="shared" si="35"/>
        <v>252</v>
      </c>
      <c r="F266" s="23">
        <f t="shared" si="36"/>
        <v>700</v>
      </c>
      <c r="G266" s="23">
        <f t="shared" ca="1" si="37"/>
        <v>184</v>
      </c>
      <c r="H266" s="23">
        <f t="shared" ca="1" si="38"/>
        <v>603</v>
      </c>
      <c r="I266" s="23">
        <f t="shared" ca="1" si="39"/>
        <v>352</v>
      </c>
      <c r="J266" s="23">
        <f t="shared" ca="1" si="40"/>
        <v>603</v>
      </c>
      <c r="K266" s="23">
        <f t="shared" ca="1" si="41"/>
        <v>955</v>
      </c>
      <c r="L266" s="23">
        <f t="shared" ca="1" si="34"/>
        <v>56125</v>
      </c>
    </row>
    <row r="267" spans="3:12">
      <c r="C267" s="23">
        <f t="shared" si="32"/>
        <v>420</v>
      </c>
      <c r="D267" s="23">
        <f t="shared" si="33"/>
        <v>168</v>
      </c>
      <c r="E267" s="23">
        <f t="shared" si="35"/>
        <v>252</v>
      </c>
      <c r="F267" s="23">
        <f t="shared" si="36"/>
        <v>700</v>
      </c>
      <c r="G267" s="23">
        <f t="shared" ca="1" si="37"/>
        <v>221</v>
      </c>
      <c r="H267" s="23">
        <f t="shared" ca="1" si="38"/>
        <v>605</v>
      </c>
      <c r="I267" s="23">
        <f t="shared" ca="1" si="39"/>
        <v>389</v>
      </c>
      <c r="J267" s="23">
        <f t="shared" ca="1" si="40"/>
        <v>605</v>
      </c>
      <c r="K267" s="23">
        <f t="shared" ca="1" si="41"/>
        <v>994</v>
      </c>
      <c r="L267" s="23">
        <f t="shared" ca="1" si="34"/>
        <v>61390</v>
      </c>
    </row>
    <row r="268" spans="3:12">
      <c r="C268" s="23">
        <f t="shared" ref="C268:C331" si="42">$B$4</f>
        <v>420</v>
      </c>
      <c r="D268" s="23">
        <f t="shared" ref="D268:D331" si="43">$B$5</f>
        <v>168</v>
      </c>
      <c r="E268" s="23">
        <f t="shared" si="35"/>
        <v>252</v>
      </c>
      <c r="F268" s="23">
        <f t="shared" si="36"/>
        <v>700</v>
      </c>
      <c r="G268" s="23">
        <f t="shared" ca="1" si="37"/>
        <v>191</v>
      </c>
      <c r="H268" s="23">
        <f t="shared" ca="1" si="38"/>
        <v>589</v>
      </c>
      <c r="I268" s="23">
        <f t="shared" ca="1" si="39"/>
        <v>359</v>
      </c>
      <c r="J268" s="23">
        <f t="shared" ca="1" si="40"/>
        <v>589</v>
      </c>
      <c r="K268" s="23">
        <f t="shared" ca="1" si="41"/>
        <v>948</v>
      </c>
      <c r="L268" s="23">
        <f t="shared" ref="L268:L331" ca="1" si="44">K268*$B$2-(F268+C268)*$B$1</f>
        <v>55180</v>
      </c>
    </row>
    <row r="269" spans="3:12">
      <c r="C269" s="23">
        <f t="shared" si="42"/>
        <v>420</v>
      </c>
      <c r="D269" s="23">
        <f t="shared" si="43"/>
        <v>168</v>
      </c>
      <c r="E269" s="23">
        <f t="shared" ref="E269:E332" si="45">MAX(0,C269-D269)</f>
        <v>252</v>
      </c>
      <c r="F269" s="23">
        <f t="shared" ref="F269:F332" si="46">$E$8</f>
        <v>700</v>
      </c>
      <c r="G269" s="23">
        <f t="shared" ref="G269:G332" ca="1" si="47">_xlfn.FLOOR.MATH(MAX(0,_xlfn.NORM.INV(RAND(),$B$6*$B$8,$B$3*($B$8+0.0001))))</f>
        <v>219</v>
      </c>
      <c r="H269" s="23">
        <f t="shared" ref="H269:H332" ca="1" si="48">_xlfn.FLOOR.MATH(MAX(0,_xlfn.NORM.INV(RAND(),$B$6*(1-$B$8),$B$3*(1.00001-$B$8))))</f>
        <v>591</v>
      </c>
      <c r="I269" s="23">
        <f t="shared" ref="I269:I332" ca="1" si="49">MIN(C269,D269+G269)</f>
        <v>387</v>
      </c>
      <c r="J269" s="23">
        <f t="shared" ref="J269:J332" ca="1" si="50">MIN(C269-I269+F269,H269)</f>
        <v>591</v>
      </c>
      <c r="K269" s="23">
        <f t="shared" ref="K269:K332" ca="1" si="51">I269+J269</f>
        <v>978</v>
      </c>
      <c r="L269" s="23">
        <f t="shared" ca="1" si="44"/>
        <v>59230</v>
      </c>
    </row>
    <row r="270" spans="3:12">
      <c r="C270" s="23">
        <f t="shared" si="42"/>
        <v>420</v>
      </c>
      <c r="D270" s="23">
        <f t="shared" si="43"/>
        <v>168</v>
      </c>
      <c r="E270" s="23">
        <f t="shared" si="45"/>
        <v>252</v>
      </c>
      <c r="F270" s="23">
        <f t="shared" si="46"/>
        <v>700</v>
      </c>
      <c r="G270" s="23">
        <f t="shared" ca="1" si="47"/>
        <v>202</v>
      </c>
      <c r="H270" s="23">
        <f t="shared" ca="1" si="48"/>
        <v>626</v>
      </c>
      <c r="I270" s="23">
        <f t="shared" ca="1" si="49"/>
        <v>370</v>
      </c>
      <c r="J270" s="23">
        <f t="shared" ca="1" si="50"/>
        <v>626</v>
      </c>
      <c r="K270" s="23">
        <f t="shared" ca="1" si="51"/>
        <v>996</v>
      </c>
      <c r="L270" s="23">
        <f t="shared" ca="1" si="44"/>
        <v>61660</v>
      </c>
    </row>
    <row r="271" spans="3:12">
      <c r="C271" s="23">
        <f t="shared" si="42"/>
        <v>420</v>
      </c>
      <c r="D271" s="23">
        <f t="shared" si="43"/>
        <v>168</v>
      </c>
      <c r="E271" s="23">
        <f t="shared" si="45"/>
        <v>252</v>
      </c>
      <c r="F271" s="23">
        <f t="shared" si="46"/>
        <v>700</v>
      </c>
      <c r="G271" s="23">
        <f t="shared" ca="1" si="47"/>
        <v>200</v>
      </c>
      <c r="H271" s="23">
        <f t="shared" ca="1" si="48"/>
        <v>650</v>
      </c>
      <c r="I271" s="23">
        <f t="shared" ca="1" si="49"/>
        <v>368</v>
      </c>
      <c r="J271" s="23">
        <f t="shared" ca="1" si="50"/>
        <v>650</v>
      </c>
      <c r="K271" s="23">
        <f t="shared" ca="1" si="51"/>
        <v>1018</v>
      </c>
      <c r="L271" s="23">
        <f t="shared" ca="1" si="44"/>
        <v>64630</v>
      </c>
    </row>
    <row r="272" spans="3:12">
      <c r="C272" s="23">
        <f t="shared" si="42"/>
        <v>420</v>
      </c>
      <c r="D272" s="23">
        <f t="shared" si="43"/>
        <v>168</v>
      </c>
      <c r="E272" s="23">
        <f t="shared" si="45"/>
        <v>252</v>
      </c>
      <c r="F272" s="23">
        <f t="shared" si="46"/>
        <v>700</v>
      </c>
      <c r="G272" s="23">
        <f t="shared" ca="1" si="47"/>
        <v>184</v>
      </c>
      <c r="H272" s="23">
        <f t="shared" ca="1" si="48"/>
        <v>666</v>
      </c>
      <c r="I272" s="23">
        <f t="shared" ca="1" si="49"/>
        <v>352</v>
      </c>
      <c r="J272" s="23">
        <f t="shared" ca="1" si="50"/>
        <v>666</v>
      </c>
      <c r="K272" s="23">
        <f t="shared" ca="1" si="51"/>
        <v>1018</v>
      </c>
      <c r="L272" s="23">
        <f t="shared" ca="1" si="44"/>
        <v>64630</v>
      </c>
    </row>
    <row r="273" spans="3:12">
      <c r="C273" s="23">
        <f t="shared" si="42"/>
        <v>420</v>
      </c>
      <c r="D273" s="23">
        <f t="shared" si="43"/>
        <v>168</v>
      </c>
      <c r="E273" s="23">
        <f t="shared" si="45"/>
        <v>252</v>
      </c>
      <c r="F273" s="23">
        <f t="shared" si="46"/>
        <v>700</v>
      </c>
      <c r="G273" s="23">
        <f t="shared" ca="1" si="47"/>
        <v>196</v>
      </c>
      <c r="H273" s="23">
        <f t="shared" ca="1" si="48"/>
        <v>553</v>
      </c>
      <c r="I273" s="23">
        <f t="shared" ca="1" si="49"/>
        <v>364</v>
      </c>
      <c r="J273" s="23">
        <f t="shared" ca="1" si="50"/>
        <v>553</v>
      </c>
      <c r="K273" s="23">
        <f t="shared" ca="1" si="51"/>
        <v>917</v>
      </c>
      <c r="L273" s="23">
        <f t="shared" ca="1" si="44"/>
        <v>50995</v>
      </c>
    </row>
    <row r="274" spans="3:12">
      <c r="C274" s="23">
        <f t="shared" si="42"/>
        <v>420</v>
      </c>
      <c r="D274" s="23">
        <f t="shared" si="43"/>
        <v>168</v>
      </c>
      <c r="E274" s="23">
        <f t="shared" si="45"/>
        <v>252</v>
      </c>
      <c r="F274" s="23">
        <f t="shared" si="46"/>
        <v>700</v>
      </c>
      <c r="G274" s="23">
        <f t="shared" ca="1" si="47"/>
        <v>206</v>
      </c>
      <c r="H274" s="23">
        <f t="shared" ca="1" si="48"/>
        <v>549</v>
      </c>
      <c r="I274" s="23">
        <f t="shared" ca="1" si="49"/>
        <v>374</v>
      </c>
      <c r="J274" s="23">
        <f t="shared" ca="1" si="50"/>
        <v>549</v>
      </c>
      <c r="K274" s="23">
        <f t="shared" ca="1" si="51"/>
        <v>923</v>
      </c>
      <c r="L274" s="23">
        <f t="shared" ca="1" si="44"/>
        <v>51805</v>
      </c>
    </row>
    <row r="275" spans="3:12">
      <c r="C275" s="23">
        <f t="shared" si="42"/>
        <v>420</v>
      </c>
      <c r="D275" s="23">
        <f t="shared" si="43"/>
        <v>168</v>
      </c>
      <c r="E275" s="23">
        <f t="shared" si="45"/>
        <v>252</v>
      </c>
      <c r="F275" s="23">
        <f t="shared" si="46"/>
        <v>700</v>
      </c>
      <c r="G275" s="23">
        <f t="shared" ca="1" si="47"/>
        <v>232</v>
      </c>
      <c r="H275" s="23">
        <f t="shared" ca="1" si="48"/>
        <v>651</v>
      </c>
      <c r="I275" s="23">
        <f t="shared" ca="1" si="49"/>
        <v>400</v>
      </c>
      <c r="J275" s="23">
        <f t="shared" ca="1" si="50"/>
        <v>651</v>
      </c>
      <c r="K275" s="23">
        <f t="shared" ca="1" si="51"/>
        <v>1051</v>
      </c>
      <c r="L275" s="23">
        <f t="shared" ca="1" si="44"/>
        <v>69085</v>
      </c>
    </row>
    <row r="276" spans="3:12">
      <c r="C276" s="23">
        <f t="shared" si="42"/>
        <v>420</v>
      </c>
      <c r="D276" s="23">
        <f t="shared" si="43"/>
        <v>168</v>
      </c>
      <c r="E276" s="23">
        <f t="shared" si="45"/>
        <v>252</v>
      </c>
      <c r="F276" s="23">
        <f t="shared" si="46"/>
        <v>700</v>
      </c>
      <c r="G276" s="23">
        <f t="shared" ca="1" si="47"/>
        <v>209</v>
      </c>
      <c r="H276" s="23">
        <f t="shared" ca="1" si="48"/>
        <v>785</v>
      </c>
      <c r="I276" s="23">
        <f t="shared" ca="1" si="49"/>
        <v>377</v>
      </c>
      <c r="J276" s="23">
        <f t="shared" ca="1" si="50"/>
        <v>743</v>
      </c>
      <c r="K276" s="23">
        <f t="shared" ca="1" si="51"/>
        <v>1120</v>
      </c>
      <c r="L276" s="23">
        <f t="shared" ca="1" si="44"/>
        <v>78400</v>
      </c>
    </row>
    <row r="277" spans="3:12">
      <c r="C277" s="23">
        <f t="shared" si="42"/>
        <v>420</v>
      </c>
      <c r="D277" s="23">
        <f t="shared" si="43"/>
        <v>168</v>
      </c>
      <c r="E277" s="23">
        <f t="shared" si="45"/>
        <v>252</v>
      </c>
      <c r="F277" s="23">
        <f t="shared" si="46"/>
        <v>700</v>
      </c>
      <c r="G277" s="23">
        <f t="shared" ca="1" si="47"/>
        <v>185</v>
      </c>
      <c r="H277" s="23">
        <f t="shared" ca="1" si="48"/>
        <v>487</v>
      </c>
      <c r="I277" s="23">
        <f t="shared" ca="1" si="49"/>
        <v>353</v>
      </c>
      <c r="J277" s="23">
        <f t="shared" ca="1" si="50"/>
        <v>487</v>
      </c>
      <c r="K277" s="23">
        <f t="shared" ca="1" si="51"/>
        <v>840</v>
      </c>
      <c r="L277" s="23">
        <f t="shared" ca="1" si="44"/>
        <v>40600</v>
      </c>
    </row>
    <row r="278" spans="3:12">
      <c r="C278" s="23">
        <f t="shared" si="42"/>
        <v>420</v>
      </c>
      <c r="D278" s="23">
        <f t="shared" si="43"/>
        <v>168</v>
      </c>
      <c r="E278" s="23">
        <f t="shared" si="45"/>
        <v>252</v>
      </c>
      <c r="F278" s="23">
        <f t="shared" si="46"/>
        <v>700</v>
      </c>
      <c r="G278" s="23">
        <f t="shared" ca="1" si="47"/>
        <v>217</v>
      </c>
      <c r="H278" s="23">
        <f t="shared" ca="1" si="48"/>
        <v>633</v>
      </c>
      <c r="I278" s="23">
        <f t="shared" ca="1" si="49"/>
        <v>385</v>
      </c>
      <c r="J278" s="23">
        <f t="shared" ca="1" si="50"/>
        <v>633</v>
      </c>
      <c r="K278" s="23">
        <f t="shared" ca="1" si="51"/>
        <v>1018</v>
      </c>
      <c r="L278" s="23">
        <f t="shared" ca="1" si="44"/>
        <v>64630</v>
      </c>
    </row>
    <row r="279" spans="3:12">
      <c r="C279" s="23">
        <f t="shared" si="42"/>
        <v>420</v>
      </c>
      <c r="D279" s="23">
        <f t="shared" si="43"/>
        <v>168</v>
      </c>
      <c r="E279" s="23">
        <f t="shared" si="45"/>
        <v>252</v>
      </c>
      <c r="F279" s="23">
        <f t="shared" si="46"/>
        <v>700</v>
      </c>
      <c r="G279" s="23">
        <f t="shared" ca="1" si="47"/>
        <v>210</v>
      </c>
      <c r="H279" s="23">
        <f t="shared" ca="1" si="48"/>
        <v>565</v>
      </c>
      <c r="I279" s="23">
        <f t="shared" ca="1" si="49"/>
        <v>378</v>
      </c>
      <c r="J279" s="23">
        <f t="shared" ca="1" si="50"/>
        <v>565</v>
      </c>
      <c r="K279" s="23">
        <f t="shared" ca="1" si="51"/>
        <v>943</v>
      </c>
      <c r="L279" s="23">
        <f t="shared" ca="1" si="44"/>
        <v>54505</v>
      </c>
    </row>
    <row r="280" spans="3:12">
      <c r="C280" s="23">
        <f t="shared" si="42"/>
        <v>420</v>
      </c>
      <c r="D280" s="23">
        <f t="shared" si="43"/>
        <v>168</v>
      </c>
      <c r="E280" s="23">
        <f t="shared" si="45"/>
        <v>252</v>
      </c>
      <c r="F280" s="23">
        <f t="shared" si="46"/>
        <v>700</v>
      </c>
      <c r="G280" s="23">
        <f t="shared" ca="1" si="47"/>
        <v>239</v>
      </c>
      <c r="H280" s="23">
        <f t="shared" ca="1" si="48"/>
        <v>605</v>
      </c>
      <c r="I280" s="23">
        <f t="shared" ca="1" si="49"/>
        <v>407</v>
      </c>
      <c r="J280" s="23">
        <f t="shared" ca="1" si="50"/>
        <v>605</v>
      </c>
      <c r="K280" s="23">
        <f t="shared" ca="1" si="51"/>
        <v>1012</v>
      </c>
      <c r="L280" s="23">
        <f t="shared" ca="1" si="44"/>
        <v>63820</v>
      </c>
    </row>
    <row r="281" spans="3:12">
      <c r="C281" s="23">
        <f t="shared" si="42"/>
        <v>420</v>
      </c>
      <c r="D281" s="23">
        <f t="shared" si="43"/>
        <v>168</v>
      </c>
      <c r="E281" s="23">
        <f t="shared" si="45"/>
        <v>252</v>
      </c>
      <c r="F281" s="23">
        <f t="shared" si="46"/>
        <v>700</v>
      </c>
      <c r="G281" s="23">
        <f t="shared" ca="1" si="47"/>
        <v>203</v>
      </c>
      <c r="H281" s="23">
        <f t="shared" ca="1" si="48"/>
        <v>623</v>
      </c>
      <c r="I281" s="23">
        <f t="shared" ca="1" si="49"/>
        <v>371</v>
      </c>
      <c r="J281" s="23">
        <f t="shared" ca="1" si="50"/>
        <v>623</v>
      </c>
      <c r="K281" s="23">
        <f t="shared" ca="1" si="51"/>
        <v>994</v>
      </c>
      <c r="L281" s="23">
        <f t="shared" ca="1" si="44"/>
        <v>61390</v>
      </c>
    </row>
    <row r="282" spans="3:12">
      <c r="C282" s="23">
        <f t="shared" si="42"/>
        <v>420</v>
      </c>
      <c r="D282" s="23">
        <f t="shared" si="43"/>
        <v>168</v>
      </c>
      <c r="E282" s="23">
        <f t="shared" si="45"/>
        <v>252</v>
      </c>
      <c r="F282" s="23">
        <f t="shared" si="46"/>
        <v>700</v>
      </c>
      <c r="G282" s="23">
        <f t="shared" ca="1" si="47"/>
        <v>206</v>
      </c>
      <c r="H282" s="23">
        <f t="shared" ca="1" si="48"/>
        <v>667</v>
      </c>
      <c r="I282" s="23">
        <f t="shared" ca="1" si="49"/>
        <v>374</v>
      </c>
      <c r="J282" s="23">
        <f t="shared" ca="1" si="50"/>
        <v>667</v>
      </c>
      <c r="K282" s="23">
        <f t="shared" ca="1" si="51"/>
        <v>1041</v>
      </c>
      <c r="L282" s="23">
        <f t="shared" ca="1" si="44"/>
        <v>67735</v>
      </c>
    </row>
    <row r="283" spans="3:12">
      <c r="C283" s="23">
        <f t="shared" si="42"/>
        <v>420</v>
      </c>
      <c r="D283" s="23">
        <f t="shared" si="43"/>
        <v>168</v>
      </c>
      <c r="E283" s="23">
        <f t="shared" si="45"/>
        <v>252</v>
      </c>
      <c r="F283" s="23">
        <f t="shared" si="46"/>
        <v>700</v>
      </c>
      <c r="G283" s="23">
        <f t="shared" ca="1" si="47"/>
        <v>234</v>
      </c>
      <c r="H283" s="23">
        <f t="shared" ca="1" si="48"/>
        <v>665</v>
      </c>
      <c r="I283" s="23">
        <f t="shared" ca="1" si="49"/>
        <v>402</v>
      </c>
      <c r="J283" s="23">
        <f t="shared" ca="1" si="50"/>
        <v>665</v>
      </c>
      <c r="K283" s="23">
        <f t="shared" ca="1" si="51"/>
        <v>1067</v>
      </c>
      <c r="L283" s="23">
        <f t="shared" ca="1" si="44"/>
        <v>71245</v>
      </c>
    </row>
    <row r="284" spans="3:12">
      <c r="C284" s="23">
        <f t="shared" si="42"/>
        <v>420</v>
      </c>
      <c r="D284" s="23">
        <f t="shared" si="43"/>
        <v>168</v>
      </c>
      <c r="E284" s="23">
        <f t="shared" si="45"/>
        <v>252</v>
      </c>
      <c r="F284" s="23">
        <f t="shared" si="46"/>
        <v>700</v>
      </c>
      <c r="G284" s="23">
        <f t="shared" ca="1" si="47"/>
        <v>188</v>
      </c>
      <c r="H284" s="23">
        <f t="shared" ca="1" si="48"/>
        <v>797</v>
      </c>
      <c r="I284" s="23">
        <f t="shared" ca="1" si="49"/>
        <v>356</v>
      </c>
      <c r="J284" s="23">
        <f t="shared" ca="1" si="50"/>
        <v>764</v>
      </c>
      <c r="K284" s="23">
        <f t="shared" ca="1" si="51"/>
        <v>1120</v>
      </c>
      <c r="L284" s="23">
        <f t="shared" ca="1" si="44"/>
        <v>78400</v>
      </c>
    </row>
    <row r="285" spans="3:12">
      <c r="C285" s="23">
        <f t="shared" si="42"/>
        <v>420</v>
      </c>
      <c r="D285" s="23">
        <f t="shared" si="43"/>
        <v>168</v>
      </c>
      <c r="E285" s="23">
        <f t="shared" si="45"/>
        <v>252</v>
      </c>
      <c r="F285" s="23">
        <f t="shared" si="46"/>
        <v>700</v>
      </c>
      <c r="G285" s="23">
        <f t="shared" ca="1" si="47"/>
        <v>216</v>
      </c>
      <c r="H285" s="23">
        <f t="shared" ca="1" si="48"/>
        <v>619</v>
      </c>
      <c r="I285" s="23">
        <f t="shared" ca="1" si="49"/>
        <v>384</v>
      </c>
      <c r="J285" s="23">
        <f t="shared" ca="1" si="50"/>
        <v>619</v>
      </c>
      <c r="K285" s="23">
        <f t="shared" ca="1" si="51"/>
        <v>1003</v>
      </c>
      <c r="L285" s="23">
        <f t="shared" ca="1" si="44"/>
        <v>62605</v>
      </c>
    </row>
    <row r="286" spans="3:12">
      <c r="C286" s="23">
        <f t="shared" si="42"/>
        <v>420</v>
      </c>
      <c r="D286" s="23">
        <f t="shared" si="43"/>
        <v>168</v>
      </c>
      <c r="E286" s="23">
        <f t="shared" si="45"/>
        <v>252</v>
      </c>
      <c r="F286" s="23">
        <f t="shared" si="46"/>
        <v>700</v>
      </c>
      <c r="G286" s="23">
        <f t="shared" ca="1" si="47"/>
        <v>216</v>
      </c>
      <c r="H286" s="23">
        <f t="shared" ca="1" si="48"/>
        <v>618</v>
      </c>
      <c r="I286" s="23">
        <f t="shared" ca="1" si="49"/>
        <v>384</v>
      </c>
      <c r="J286" s="23">
        <f t="shared" ca="1" si="50"/>
        <v>618</v>
      </c>
      <c r="K286" s="23">
        <f t="shared" ca="1" si="51"/>
        <v>1002</v>
      </c>
      <c r="L286" s="23">
        <f t="shared" ca="1" si="44"/>
        <v>62470</v>
      </c>
    </row>
    <row r="287" spans="3:12">
      <c r="C287" s="23">
        <f t="shared" si="42"/>
        <v>420</v>
      </c>
      <c r="D287" s="23">
        <f t="shared" si="43"/>
        <v>168</v>
      </c>
      <c r="E287" s="23">
        <f t="shared" si="45"/>
        <v>252</v>
      </c>
      <c r="F287" s="23">
        <f t="shared" si="46"/>
        <v>700</v>
      </c>
      <c r="G287" s="23">
        <f t="shared" ca="1" si="47"/>
        <v>208</v>
      </c>
      <c r="H287" s="23">
        <f t="shared" ca="1" si="48"/>
        <v>571</v>
      </c>
      <c r="I287" s="23">
        <f t="shared" ca="1" si="49"/>
        <v>376</v>
      </c>
      <c r="J287" s="23">
        <f t="shared" ca="1" si="50"/>
        <v>571</v>
      </c>
      <c r="K287" s="23">
        <f t="shared" ca="1" si="51"/>
        <v>947</v>
      </c>
      <c r="L287" s="23">
        <f t="shared" ca="1" si="44"/>
        <v>55045</v>
      </c>
    </row>
    <row r="288" spans="3:12">
      <c r="C288" s="23">
        <f t="shared" si="42"/>
        <v>420</v>
      </c>
      <c r="D288" s="23">
        <f t="shared" si="43"/>
        <v>168</v>
      </c>
      <c r="E288" s="23">
        <f t="shared" si="45"/>
        <v>252</v>
      </c>
      <c r="F288" s="23">
        <f t="shared" si="46"/>
        <v>700</v>
      </c>
      <c r="G288" s="23">
        <f t="shared" ca="1" si="47"/>
        <v>231</v>
      </c>
      <c r="H288" s="23">
        <f t="shared" ca="1" si="48"/>
        <v>636</v>
      </c>
      <c r="I288" s="23">
        <f t="shared" ca="1" si="49"/>
        <v>399</v>
      </c>
      <c r="J288" s="23">
        <f t="shared" ca="1" si="50"/>
        <v>636</v>
      </c>
      <c r="K288" s="23">
        <f t="shared" ca="1" si="51"/>
        <v>1035</v>
      </c>
      <c r="L288" s="23">
        <f t="shared" ca="1" si="44"/>
        <v>66925</v>
      </c>
    </row>
    <row r="289" spans="3:12">
      <c r="C289" s="23">
        <f t="shared" si="42"/>
        <v>420</v>
      </c>
      <c r="D289" s="23">
        <f t="shared" si="43"/>
        <v>168</v>
      </c>
      <c r="E289" s="23">
        <f t="shared" si="45"/>
        <v>252</v>
      </c>
      <c r="F289" s="23">
        <f t="shared" si="46"/>
        <v>700</v>
      </c>
      <c r="G289" s="23">
        <f t="shared" ca="1" si="47"/>
        <v>215</v>
      </c>
      <c r="H289" s="23">
        <f t="shared" ca="1" si="48"/>
        <v>601</v>
      </c>
      <c r="I289" s="23">
        <f t="shared" ca="1" si="49"/>
        <v>383</v>
      </c>
      <c r="J289" s="23">
        <f t="shared" ca="1" si="50"/>
        <v>601</v>
      </c>
      <c r="K289" s="23">
        <f t="shared" ca="1" si="51"/>
        <v>984</v>
      </c>
      <c r="L289" s="23">
        <f t="shared" ca="1" si="44"/>
        <v>60040</v>
      </c>
    </row>
    <row r="290" spans="3:12">
      <c r="C290" s="23">
        <f t="shared" si="42"/>
        <v>420</v>
      </c>
      <c r="D290" s="23">
        <f t="shared" si="43"/>
        <v>168</v>
      </c>
      <c r="E290" s="23">
        <f t="shared" si="45"/>
        <v>252</v>
      </c>
      <c r="F290" s="23">
        <f t="shared" si="46"/>
        <v>700</v>
      </c>
      <c r="G290" s="23">
        <f t="shared" ca="1" si="47"/>
        <v>190</v>
      </c>
      <c r="H290" s="23">
        <f t="shared" ca="1" si="48"/>
        <v>677</v>
      </c>
      <c r="I290" s="23">
        <f t="shared" ca="1" si="49"/>
        <v>358</v>
      </c>
      <c r="J290" s="23">
        <f t="shared" ca="1" si="50"/>
        <v>677</v>
      </c>
      <c r="K290" s="23">
        <f t="shared" ca="1" si="51"/>
        <v>1035</v>
      </c>
      <c r="L290" s="23">
        <f t="shared" ca="1" si="44"/>
        <v>66925</v>
      </c>
    </row>
    <row r="291" spans="3:12">
      <c r="C291" s="23">
        <f t="shared" si="42"/>
        <v>420</v>
      </c>
      <c r="D291" s="23">
        <f t="shared" si="43"/>
        <v>168</v>
      </c>
      <c r="E291" s="23">
        <f t="shared" si="45"/>
        <v>252</v>
      </c>
      <c r="F291" s="23">
        <f t="shared" si="46"/>
        <v>700</v>
      </c>
      <c r="G291" s="23">
        <f t="shared" ca="1" si="47"/>
        <v>221</v>
      </c>
      <c r="H291" s="23">
        <f t="shared" ca="1" si="48"/>
        <v>711</v>
      </c>
      <c r="I291" s="23">
        <f t="shared" ca="1" si="49"/>
        <v>389</v>
      </c>
      <c r="J291" s="23">
        <f t="shared" ca="1" si="50"/>
        <v>711</v>
      </c>
      <c r="K291" s="23">
        <f t="shared" ca="1" si="51"/>
        <v>1100</v>
      </c>
      <c r="L291" s="23">
        <f t="shared" ca="1" si="44"/>
        <v>75700</v>
      </c>
    </row>
    <row r="292" spans="3:12">
      <c r="C292" s="23">
        <f t="shared" si="42"/>
        <v>420</v>
      </c>
      <c r="D292" s="23">
        <f t="shared" si="43"/>
        <v>168</v>
      </c>
      <c r="E292" s="23">
        <f t="shared" si="45"/>
        <v>252</v>
      </c>
      <c r="F292" s="23">
        <f t="shared" si="46"/>
        <v>700</v>
      </c>
      <c r="G292" s="23">
        <f t="shared" ca="1" si="47"/>
        <v>227</v>
      </c>
      <c r="H292" s="23">
        <f t="shared" ca="1" si="48"/>
        <v>583</v>
      </c>
      <c r="I292" s="23">
        <f t="shared" ca="1" si="49"/>
        <v>395</v>
      </c>
      <c r="J292" s="23">
        <f t="shared" ca="1" si="50"/>
        <v>583</v>
      </c>
      <c r="K292" s="23">
        <f t="shared" ca="1" si="51"/>
        <v>978</v>
      </c>
      <c r="L292" s="23">
        <f t="shared" ca="1" si="44"/>
        <v>59230</v>
      </c>
    </row>
    <row r="293" spans="3:12">
      <c r="C293" s="23">
        <f t="shared" si="42"/>
        <v>420</v>
      </c>
      <c r="D293" s="23">
        <f t="shared" si="43"/>
        <v>168</v>
      </c>
      <c r="E293" s="23">
        <f t="shared" si="45"/>
        <v>252</v>
      </c>
      <c r="F293" s="23">
        <f t="shared" si="46"/>
        <v>700</v>
      </c>
      <c r="G293" s="23">
        <f t="shared" ca="1" si="47"/>
        <v>225</v>
      </c>
      <c r="H293" s="23">
        <f t="shared" ca="1" si="48"/>
        <v>612</v>
      </c>
      <c r="I293" s="23">
        <f t="shared" ca="1" si="49"/>
        <v>393</v>
      </c>
      <c r="J293" s="23">
        <f t="shared" ca="1" si="50"/>
        <v>612</v>
      </c>
      <c r="K293" s="23">
        <f t="shared" ca="1" si="51"/>
        <v>1005</v>
      </c>
      <c r="L293" s="23">
        <f t="shared" ca="1" si="44"/>
        <v>62875</v>
      </c>
    </row>
    <row r="294" spans="3:12">
      <c r="C294" s="23">
        <f t="shared" si="42"/>
        <v>420</v>
      </c>
      <c r="D294" s="23">
        <f t="shared" si="43"/>
        <v>168</v>
      </c>
      <c r="E294" s="23">
        <f t="shared" si="45"/>
        <v>252</v>
      </c>
      <c r="F294" s="23">
        <f t="shared" si="46"/>
        <v>700</v>
      </c>
      <c r="G294" s="23">
        <f t="shared" ca="1" si="47"/>
        <v>180</v>
      </c>
      <c r="H294" s="23">
        <f t="shared" ca="1" si="48"/>
        <v>715</v>
      </c>
      <c r="I294" s="23">
        <f t="shared" ca="1" si="49"/>
        <v>348</v>
      </c>
      <c r="J294" s="23">
        <f t="shared" ca="1" si="50"/>
        <v>715</v>
      </c>
      <c r="K294" s="23">
        <f t="shared" ca="1" si="51"/>
        <v>1063</v>
      </c>
      <c r="L294" s="23">
        <f t="shared" ca="1" si="44"/>
        <v>70705</v>
      </c>
    </row>
    <row r="295" spans="3:12">
      <c r="C295" s="23">
        <f t="shared" si="42"/>
        <v>420</v>
      </c>
      <c r="D295" s="23">
        <f t="shared" si="43"/>
        <v>168</v>
      </c>
      <c r="E295" s="23">
        <f t="shared" si="45"/>
        <v>252</v>
      </c>
      <c r="F295" s="23">
        <f t="shared" si="46"/>
        <v>700</v>
      </c>
      <c r="G295" s="23">
        <f t="shared" ca="1" si="47"/>
        <v>211</v>
      </c>
      <c r="H295" s="23">
        <f t="shared" ca="1" si="48"/>
        <v>550</v>
      </c>
      <c r="I295" s="23">
        <f t="shared" ca="1" si="49"/>
        <v>379</v>
      </c>
      <c r="J295" s="23">
        <f t="shared" ca="1" si="50"/>
        <v>550</v>
      </c>
      <c r="K295" s="23">
        <f t="shared" ca="1" si="51"/>
        <v>929</v>
      </c>
      <c r="L295" s="23">
        <f t="shared" ca="1" si="44"/>
        <v>52615</v>
      </c>
    </row>
    <row r="296" spans="3:12">
      <c r="C296" s="23">
        <f t="shared" si="42"/>
        <v>420</v>
      </c>
      <c r="D296" s="23">
        <f t="shared" si="43"/>
        <v>168</v>
      </c>
      <c r="E296" s="23">
        <f t="shared" si="45"/>
        <v>252</v>
      </c>
      <c r="F296" s="23">
        <f t="shared" si="46"/>
        <v>700</v>
      </c>
      <c r="G296" s="23">
        <f t="shared" ca="1" si="47"/>
        <v>194</v>
      </c>
      <c r="H296" s="23">
        <f t="shared" ca="1" si="48"/>
        <v>656</v>
      </c>
      <c r="I296" s="23">
        <f t="shared" ca="1" si="49"/>
        <v>362</v>
      </c>
      <c r="J296" s="23">
        <f t="shared" ca="1" si="50"/>
        <v>656</v>
      </c>
      <c r="K296" s="23">
        <f t="shared" ca="1" si="51"/>
        <v>1018</v>
      </c>
      <c r="L296" s="23">
        <f t="shared" ca="1" si="44"/>
        <v>64630</v>
      </c>
    </row>
    <row r="297" spans="3:12">
      <c r="C297" s="23">
        <f t="shared" si="42"/>
        <v>420</v>
      </c>
      <c r="D297" s="23">
        <f t="shared" si="43"/>
        <v>168</v>
      </c>
      <c r="E297" s="23">
        <f t="shared" si="45"/>
        <v>252</v>
      </c>
      <c r="F297" s="23">
        <f t="shared" si="46"/>
        <v>700</v>
      </c>
      <c r="G297" s="23">
        <f t="shared" ca="1" si="47"/>
        <v>246</v>
      </c>
      <c r="H297" s="23">
        <f t="shared" ca="1" si="48"/>
        <v>553</v>
      </c>
      <c r="I297" s="23">
        <f t="shared" ca="1" si="49"/>
        <v>414</v>
      </c>
      <c r="J297" s="23">
        <f t="shared" ca="1" si="50"/>
        <v>553</v>
      </c>
      <c r="K297" s="23">
        <f t="shared" ca="1" si="51"/>
        <v>967</v>
      </c>
      <c r="L297" s="23">
        <f t="shared" ca="1" si="44"/>
        <v>57745</v>
      </c>
    </row>
    <row r="298" spans="3:12">
      <c r="C298" s="23">
        <f t="shared" si="42"/>
        <v>420</v>
      </c>
      <c r="D298" s="23">
        <f t="shared" si="43"/>
        <v>168</v>
      </c>
      <c r="E298" s="23">
        <f t="shared" si="45"/>
        <v>252</v>
      </c>
      <c r="F298" s="23">
        <f t="shared" si="46"/>
        <v>700</v>
      </c>
      <c r="G298" s="23">
        <f t="shared" ca="1" si="47"/>
        <v>187</v>
      </c>
      <c r="H298" s="23">
        <f t="shared" ca="1" si="48"/>
        <v>780</v>
      </c>
      <c r="I298" s="23">
        <f t="shared" ca="1" si="49"/>
        <v>355</v>
      </c>
      <c r="J298" s="23">
        <f t="shared" ca="1" si="50"/>
        <v>765</v>
      </c>
      <c r="K298" s="23">
        <f t="shared" ca="1" si="51"/>
        <v>1120</v>
      </c>
      <c r="L298" s="23">
        <f t="shared" ca="1" si="44"/>
        <v>78400</v>
      </c>
    </row>
    <row r="299" spans="3:12">
      <c r="C299" s="23">
        <f t="shared" si="42"/>
        <v>420</v>
      </c>
      <c r="D299" s="23">
        <f t="shared" si="43"/>
        <v>168</v>
      </c>
      <c r="E299" s="23">
        <f t="shared" si="45"/>
        <v>252</v>
      </c>
      <c r="F299" s="23">
        <f t="shared" si="46"/>
        <v>700</v>
      </c>
      <c r="G299" s="23">
        <f t="shared" ca="1" si="47"/>
        <v>215</v>
      </c>
      <c r="H299" s="23">
        <f t="shared" ca="1" si="48"/>
        <v>659</v>
      </c>
      <c r="I299" s="23">
        <f t="shared" ca="1" si="49"/>
        <v>383</v>
      </c>
      <c r="J299" s="23">
        <f t="shared" ca="1" si="50"/>
        <v>659</v>
      </c>
      <c r="K299" s="23">
        <f t="shared" ca="1" si="51"/>
        <v>1042</v>
      </c>
      <c r="L299" s="23">
        <f t="shared" ca="1" si="44"/>
        <v>67870</v>
      </c>
    </row>
    <row r="300" spans="3:12">
      <c r="C300" s="23">
        <f t="shared" si="42"/>
        <v>420</v>
      </c>
      <c r="D300" s="23">
        <f t="shared" si="43"/>
        <v>168</v>
      </c>
      <c r="E300" s="23">
        <f t="shared" si="45"/>
        <v>252</v>
      </c>
      <c r="F300" s="23">
        <f t="shared" si="46"/>
        <v>700</v>
      </c>
      <c r="G300" s="23">
        <f t="shared" ca="1" si="47"/>
        <v>207</v>
      </c>
      <c r="H300" s="23">
        <f t="shared" ca="1" si="48"/>
        <v>600</v>
      </c>
      <c r="I300" s="23">
        <f t="shared" ca="1" si="49"/>
        <v>375</v>
      </c>
      <c r="J300" s="23">
        <f t="shared" ca="1" si="50"/>
        <v>600</v>
      </c>
      <c r="K300" s="23">
        <f t="shared" ca="1" si="51"/>
        <v>975</v>
      </c>
      <c r="L300" s="23">
        <f t="shared" ca="1" si="44"/>
        <v>58825</v>
      </c>
    </row>
    <row r="301" spans="3:12">
      <c r="C301" s="23">
        <f t="shared" si="42"/>
        <v>420</v>
      </c>
      <c r="D301" s="23">
        <f t="shared" si="43"/>
        <v>168</v>
      </c>
      <c r="E301" s="23">
        <f t="shared" si="45"/>
        <v>252</v>
      </c>
      <c r="F301" s="23">
        <f t="shared" si="46"/>
        <v>700</v>
      </c>
      <c r="G301" s="23">
        <f t="shared" ca="1" si="47"/>
        <v>197</v>
      </c>
      <c r="H301" s="23">
        <f t="shared" ca="1" si="48"/>
        <v>552</v>
      </c>
      <c r="I301" s="23">
        <f t="shared" ca="1" si="49"/>
        <v>365</v>
      </c>
      <c r="J301" s="23">
        <f t="shared" ca="1" si="50"/>
        <v>552</v>
      </c>
      <c r="K301" s="23">
        <f t="shared" ca="1" si="51"/>
        <v>917</v>
      </c>
      <c r="L301" s="23">
        <f t="shared" ca="1" si="44"/>
        <v>50995</v>
      </c>
    </row>
    <row r="302" spans="3:12">
      <c r="C302" s="23">
        <f t="shared" si="42"/>
        <v>420</v>
      </c>
      <c r="D302" s="23">
        <f t="shared" si="43"/>
        <v>168</v>
      </c>
      <c r="E302" s="23">
        <f t="shared" si="45"/>
        <v>252</v>
      </c>
      <c r="F302" s="23">
        <f t="shared" si="46"/>
        <v>700</v>
      </c>
      <c r="G302" s="23">
        <f t="shared" ca="1" si="47"/>
        <v>238</v>
      </c>
      <c r="H302" s="23">
        <f t="shared" ca="1" si="48"/>
        <v>637</v>
      </c>
      <c r="I302" s="23">
        <f t="shared" ca="1" si="49"/>
        <v>406</v>
      </c>
      <c r="J302" s="23">
        <f t="shared" ca="1" si="50"/>
        <v>637</v>
      </c>
      <c r="K302" s="23">
        <f t="shared" ca="1" si="51"/>
        <v>1043</v>
      </c>
      <c r="L302" s="23">
        <f t="shared" ca="1" si="44"/>
        <v>68005</v>
      </c>
    </row>
    <row r="303" spans="3:12">
      <c r="C303" s="23">
        <f t="shared" si="42"/>
        <v>420</v>
      </c>
      <c r="D303" s="23">
        <f t="shared" si="43"/>
        <v>168</v>
      </c>
      <c r="E303" s="23">
        <f t="shared" si="45"/>
        <v>252</v>
      </c>
      <c r="F303" s="23">
        <f t="shared" si="46"/>
        <v>700</v>
      </c>
      <c r="G303" s="23">
        <f t="shared" ca="1" si="47"/>
        <v>204</v>
      </c>
      <c r="H303" s="23">
        <f t="shared" ca="1" si="48"/>
        <v>707</v>
      </c>
      <c r="I303" s="23">
        <f t="shared" ca="1" si="49"/>
        <v>372</v>
      </c>
      <c r="J303" s="23">
        <f t="shared" ca="1" si="50"/>
        <v>707</v>
      </c>
      <c r="K303" s="23">
        <f t="shared" ca="1" si="51"/>
        <v>1079</v>
      </c>
      <c r="L303" s="23">
        <f t="shared" ca="1" si="44"/>
        <v>72865</v>
      </c>
    </row>
    <row r="304" spans="3:12">
      <c r="C304" s="23">
        <f t="shared" si="42"/>
        <v>420</v>
      </c>
      <c r="D304" s="23">
        <f t="shared" si="43"/>
        <v>168</v>
      </c>
      <c r="E304" s="23">
        <f t="shared" si="45"/>
        <v>252</v>
      </c>
      <c r="F304" s="23">
        <f t="shared" si="46"/>
        <v>700</v>
      </c>
      <c r="G304" s="23">
        <f t="shared" ca="1" si="47"/>
        <v>228</v>
      </c>
      <c r="H304" s="23">
        <f t="shared" ca="1" si="48"/>
        <v>632</v>
      </c>
      <c r="I304" s="23">
        <f t="shared" ca="1" si="49"/>
        <v>396</v>
      </c>
      <c r="J304" s="23">
        <f t="shared" ca="1" si="50"/>
        <v>632</v>
      </c>
      <c r="K304" s="23">
        <f t="shared" ca="1" si="51"/>
        <v>1028</v>
      </c>
      <c r="L304" s="23">
        <f t="shared" ca="1" si="44"/>
        <v>65980</v>
      </c>
    </row>
    <row r="305" spans="3:12">
      <c r="C305" s="23">
        <f t="shared" si="42"/>
        <v>420</v>
      </c>
      <c r="D305" s="23">
        <f t="shared" si="43"/>
        <v>168</v>
      </c>
      <c r="E305" s="23">
        <f t="shared" si="45"/>
        <v>252</v>
      </c>
      <c r="F305" s="23">
        <f t="shared" si="46"/>
        <v>700</v>
      </c>
      <c r="G305" s="23">
        <f t="shared" ca="1" si="47"/>
        <v>234</v>
      </c>
      <c r="H305" s="23">
        <f t="shared" ca="1" si="48"/>
        <v>660</v>
      </c>
      <c r="I305" s="23">
        <f t="shared" ca="1" si="49"/>
        <v>402</v>
      </c>
      <c r="J305" s="23">
        <f t="shared" ca="1" si="50"/>
        <v>660</v>
      </c>
      <c r="K305" s="23">
        <f t="shared" ca="1" si="51"/>
        <v>1062</v>
      </c>
      <c r="L305" s="23">
        <f t="shared" ca="1" si="44"/>
        <v>70570</v>
      </c>
    </row>
    <row r="306" spans="3:12">
      <c r="C306" s="23">
        <f t="shared" si="42"/>
        <v>420</v>
      </c>
      <c r="D306" s="23">
        <f t="shared" si="43"/>
        <v>168</v>
      </c>
      <c r="E306" s="23">
        <f t="shared" si="45"/>
        <v>252</v>
      </c>
      <c r="F306" s="23">
        <f t="shared" si="46"/>
        <v>700</v>
      </c>
      <c r="G306" s="23">
        <f t="shared" ca="1" si="47"/>
        <v>257</v>
      </c>
      <c r="H306" s="23">
        <f t="shared" ca="1" si="48"/>
        <v>708</v>
      </c>
      <c r="I306" s="23">
        <f t="shared" ca="1" si="49"/>
        <v>420</v>
      </c>
      <c r="J306" s="23">
        <f t="shared" ca="1" si="50"/>
        <v>700</v>
      </c>
      <c r="K306" s="23">
        <f t="shared" ca="1" si="51"/>
        <v>1120</v>
      </c>
      <c r="L306" s="23">
        <f t="shared" ca="1" si="44"/>
        <v>78400</v>
      </c>
    </row>
    <row r="307" spans="3:12">
      <c r="C307" s="23">
        <f t="shared" si="42"/>
        <v>420</v>
      </c>
      <c r="D307" s="23">
        <f t="shared" si="43"/>
        <v>168</v>
      </c>
      <c r="E307" s="23">
        <f t="shared" si="45"/>
        <v>252</v>
      </c>
      <c r="F307" s="23">
        <f t="shared" si="46"/>
        <v>700</v>
      </c>
      <c r="G307" s="23">
        <f t="shared" ca="1" si="47"/>
        <v>224</v>
      </c>
      <c r="H307" s="23">
        <f t="shared" ca="1" si="48"/>
        <v>709</v>
      </c>
      <c r="I307" s="23">
        <f t="shared" ca="1" si="49"/>
        <v>392</v>
      </c>
      <c r="J307" s="23">
        <f t="shared" ca="1" si="50"/>
        <v>709</v>
      </c>
      <c r="K307" s="23">
        <f t="shared" ca="1" si="51"/>
        <v>1101</v>
      </c>
      <c r="L307" s="23">
        <f t="shared" ca="1" si="44"/>
        <v>75835</v>
      </c>
    </row>
    <row r="308" spans="3:12">
      <c r="C308" s="23">
        <f t="shared" si="42"/>
        <v>420</v>
      </c>
      <c r="D308" s="23">
        <f t="shared" si="43"/>
        <v>168</v>
      </c>
      <c r="E308" s="23">
        <f t="shared" si="45"/>
        <v>252</v>
      </c>
      <c r="F308" s="23">
        <f t="shared" si="46"/>
        <v>700</v>
      </c>
      <c r="G308" s="23">
        <f t="shared" ca="1" si="47"/>
        <v>212</v>
      </c>
      <c r="H308" s="23">
        <f t="shared" ca="1" si="48"/>
        <v>482</v>
      </c>
      <c r="I308" s="23">
        <f t="shared" ca="1" si="49"/>
        <v>380</v>
      </c>
      <c r="J308" s="23">
        <f t="shared" ca="1" si="50"/>
        <v>482</v>
      </c>
      <c r="K308" s="23">
        <f t="shared" ca="1" si="51"/>
        <v>862</v>
      </c>
      <c r="L308" s="23">
        <f t="shared" ca="1" si="44"/>
        <v>43570</v>
      </c>
    </row>
    <row r="309" spans="3:12">
      <c r="C309" s="23">
        <f t="shared" si="42"/>
        <v>420</v>
      </c>
      <c r="D309" s="23">
        <f t="shared" si="43"/>
        <v>168</v>
      </c>
      <c r="E309" s="23">
        <f t="shared" si="45"/>
        <v>252</v>
      </c>
      <c r="F309" s="23">
        <f t="shared" si="46"/>
        <v>700</v>
      </c>
      <c r="G309" s="23">
        <f t="shared" ca="1" si="47"/>
        <v>179</v>
      </c>
      <c r="H309" s="23">
        <f t="shared" ca="1" si="48"/>
        <v>666</v>
      </c>
      <c r="I309" s="23">
        <f t="shared" ca="1" si="49"/>
        <v>347</v>
      </c>
      <c r="J309" s="23">
        <f t="shared" ca="1" si="50"/>
        <v>666</v>
      </c>
      <c r="K309" s="23">
        <f t="shared" ca="1" si="51"/>
        <v>1013</v>
      </c>
      <c r="L309" s="23">
        <f t="shared" ca="1" si="44"/>
        <v>63955</v>
      </c>
    </row>
    <row r="310" spans="3:12">
      <c r="C310" s="23">
        <f t="shared" si="42"/>
        <v>420</v>
      </c>
      <c r="D310" s="23">
        <f t="shared" si="43"/>
        <v>168</v>
      </c>
      <c r="E310" s="23">
        <f t="shared" si="45"/>
        <v>252</v>
      </c>
      <c r="F310" s="23">
        <f t="shared" si="46"/>
        <v>700</v>
      </c>
      <c r="G310" s="23">
        <f t="shared" ca="1" si="47"/>
        <v>225</v>
      </c>
      <c r="H310" s="23">
        <f t="shared" ca="1" si="48"/>
        <v>765</v>
      </c>
      <c r="I310" s="23">
        <f t="shared" ca="1" si="49"/>
        <v>393</v>
      </c>
      <c r="J310" s="23">
        <f t="shared" ca="1" si="50"/>
        <v>727</v>
      </c>
      <c r="K310" s="23">
        <f t="shared" ca="1" si="51"/>
        <v>1120</v>
      </c>
      <c r="L310" s="23">
        <f t="shared" ca="1" si="44"/>
        <v>78400</v>
      </c>
    </row>
    <row r="311" spans="3:12">
      <c r="C311" s="23">
        <f t="shared" si="42"/>
        <v>420</v>
      </c>
      <c r="D311" s="23">
        <f t="shared" si="43"/>
        <v>168</v>
      </c>
      <c r="E311" s="23">
        <f t="shared" si="45"/>
        <v>252</v>
      </c>
      <c r="F311" s="23">
        <f t="shared" si="46"/>
        <v>700</v>
      </c>
      <c r="G311" s="23">
        <f t="shared" ca="1" si="47"/>
        <v>225</v>
      </c>
      <c r="H311" s="23">
        <f t="shared" ca="1" si="48"/>
        <v>634</v>
      </c>
      <c r="I311" s="23">
        <f t="shared" ca="1" si="49"/>
        <v>393</v>
      </c>
      <c r="J311" s="23">
        <f t="shared" ca="1" si="50"/>
        <v>634</v>
      </c>
      <c r="K311" s="23">
        <f t="shared" ca="1" si="51"/>
        <v>1027</v>
      </c>
      <c r="L311" s="23">
        <f t="shared" ca="1" si="44"/>
        <v>65845</v>
      </c>
    </row>
    <row r="312" spans="3:12">
      <c r="C312" s="23">
        <f t="shared" si="42"/>
        <v>420</v>
      </c>
      <c r="D312" s="23">
        <f t="shared" si="43"/>
        <v>168</v>
      </c>
      <c r="E312" s="23">
        <f t="shared" si="45"/>
        <v>252</v>
      </c>
      <c r="F312" s="23">
        <f t="shared" si="46"/>
        <v>700</v>
      </c>
      <c r="G312" s="23">
        <f t="shared" ca="1" si="47"/>
        <v>240</v>
      </c>
      <c r="H312" s="23">
        <f t="shared" ca="1" si="48"/>
        <v>621</v>
      </c>
      <c r="I312" s="23">
        <f t="shared" ca="1" si="49"/>
        <v>408</v>
      </c>
      <c r="J312" s="23">
        <f t="shared" ca="1" si="50"/>
        <v>621</v>
      </c>
      <c r="K312" s="23">
        <f t="shared" ca="1" si="51"/>
        <v>1029</v>
      </c>
      <c r="L312" s="23">
        <f t="shared" ca="1" si="44"/>
        <v>66115</v>
      </c>
    </row>
    <row r="313" spans="3:12">
      <c r="C313" s="23">
        <f t="shared" si="42"/>
        <v>420</v>
      </c>
      <c r="D313" s="23">
        <f t="shared" si="43"/>
        <v>168</v>
      </c>
      <c r="E313" s="23">
        <f t="shared" si="45"/>
        <v>252</v>
      </c>
      <c r="F313" s="23">
        <f t="shared" si="46"/>
        <v>700</v>
      </c>
      <c r="G313" s="23">
        <f t="shared" ca="1" si="47"/>
        <v>238</v>
      </c>
      <c r="H313" s="23">
        <f t="shared" ca="1" si="48"/>
        <v>714</v>
      </c>
      <c r="I313" s="23">
        <f t="shared" ca="1" si="49"/>
        <v>406</v>
      </c>
      <c r="J313" s="23">
        <f t="shared" ca="1" si="50"/>
        <v>714</v>
      </c>
      <c r="K313" s="23">
        <f t="shared" ca="1" si="51"/>
        <v>1120</v>
      </c>
      <c r="L313" s="23">
        <f t="shared" ca="1" si="44"/>
        <v>78400</v>
      </c>
    </row>
    <row r="314" spans="3:12">
      <c r="C314" s="23">
        <f t="shared" si="42"/>
        <v>420</v>
      </c>
      <c r="D314" s="23">
        <f t="shared" si="43"/>
        <v>168</v>
      </c>
      <c r="E314" s="23">
        <f t="shared" si="45"/>
        <v>252</v>
      </c>
      <c r="F314" s="23">
        <f t="shared" si="46"/>
        <v>700</v>
      </c>
      <c r="G314" s="23">
        <f t="shared" ca="1" si="47"/>
        <v>217</v>
      </c>
      <c r="H314" s="23">
        <f t="shared" ca="1" si="48"/>
        <v>588</v>
      </c>
      <c r="I314" s="23">
        <f t="shared" ca="1" si="49"/>
        <v>385</v>
      </c>
      <c r="J314" s="23">
        <f t="shared" ca="1" si="50"/>
        <v>588</v>
      </c>
      <c r="K314" s="23">
        <f t="shared" ca="1" si="51"/>
        <v>973</v>
      </c>
      <c r="L314" s="23">
        <f t="shared" ca="1" si="44"/>
        <v>58555</v>
      </c>
    </row>
    <row r="315" spans="3:12">
      <c r="C315" s="23">
        <f t="shared" si="42"/>
        <v>420</v>
      </c>
      <c r="D315" s="23">
        <f t="shared" si="43"/>
        <v>168</v>
      </c>
      <c r="E315" s="23">
        <f t="shared" si="45"/>
        <v>252</v>
      </c>
      <c r="F315" s="23">
        <f t="shared" si="46"/>
        <v>700</v>
      </c>
      <c r="G315" s="23">
        <f t="shared" ca="1" si="47"/>
        <v>190</v>
      </c>
      <c r="H315" s="23">
        <f t="shared" ca="1" si="48"/>
        <v>685</v>
      </c>
      <c r="I315" s="23">
        <f t="shared" ca="1" si="49"/>
        <v>358</v>
      </c>
      <c r="J315" s="23">
        <f t="shared" ca="1" si="50"/>
        <v>685</v>
      </c>
      <c r="K315" s="23">
        <f t="shared" ca="1" si="51"/>
        <v>1043</v>
      </c>
      <c r="L315" s="23">
        <f t="shared" ca="1" si="44"/>
        <v>68005</v>
      </c>
    </row>
    <row r="316" spans="3:12">
      <c r="C316" s="23">
        <f t="shared" si="42"/>
        <v>420</v>
      </c>
      <c r="D316" s="23">
        <f t="shared" si="43"/>
        <v>168</v>
      </c>
      <c r="E316" s="23">
        <f t="shared" si="45"/>
        <v>252</v>
      </c>
      <c r="F316" s="23">
        <f t="shared" si="46"/>
        <v>700</v>
      </c>
      <c r="G316" s="23">
        <f t="shared" ca="1" si="47"/>
        <v>235</v>
      </c>
      <c r="H316" s="23">
        <f t="shared" ca="1" si="48"/>
        <v>542</v>
      </c>
      <c r="I316" s="23">
        <f t="shared" ca="1" si="49"/>
        <v>403</v>
      </c>
      <c r="J316" s="23">
        <f t="shared" ca="1" si="50"/>
        <v>542</v>
      </c>
      <c r="K316" s="23">
        <f t="shared" ca="1" si="51"/>
        <v>945</v>
      </c>
      <c r="L316" s="23">
        <f t="shared" ca="1" si="44"/>
        <v>54775</v>
      </c>
    </row>
    <row r="317" spans="3:12">
      <c r="C317" s="23">
        <f t="shared" si="42"/>
        <v>420</v>
      </c>
      <c r="D317" s="23">
        <f t="shared" si="43"/>
        <v>168</v>
      </c>
      <c r="E317" s="23">
        <f t="shared" si="45"/>
        <v>252</v>
      </c>
      <c r="F317" s="23">
        <f t="shared" si="46"/>
        <v>700</v>
      </c>
      <c r="G317" s="23">
        <f t="shared" ca="1" si="47"/>
        <v>215</v>
      </c>
      <c r="H317" s="23">
        <f t="shared" ca="1" si="48"/>
        <v>618</v>
      </c>
      <c r="I317" s="23">
        <f t="shared" ca="1" si="49"/>
        <v>383</v>
      </c>
      <c r="J317" s="23">
        <f t="shared" ca="1" si="50"/>
        <v>618</v>
      </c>
      <c r="K317" s="23">
        <f t="shared" ca="1" si="51"/>
        <v>1001</v>
      </c>
      <c r="L317" s="23">
        <f t="shared" ca="1" si="44"/>
        <v>62335</v>
      </c>
    </row>
    <row r="318" spans="3:12">
      <c r="C318" s="23">
        <f t="shared" si="42"/>
        <v>420</v>
      </c>
      <c r="D318" s="23">
        <f t="shared" si="43"/>
        <v>168</v>
      </c>
      <c r="E318" s="23">
        <f t="shared" si="45"/>
        <v>252</v>
      </c>
      <c r="F318" s="23">
        <f t="shared" si="46"/>
        <v>700</v>
      </c>
      <c r="G318" s="23">
        <f t="shared" ca="1" si="47"/>
        <v>217</v>
      </c>
      <c r="H318" s="23">
        <f t="shared" ca="1" si="48"/>
        <v>585</v>
      </c>
      <c r="I318" s="23">
        <f t="shared" ca="1" si="49"/>
        <v>385</v>
      </c>
      <c r="J318" s="23">
        <f t="shared" ca="1" si="50"/>
        <v>585</v>
      </c>
      <c r="K318" s="23">
        <f t="shared" ca="1" si="51"/>
        <v>970</v>
      </c>
      <c r="L318" s="23">
        <f t="shared" ca="1" si="44"/>
        <v>58150</v>
      </c>
    </row>
    <row r="319" spans="3:12">
      <c r="C319" s="23">
        <f t="shared" si="42"/>
        <v>420</v>
      </c>
      <c r="D319" s="23">
        <f t="shared" si="43"/>
        <v>168</v>
      </c>
      <c r="E319" s="23">
        <f t="shared" si="45"/>
        <v>252</v>
      </c>
      <c r="F319" s="23">
        <f t="shared" si="46"/>
        <v>700</v>
      </c>
      <c r="G319" s="23">
        <f t="shared" ca="1" si="47"/>
        <v>249</v>
      </c>
      <c r="H319" s="23">
        <f t="shared" ca="1" si="48"/>
        <v>591</v>
      </c>
      <c r="I319" s="23">
        <f t="shared" ca="1" si="49"/>
        <v>417</v>
      </c>
      <c r="J319" s="23">
        <f t="shared" ca="1" si="50"/>
        <v>591</v>
      </c>
      <c r="K319" s="23">
        <f t="shared" ca="1" si="51"/>
        <v>1008</v>
      </c>
      <c r="L319" s="23">
        <f t="shared" ca="1" si="44"/>
        <v>63280</v>
      </c>
    </row>
    <row r="320" spans="3:12">
      <c r="C320" s="23">
        <f t="shared" si="42"/>
        <v>420</v>
      </c>
      <c r="D320" s="23">
        <f t="shared" si="43"/>
        <v>168</v>
      </c>
      <c r="E320" s="23">
        <f t="shared" si="45"/>
        <v>252</v>
      </c>
      <c r="F320" s="23">
        <f t="shared" si="46"/>
        <v>700</v>
      </c>
      <c r="G320" s="23">
        <f t="shared" ca="1" si="47"/>
        <v>189</v>
      </c>
      <c r="H320" s="23">
        <f t="shared" ca="1" si="48"/>
        <v>717</v>
      </c>
      <c r="I320" s="23">
        <f t="shared" ca="1" si="49"/>
        <v>357</v>
      </c>
      <c r="J320" s="23">
        <f t="shared" ca="1" si="50"/>
        <v>717</v>
      </c>
      <c r="K320" s="23">
        <f t="shared" ca="1" si="51"/>
        <v>1074</v>
      </c>
      <c r="L320" s="23">
        <f t="shared" ca="1" si="44"/>
        <v>72190</v>
      </c>
    </row>
    <row r="321" spans="3:12">
      <c r="C321" s="23">
        <f t="shared" si="42"/>
        <v>420</v>
      </c>
      <c r="D321" s="23">
        <f t="shared" si="43"/>
        <v>168</v>
      </c>
      <c r="E321" s="23">
        <f t="shared" si="45"/>
        <v>252</v>
      </c>
      <c r="F321" s="23">
        <f t="shared" si="46"/>
        <v>700</v>
      </c>
      <c r="G321" s="23">
        <f t="shared" ca="1" si="47"/>
        <v>199</v>
      </c>
      <c r="H321" s="23">
        <f t="shared" ca="1" si="48"/>
        <v>637</v>
      </c>
      <c r="I321" s="23">
        <f t="shared" ca="1" si="49"/>
        <v>367</v>
      </c>
      <c r="J321" s="23">
        <f t="shared" ca="1" si="50"/>
        <v>637</v>
      </c>
      <c r="K321" s="23">
        <f t="shared" ca="1" si="51"/>
        <v>1004</v>
      </c>
      <c r="L321" s="23">
        <f t="shared" ca="1" si="44"/>
        <v>62740</v>
      </c>
    </row>
    <row r="322" spans="3:12">
      <c r="C322" s="23">
        <f t="shared" si="42"/>
        <v>420</v>
      </c>
      <c r="D322" s="23">
        <f t="shared" si="43"/>
        <v>168</v>
      </c>
      <c r="E322" s="23">
        <f t="shared" si="45"/>
        <v>252</v>
      </c>
      <c r="F322" s="23">
        <f t="shared" si="46"/>
        <v>700</v>
      </c>
      <c r="G322" s="23">
        <f t="shared" ca="1" si="47"/>
        <v>229</v>
      </c>
      <c r="H322" s="23">
        <f t="shared" ca="1" si="48"/>
        <v>714</v>
      </c>
      <c r="I322" s="23">
        <f t="shared" ca="1" si="49"/>
        <v>397</v>
      </c>
      <c r="J322" s="23">
        <f t="shared" ca="1" si="50"/>
        <v>714</v>
      </c>
      <c r="K322" s="23">
        <f t="shared" ca="1" si="51"/>
        <v>1111</v>
      </c>
      <c r="L322" s="23">
        <f t="shared" ca="1" si="44"/>
        <v>77185</v>
      </c>
    </row>
    <row r="323" spans="3:12">
      <c r="C323" s="23">
        <f t="shared" si="42"/>
        <v>420</v>
      </c>
      <c r="D323" s="23">
        <f t="shared" si="43"/>
        <v>168</v>
      </c>
      <c r="E323" s="23">
        <f t="shared" si="45"/>
        <v>252</v>
      </c>
      <c r="F323" s="23">
        <f t="shared" si="46"/>
        <v>700</v>
      </c>
      <c r="G323" s="23">
        <f t="shared" ca="1" si="47"/>
        <v>213</v>
      </c>
      <c r="H323" s="23">
        <f t="shared" ca="1" si="48"/>
        <v>720</v>
      </c>
      <c r="I323" s="23">
        <f t="shared" ca="1" si="49"/>
        <v>381</v>
      </c>
      <c r="J323" s="23">
        <f t="shared" ca="1" si="50"/>
        <v>720</v>
      </c>
      <c r="K323" s="23">
        <f t="shared" ca="1" si="51"/>
        <v>1101</v>
      </c>
      <c r="L323" s="23">
        <f t="shared" ca="1" si="44"/>
        <v>75835</v>
      </c>
    </row>
    <row r="324" spans="3:12">
      <c r="C324" s="23">
        <f t="shared" si="42"/>
        <v>420</v>
      </c>
      <c r="D324" s="23">
        <f t="shared" si="43"/>
        <v>168</v>
      </c>
      <c r="E324" s="23">
        <f t="shared" si="45"/>
        <v>252</v>
      </c>
      <c r="F324" s="23">
        <f t="shared" si="46"/>
        <v>700</v>
      </c>
      <c r="G324" s="23">
        <f t="shared" ca="1" si="47"/>
        <v>180</v>
      </c>
      <c r="H324" s="23">
        <f t="shared" ca="1" si="48"/>
        <v>750</v>
      </c>
      <c r="I324" s="23">
        <f t="shared" ca="1" si="49"/>
        <v>348</v>
      </c>
      <c r="J324" s="23">
        <f t="shared" ca="1" si="50"/>
        <v>750</v>
      </c>
      <c r="K324" s="23">
        <f t="shared" ca="1" si="51"/>
        <v>1098</v>
      </c>
      <c r="L324" s="23">
        <f t="shared" ca="1" si="44"/>
        <v>75430</v>
      </c>
    </row>
    <row r="325" spans="3:12">
      <c r="C325" s="23">
        <f t="shared" si="42"/>
        <v>420</v>
      </c>
      <c r="D325" s="23">
        <f t="shared" si="43"/>
        <v>168</v>
      </c>
      <c r="E325" s="23">
        <f t="shared" si="45"/>
        <v>252</v>
      </c>
      <c r="F325" s="23">
        <f t="shared" si="46"/>
        <v>700</v>
      </c>
      <c r="G325" s="23">
        <f t="shared" ca="1" si="47"/>
        <v>208</v>
      </c>
      <c r="H325" s="23">
        <f t="shared" ca="1" si="48"/>
        <v>579</v>
      </c>
      <c r="I325" s="23">
        <f t="shared" ca="1" si="49"/>
        <v>376</v>
      </c>
      <c r="J325" s="23">
        <f t="shared" ca="1" si="50"/>
        <v>579</v>
      </c>
      <c r="K325" s="23">
        <f t="shared" ca="1" si="51"/>
        <v>955</v>
      </c>
      <c r="L325" s="23">
        <f t="shared" ca="1" si="44"/>
        <v>56125</v>
      </c>
    </row>
    <row r="326" spans="3:12">
      <c r="C326" s="23">
        <f t="shared" si="42"/>
        <v>420</v>
      </c>
      <c r="D326" s="23">
        <f t="shared" si="43"/>
        <v>168</v>
      </c>
      <c r="E326" s="23">
        <f t="shared" si="45"/>
        <v>252</v>
      </c>
      <c r="F326" s="23">
        <f t="shared" si="46"/>
        <v>700</v>
      </c>
      <c r="G326" s="23">
        <f t="shared" ca="1" si="47"/>
        <v>213</v>
      </c>
      <c r="H326" s="23">
        <f t="shared" ca="1" si="48"/>
        <v>632</v>
      </c>
      <c r="I326" s="23">
        <f t="shared" ca="1" si="49"/>
        <v>381</v>
      </c>
      <c r="J326" s="23">
        <f t="shared" ca="1" si="50"/>
        <v>632</v>
      </c>
      <c r="K326" s="23">
        <f t="shared" ca="1" si="51"/>
        <v>1013</v>
      </c>
      <c r="L326" s="23">
        <f t="shared" ca="1" si="44"/>
        <v>63955</v>
      </c>
    </row>
    <row r="327" spans="3:12">
      <c r="C327" s="23">
        <f t="shared" si="42"/>
        <v>420</v>
      </c>
      <c r="D327" s="23">
        <f t="shared" si="43"/>
        <v>168</v>
      </c>
      <c r="E327" s="23">
        <f t="shared" si="45"/>
        <v>252</v>
      </c>
      <c r="F327" s="23">
        <f t="shared" si="46"/>
        <v>700</v>
      </c>
      <c r="G327" s="23">
        <f t="shared" ca="1" si="47"/>
        <v>187</v>
      </c>
      <c r="H327" s="23">
        <f t="shared" ca="1" si="48"/>
        <v>632</v>
      </c>
      <c r="I327" s="23">
        <f t="shared" ca="1" si="49"/>
        <v>355</v>
      </c>
      <c r="J327" s="23">
        <f t="shared" ca="1" si="50"/>
        <v>632</v>
      </c>
      <c r="K327" s="23">
        <f t="shared" ca="1" si="51"/>
        <v>987</v>
      </c>
      <c r="L327" s="23">
        <f t="shared" ca="1" si="44"/>
        <v>60445</v>
      </c>
    </row>
    <row r="328" spans="3:12">
      <c r="C328" s="23">
        <f t="shared" si="42"/>
        <v>420</v>
      </c>
      <c r="D328" s="23">
        <f t="shared" si="43"/>
        <v>168</v>
      </c>
      <c r="E328" s="23">
        <f t="shared" si="45"/>
        <v>252</v>
      </c>
      <c r="F328" s="23">
        <f t="shared" si="46"/>
        <v>700</v>
      </c>
      <c r="G328" s="23">
        <f t="shared" ca="1" si="47"/>
        <v>229</v>
      </c>
      <c r="H328" s="23">
        <f t="shared" ca="1" si="48"/>
        <v>670</v>
      </c>
      <c r="I328" s="23">
        <f t="shared" ca="1" si="49"/>
        <v>397</v>
      </c>
      <c r="J328" s="23">
        <f t="shared" ca="1" si="50"/>
        <v>670</v>
      </c>
      <c r="K328" s="23">
        <f t="shared" ca="1" si="51"/>
        <v>1067</v>
      </c>
      <c r="L328" s="23">
        <f t="shared" ca="1" si="44"/>
        <v>71245</v>
      </c>
    </row>
    <row r="329" spans="3:12">
      <c r="C329" s="23">
        <f t="shared" si="42"/>
        <v>420</v>
      </c>
      <c r="D329" s="23">
        <f t="shared" si="43"/>
        <v>168</v>
      </c>
      <c r="E329" s="23">
        <f t="shared" si="45"/>
        <v>252</v>
      </c>
      <c r="F329" s="23">
        <f t="shared" si="46"/>
        <v>700</v>
      </c>
      <c r="G329" s="23">
        <f t="shared" ca="1" si="47"/>
        <v>192</v>
      </c>
      <c r="H329" s="23">
        <f t="shared" ca="1" si="48"/>
        <v>545</v>
      </c>
      <c r="I329" s="23">
        <f t="shared" ca="1" si="49"/>
        <v>360</v>
      </c>
      <c r="J329" s="23">
        <f t="shared" ca="1" si="50"/>
        <v>545</v>
      </c>
      <c r="K329" s="23">
        <f t="shared" ca="1" si="51"/>
        <v>905</v>
      </c>
      <c r="L329" s="23">
        <f t="shared" ca="1" si="44"/>
        <v>49375</v>
      </c>
    </row>
    <row r="330" spans="3:12">
      <c r="C330" s="23">
        <f t="shared" si="42"/>
        <v>420</v>
      </c>
      <c r="D330" s="23">
        <f t="shared" si="43"/>
        <v>168</v>
      </c>
      <c r="E330" s="23">
        <f t="shared" si="45"/>
        <v>252</v>
      </c>
      <c r="F330" s="23">
        <f t="shared" si="46"/>
        <v>700</v>
      </c>
      <c r="G330" s="23">
        <f t="shared" ca="1" si="47"/>
        <v>211</v>
      </c>
      <c r="H330" s="23">
        <f t="shared" ca="1" si="48"/>
        <v>706</v>
      </c>
      <c r="I330" s="23">
        <f t="shared" ca="1" si="49"/>
        <v>379</v>
      </c>
      <c r="J330" s="23">
        <f t="shared" ca="1" si="50"/>
        <v>706</v>
      </c>
      <c r="K330" s="23">
        <f t="shared" ca="1" si="51"/>
        <v>1085</v>
      </c>
      <c r="L330" s="23">
        <f t="shared" ca="1" si="44"/>
        <v>73675</v>
      </c>
    </row>
    <row r="331" spans="3:12">
      <c r="C331" s="23">
        <f t="shared" si="42"/>
        <v>420</v>
      </c>
      <c r="D331" s="23">
        <f t="shared" si="43"/>
        <v>168</v>
      </c>
      <c r="E331" s="23">
        <f t="shared" si="45"/>
        <v>252</v>
      </c>
      <c r="F331" s="23">
        <f t="shared" si="46"/>
        <v>700</v>
      </c>
      <c r="G331" s="23">
        <f t="shared" ca="1" si="47"/>
        <v>163</v>
      </c>
      <c r="H331" s="23">
        <f t="shared" ca="1" si="48"/>
        <v>611</v>
      </c>
      <c r="I331" s="23">
        <f t="shared" ca="1" si="49"/>
        <v>331</v>
      </c>
      <c r="J331" s="23">
        <f t="shared" ca="1" si="50"/>
        <v>611</v>
      </c>
      <c r="K331" s="23">
        <f t="shared" ca="1" si="51"/>
        <v>942</v>
      </c>
      <c r="L331" s="23">
        <f t="shared" ca="1" si="44"/>
        <v>54370</v>
      </c>
    </row>
    <row r="332" spans="3:12">
      <c r="C332" s="23">
        <f t="shared" ref="C332:C395" si="52">$B$4</f>
        <v>420</v>
      </c>
      <c r="D332" s="23">
        <f t="shared" ref="D332:D395" si="53">$B$5</f>
        <v>168</v>
      </c>
      <c r="E332" s="23">
        <f t="shared" si="45"/>
        <v>252</v>
      </c>
      <c r="F332" s="23">
        <f t="shared" si="46"/>
        <v>700</v>
      </c>
      <c r="G332" s="23">
        <f t="shared" ca="1" si="47"/>
        <v>187</v>
      </c>
      <c r="H332" s="23">
        <f t="shared" ca="1" si="48"/>
        <v>650</v>
      </c>
      <c r="I332" s="23">
        <f t="shared" ca="1" si="49"/>
        <v>355</v>
      </c>
      <c r="J332" s="23">
        <f t="shared" ca="1" si="50"/>
        <v>650</v>
      </c>
      <c r="K332" s="23">
        <f t="shared" ca="1" si="51"/>
        <v>1005</v>
      </c>
      <c r="L332" s="23">
        <f t="shared" ref="L332:L395" ca="1" si="54">K332*$B$2-(F332+C332)*$B$1</f>
        <v>62875</v>
      </c>
    </row>
    <row r="333" spans="3:12">
      <c r="C333" s="23">
        <f t="shared" si="52"/>
        <v>420</v>
      </c>
      <c r="D333" s="23">
        <f t="shared" si="53"/>
        <v>168</v>
      </c>
      <c r="E333" s="23">
        <f t="shared" ref="E333:E396" si="55">MAX(0,C333-D333)</f>
        <v>252</v>
      </c>
      <c r="F333" s="23">
        <f t="shared" ref="F333:F396" si="56">$E$8</f>
        <v>700</v>
      </c>
      <c r="G333" s="23">
        <f t="shared" ref="G333:G396" ca="1" si="57">_xlfn.FLOOR.MATH(MAX(0,_xlfn.NORM.INV(RAND(),$B$6*$B$8,$B$3*($B$8+0.0001))))</f>
        <v>193</v>
      </c>
      <c r="H333" s="23">
        <f t="shared" ref="H333:H396" ca="1" si="58">_xlfn.FLOOR.MATH(MAX(0,_xlfn.NORM.INV(RAND(),$B$6*(1-$B$8),$B$3*(1.00001-$B$8))))</f>
        <v>676</v>
      </c>
      <c r="I333" s="23">
        <f t="shared" ref="I333:I396" ca="1" si="59">MIN(C333,D333+G333)</f>
        <v>361</v>
      </c>
      <c r="J333" s="23">
        <f t="shared" ref="J333:J396" ca="1" si="60">MIN(C333-I333+F333,H333)</f>
        <v>676</v>
      </c>
      <c r="K333" s="23">
        <f t="shared" ref="K333:K396" ca="1" si="61">I333+J333</f>
        <v>1037</v>
      </c>
      <c r="L333" s="23">
        <f t="shared" ca="1" si="54"/>
        <v>67195</v>
      </c>
    </row>
    <row r="334" spans="3:12">
      <c r="C334" s="23">
        <f t="shared" si="52"/>
        <v>420</v>
      </c>
      <c r="D334" s="23">
        <f t="shared" si="53"/>
        <v>168</v>
      </c>
      <c r="E334" s="23">
        <f t="shared" si="55"/>
        <v>252</v>
      </c>
      <c r="F334" s="23">
        <f t="shared" si="56"/>
        <v>700</v>
      </c>
      <c r="G334" s="23">
        <f t="shared" ca="1" si="57"/>
        <v>214</v>
      </c>
      <c r="H334" s="23">
        <f t="shared" ca="1" si="58"/>
        <v>655</v>
      </c>
      <c r="I334" s="23">
        <f t="shared" ca="1" si="59"/>
        <v>382</v>
      </c>
      <c r="J334" s="23">
        <f t="shared" ca="1" si="60"/>
        <v>655</v>
      </c>
      <c r="K334" s="23">
        <f t="shared" ca="1" si="61"/>
        <v>1037</v>
      </c>
      <c r="L334" s="23">
        <f t="shared" ca="1" si="54"/>
        <v>67195</v>
      </c>
    </row>
    <row r="335" spans="3:12">
      <c r="C335" s="23">
        <f t="shared" si="52"/>
        <v>420</v>
      </c>
      <c r="D335" s="23">
        <f t="shared" si="53"/>
        <v>168</v>
      </c>
      <c r="E335" s="23">
        <f t="shared" si="55"/>
        <v>252</v>
      </c>
      <c r="F335" s="23">
        <f t="shared" si="56"/>
        <v>700</v>
      </c>
      <c r="G335" s="23">
        <f t="shared" ca="1" si="57"/>
        <v>203</v>
      </c>
      <c r="H335" s="23">
        <f t="shared" ca="1" si="58"/>
        <v>582</v>
      </c>
      <c r="I335" s="23">
        <f t="shared" ca="1" si="59"/>
        <v>371</v>
      </c>
      <c r="J335" s="23">
        <f t="shared" ca="1" si="60"/>
        <v>582</v>
      </c>
      <c r="K335" s="23">
        <f t="shared" ca="1" si="61"/>
        <v>953</v>
      </c>
      <c r="L335" s="23">
        <f t="shared" ca="1" si="54"/>
        <v>55855</v>
      </c>
    </row>
    <row r="336" spans="3:12">
      <c r="C336" s="23">
        <f t="shared" si="52"/>
        <v>420</v>
      </c>
      <c r="D336" s="23">
        <f t="shared" si="53"/>
        <v>168</v>
      </c>
      <c r="E336" s="23">
        <f t="shared" si="55"/>
        <v>252</v>
      </c>
      <c r="F336" s="23">
        <f t="shared" si="56"/>
        <v>700</v>
      </c>
      <c r="G336" s="23">
        <f t="shared" ca="1" si="57"/>
        <v>213</v>
      </c>
      <c r="H336" s="23">
        <f t="shared" ca="1" si="58"/>
        <v>709</v>
      </c>
      <c r="I336" s="23">
        <f t="shared" ca="1" si="59"/>
        <v>381</v>
      </c>
      <c r="J336" s="23">
        <f t="shared" ca="1" si="60"/>
        <v>709</v>
      </c>
      <c r="K336" s="23">
        <f t="shared" ca="1" si="61"/>
        <v>1090</v>
      </c>
      <c r="L336" s="23">
        <f t="shared" ca="1" si="54"/>
        <v>74350</v>
      </c>
    </row>
    <row r="337" spans="3:12">
      <c r="C337" s="23">
        <f t="shared" si="52"/>
        <v>420</v>
      </c>
      <c r="D337" s="23">
        <f t="shared" si="53"/>
        <v>168</v>
      </c>
      <c r="E337" s="23">
        <f t="shared" si="55"/>
        <v>252</v>
      </c>
      <c r="F337" s="23">
        <f t="shared" si="56"/>
        <v>700</v>
      </c>
      <c r="G337" s="23">
        <f t="shared" ca="1" si="57"/>
        <v>201</v>
      </c>
      <c r="H337" s="23">
        <f t="shared" ca="1" si="58"/>
        <v>747</v>
      </c>
      <c r="I337" s="23">
        <f t="shared" ca="1" si="59"/>
        <v>369</v>
      </c>
      <c r="J337" s="23">
        <f t="shared" ca="1" si="60"/>
        <v>747</v>
      </c>
      <c r="K337" s="23">
        <f t="shared" ca="1" si="61"/>
        <v>1116</v>
      </c>
      <c r="L337" s="23">
        <f t="shared" ca="1" si="54"/>
        <v>77860</v>
      </c>
    </row>
    <row r="338" spans="3:12">
      <c r="C338" s="23">
        <f t="shared" si="52"/>
        <v>420</v>
      </c>
      <c r="D338" s="23">
        <f t="shared" si="53"/>
        <v>168</v>
      </c>
      <c r="E338" s="23">
        <f t="shared" si="55"/>
        <v>252</v>
      </c>
      <c r="F338" s="23">
        <f t="shared" si="56"/>
        <v>700</v>
      </c>
      <c r="G338" s="23">
        <f t="shared" ca="1" si="57"/>
        <v>225</v>
      </c>
      <c r="H338" s="23">
        <f t="shared" ca="1" si="58"/>
        <v>710</v>
      </c>
      <c r="I338" s="23">
        <f t="shared" ca="1" si="59"/>
        <v>393</v>
      </c>
      <c r="J338" s="23">
        <f t="shared" ca="1" si="60"/>
        <v>710</v>
      </c>
      <c r="K338" s="23">
        <f t="shared" ca="1" si="61"/>
        <v>1103</v>
      </c>
      <c r="L338" s="23">
        <f t="shared" ca="1" si="54"/>
        <v>76105</v>
      </c>
    </row>
    <row r="339" spans="3:12">
      <c r="C339" s="23">
        <f t="shared" si="52"/>
        <v>420</v>
      </c>
      <c r="D339" s="23">
        <f t="shared" si="53"/>
        <v>168</v>
      </c>
      <c r="E339" s="23">
        <f t="shared" si="55"/>
        <v>252</v>
      </c>
      <c r="F339" s="23">
        <f t="shared" si="56"/>
        <v>700</v>
      </c>
      <c r="G339" s="23">
        <f t="shared" ca="1" si="57"/>
        <v>217</v>
      </c>
      <c r="H339" s="23">
        <f t="shared" ca="1" si="58"/>
        <v>650</v>
      </c>
      <c r="I339" s="23">
        <f t="shared" ca="1" si="59"/>
        <v>385</v>
      </c>
      <c r="J339" s="23">
        <f t="shared" ca="1" si="60"/>
        <v>650</v>
      </c>
      <c r="K339" s="23">
        <f t="shared" ca="1" si="61"/>
        <v>1035</v>
      </c>
      <c r="L339" s="23">
        <f t="shared" ca="1" si="54"/>
        <v>66925</v>
      </c>
    </row>
    <row r="340" spans="3:12">
      <c r="C340" s="23">
        <f t="shared" si="52"/>
        <v>420</v>
      </c>
      <c r="D340" s="23">
        <f t="shared" si="53"/>
        <v>168</v>
      </c>
      <c r="E340" s="23">
        <f t="shared" si="55"/>
        <v>252</v>
      </c>
      <c r="F340" s="23">
        <f t="shared" si="56"/>
        <v>700</v>
      </c>
      <c r="G340" s="23">
        <f t="shared" ca="1" si="57"/>
        <v>232</v>
      </c>
      <c r="H340" s="23">
        <f t="shared" ca="1" si="58"/>
        <v>706</v>
      </c>
      <c r="I340" s="23">
        <f t="shared" ca="1" si="59"/>
        <v>400</v>
      </c>
      <c r="J340" s="23">
        <f t="shared" ca="1" si="60"/>
        <v>706</v>
      </c>
      <c r="K340" s="23">
        <f t="shared" ca="1" si="61"/>
        <v>1106</v>
      </c>
      <c r="L340" s="23">
        <f t="shared" ca="1" si="54"/>
        <v>76510</v>
      </c>
    </row>
    <row r="341" spans="3:12">
      <c r="C341" s="23">
        <f t="shared" si="52"/>
        <v>420</v>
      </c>
      <c r="D341" s="23">
        <f t="shared" si="53"/>
        <v>168</v>
      </c>
      <c r="E341" s="23">
        <f t="shared" si="55"/>
        <v>252</v>
      </c>
      <c r="F341" s="23">
        <f t="shared" si="56"/>
        <v>700</v>
      </c>
      <c r="G341" s="23">
        <f t="shared" ca="1" si="57"/>
        <v>212</v>
      </c>
      <c r="H341" s="23">
        <f t="shared" ca="1" si="58"/>
        <v>635</v>
      </c>
      <c r="I341" s="23">
        <f t="shared" ca="1" si="59"/>
        <v>380</v>
      </c>
      <c r="J341" s="23">
        <f t="shared" ca="1" si="60"/>
        <v>635</v>
      </c>
      <c r="K341" s="23">
        <f t="shared" ca="1" si="61"/>
        <v>1015</v>
      </c>
      <c r="L341" s="23">
        <f t="shared" ca="1" si="54"/>
        <v>64225</v>
      </c>
    </row>
    <row r="342" spans="3:12">
      <c r="C342" s="23">
        <f t="shared" si="52"/>
        <v>420</v>
      </c>
      <c r="D342" s="23">
        <f t="shared" si="53"/>
        <v>168</v>
      </c>
      <c r="E342" s="23">
        <f t="shared" si="55"/>
        <v>252</v>
      </c>
      <c r="F342" s="23">
        <f t="shared" si="56"/>
        <v>700</v>
      </c>
      <c r="G342" s="23">
        <f t="shared" ca="1" si="57"/>
        <v>220</v>
      </c>
      <c r="H342" s="23">
        <f t="shared" ca="1" si="58"/>
        <v>706</v>
      </c>
      <c r="I342" s="23">
        <f t="shared" ca="1" si="59"/>
        <v>388</v>
      </c>
      <c r="J342" s="23">
        <f t="shared" ca="1" si="60"/>
        <v>706</v>
      </c>
      <c r="K342" s="23">
        <f t="shared" ca="1" si="61"/>
        <v>1094</v>
      </c>
      <c r="L342" s="23">
        <f t="shared" ca="1" si="54"/>
        <v>74890</v>
      </c>
    </row>
    <row r="343" spans="3:12">
      <c r="C343" s="23">
        <f t="shared" si="52"/>
        <v>420</v>
      </c>
      <c r="D343" s="23">
        <f t="shared" si="53"/>
        <v>168</v>
      </c>
      <c r="E343" s="23">
        <f t="shared" si="55"/>
        <v>252</v>
      </c>
      <c r="F343" s="23">
        <f t="shared" si="56"/>
        <v>700</v>
      </c>
      <c r="G343" s="23">
        <f t="shared" ca="1" si="57"/>
        <v>228</v>
      </c>
      <c r="H343" s="23">
        <f t="shared" ca="1" si="58"/>
        <v>620</v>
      </c>
      <c r="I343" s="23">
        <f t="shared" ca="1" si="59"/>
        <v>396</v>
      </c>
      <c r="J343" s="23">
        <f t="shared" ca="1" si="60"/>
        <v>620</v>
      </c>
      <c r="K343" s="23">
        <f t="shared" ca="1" si="61"/>
        <v>1016</v>
      </c>
      <c r="L343" s="23">
        <f t="shared" ca="1" si="54"/>
        <v>64360</v>
      </c>
    </row>
    <row r="344" spans="3:12">
      <c r="C344" s="23">
        <f t="shared" si="52"/>
        <v>420</v>
      </c>
      <c r="D344" s="23">
        <f t="shared" si="53"/>
        <v>168</v>
      </c>
      <c r="E344" s="23">
        <f t="shared" si="55"/>
        <v>252</v>
      </c>
      <c r="F344" s="23">
        <f t="shared" si="56"/>
        <v>700</v>
      </c>
      <c r="G344" s="23">
        <f t="shared" ca="1" si="57"/>
        <v>210</v>
      </c>
      <c r="H344" s="23">
        <f t="shared" ca="1" si="58"/>
        <v>712</v>
      </c>
      <c r="I344" s="23">
        <f t="shared" ca="1" si="59"/>
        <v>378</v>
      </c>
      <c r="J344" s="23">
        <f t="shared" ca="1" si="60"/>
        <v>712</v>
      </c>
      <c r="K344" s="23">
        <f t="shared" ca="1" si="61"/>
        <v>1090</v>
      </c>
      <c r="L344" s="23">
        <f t="shared" ca="1" si="54"/>
        <v>74350</v>
      </c>
    </row>
    <row r="345" spans="3:12">
      <c r="C345" s="23">
        <f t="shared" si="52"/>
        <v>420</v>
      </c>
      <c r="D345" s="23">
        <f t="shared" si="53"/>
        <v>168</v>
      </c>
      <c r="E345" s="23">
        <f t="shared" si="55"/>
        <v>252</v>
      </c>
      <c r="F345" s="23">
        <f t="shared" si="56"/>
        <v>700</v>
      </c>
      <c r="G345" s="23">
        <f t="shared" ca="1" si="57"/>
        <v>234</v>
      </c>
      <c r="H345" s="23">
        <f t="shared" ca="1" si="58"/>
        <v>529</v>
      </c>
      <c r="I345" s="23">
        <f t="shared" ca="1" si="59"/>
        <v>402</v>
      </c>
      <c r="J345" s="23">
        <f t="shared" ca="1" si="60"/>
        <v>529</v>
      </c>
      <c r="K345" s="23">
        <f t="shared" ca="1" si="61"/>
        <v>931</v>
      </c>
      <c r="L345" s="23">
        <f t="shared" ca="1" si="54"/>
        <v>52885</v>
      </c>
    </row>
    <row r="346" spans="3:12">
      <c r="C346" s="23">
        <f t="shared" si="52"/>
        <v>420</v>
      </c>
      <c r="D346" s="23">
        <f t="shared" si="53"/>
        <v>168</v>
      </c>
      <c r="E346" s="23">
        <f t="shared" si="55"/>
        <v>252</v>
      </c>
      <c r="F346" s="23">
        <f t="shared" si="56"/>
        <v>700</v>
      </c>
      <c r="G346" s="23">
        <f t="shared" ca="1" si="57"/>
        <v>228</v>
      </c>
      <c r="H346" s="23">
        <f t="shared" ca="1" si="58"/>
        <v>630</v>
      </c>
      <c r="I346" s="23">
        <f t="shared" ca="1" si="59"/>
        <v>396</v>
      </c>
      <c r="J346" s="23">
        <f t="shared" ca="1" si="60"/>
        <v>630</v>
      </c>
      <c r="K346" s="23">
        <f t="shared" ca="1" si="61"/>
        <v>1026</v>
      </c>
      <c r="L346" s="23">
        <f t="shared" ca="1" si="54"/>
        <v>65710</v>
      </c>
    </row>
    <row r="347" spans="3:12">
      <c r="C347" s="23">
        <f t="shared" si="52"/>
        <v>420</v>
      </c>
      <c r="D347" s="23">
        <f t="shared" si="53"/>
        <v>168</v>
      </c>
      <c r="E347" s="23">
        <f t="shared" si="55"/>
        <v>252</v>
      </c>
      <c r="F347" s="23">
        <f t="shared" si="56"/>
        <v>700</v>
      </c>
      <c r="G347" s="23">
        <f t="shared" ca="1" si="57"/>
        <v>235</v>
      </c>
      <c r="H347" s="23">
        <f t="shared" ca="1" si="58"/>
        <v>624</v>
      </c>
      <c r="I347" s="23">
        <f t="shared" ca="1" si="59"/>
        <v>403</v>
      </c>
      <c r="J347" s="23">
        <f t="shared" ca="1" si="60"/>
        <v>624</v>
      </c>
      <c r="K347" s="23">
        <f t="shared" ca="1" si="61"/>
        <v>1027</v>
      </c>
      <c r="L347" s="23">
        <f t="shared" ca="1" si="54"/>
        <v>65845</v>
      </c>
    </row>
    <row r="348" spans="3:12">
      <c r="C348" s="23">
        <f t="shared" si="52"/>
        <v>420</v>
      </c>
      <c r="D348" s="23">
        <f t="shared" si="53"/>
        <v>168</v>
      </c>
      <c r="E348" s="23">
        <f t="shared" si="55"/>
        <v>252</v>
      </c>
      <c r="F348" s="23">
        <f t="shared" si="56"/>
        <v>700</v>
      </c>
      <c r="G348" s="23">
        <f t="shared" ca="1" si="57"/>
        <v>244</v>
      </c>
      <c r="H348" s="23">
        <f t="shared" ca="1" si="58"/>
        <v>608</v>
      </c>
      <c r="I348" s="23">
        <f t="shared" ca="1" si="59"/>
        <v>412</v>
      </c>
      <c r="J348" s="23">
        <f t="shared" ca="1" si="60"/>
        <v>608</v>
      </c>
      <c r="K348" s="23">
        <f t="shared" ca="1" si="61"/>
        <v>1020</v>
      </c>
      <c r="L348" s="23">
        <f t="shared" ca="1" si="54"/>
        <v>64900</v>
      </c>
    </row>
    <row r="349" spans="3:12">
      <c r="C349" s="23">
        <f t="shared" si="52"/>
        <v>420</v>
      </c>
      <c r="D349" s="23">
        <f t="shared" si="53"/>
        <v>168</v>
      </c>
      <c r="E349" s="23">
        <f t="shared" si="55"/>
        <v>252</v>
      </c>
      <c r="F349" s="23">
        <f t="shared" si="56"/>
        <v>700</v>
      </c>
      <c r="G349" s="23">
        <f t="shared" ca="1" si="57"/>
        <v>162</v>
      </c>
      <c r="H349" s="23">
        <f t="shared" ca="1" si="58"/>
        <v>617</v>
      </c>
      <c r="I349" s="23">
        <f t="shared" ca="1" si="59"/>
        <v>330</v>
      </c>
      <c r="J349" s="23">
        <f t="shared" ca="1" si="60"/>
        <v>617</v>
      </c>
      <c r="K349" s="23">
        <f t="shared" ca="1" si="61"/>
        <v>947</v>
      </c>
      <c r="L349" s="23">
        <f t="shared" ca="1" si="54"/>
        <v>55045</v>
      </c>
    </row>
    <row r="350" spans="3:12">
      <c r="C350" s="23">
        <f t="shared" si="52"/>
        <v>420</v>
      </c>
      <c r="D350" s="23">
        <f t="shared" si="53"/>
        <v>168</v>
      </c>
      <c r="E350" s="23">
        <f t="shared" si="55"/>
        <v>252</v>
      </c>
      <c r="F350" s="23">
        <f t="shared" si="56"/>
        <v>700</v>
      </c>
      <c r="G350" s="23">
        <f t="shared" ca="1" si="57"/>
        <v>207</v>
      </c>
      <c r="H350" s="23">
        <f t="shared" ca="1" si="58"/>
        <v>600</v>
      </c>
      <c r="I350" s="23">
        <f t="shared" ca="1" si="59"/>
        <v>375</v>
      </c>
      <c r="J350" s="23">
        <f t="shared" ca="1" si="60"/>
        <v>600</v>
      </c>
      <c r="K350" s="23">
        <f t="shared" ca="1" si="61"/>
        <v>975</v>
      </c>
      <c r="L350" s="23">
        <f t="shared" ca="1" si="54"/>
        <v>58825</v>
      </c>
    </row>
    <row r="351" spans="3:12">
      <c r="C351" s="23">
        <f t="shared" si="52"/>
        <v>420</v>
      </c>
      <c r="D351" s="23">
        <f t="shared" si="53"/>
        <v>168</v>
      </c>
      <c r="E351" s="23">
        <f t="shared" si="55"/>
        <v>252</v>
      </c>
      <c r="F351" s="23">
        <f t="shared" si="56"/>
        <v>700</v>
      </c>
      <c r="G351" s="23">
        <f t="shared" ca="1" si="57"/>
        <v>173</v>
      </c>
      <c r="H351" s="23">
        <f t="shared" ca="1" si="58"/>
        <v>597</v>
      </c>
      <c r="I351" s="23">
        <f t="shared" ca="1" si="59"/>
        <v>341</v>
      </c>
      <c r="J351" s="23">
        <f t="shared" ca="1" si="60"/>
        <v>597</v>
      </c>
      <c r="K351" s="23">
        <f t="shared" ca="1" si="61"/>
        <v>938</v>
      </c>
      <c r="L351" s="23">
        <f t="shared" ca="1" si="54"/>
        <v>53830</v>
      </c>
    </row>
    <row r="352" spans="3:12">
      <c r="C352" s="23">
        <f t="shared" si="52"/>
        <v>420</v>
      </c>
      <c r="D352" s="23">
        <f t="shared" si="53"/>
        <v>168</v>
      </c>
      <c r="E352" s="23">
        <f t="shared" si="55"/>
        <v>252</v>
      </c>
      <c r="F352" s="23">
        <f t="shared" si="56"/>
        <v>700</v>
      </c>
      <c r="G352" s="23">
        <f t="shared" ca="1" si="57"/>
        <v>188</v>
      </c>
      <c r="H352" s="23">
        <f t="shared" ca="1" si="58"/>
        <v>711</v>
      </c>
      <c r="I352" s="23">
        <f t="shared" ca="1" si="59"/>
        <v>356</v>
      </c>
      <c r="J352" s="23">
        <f t="shared" ca="1" si="60"/>
        <v>711</v>
      </c>
      <c r="K352" s="23">
        <f t="shared" ca="1" si="61"/>
        <v>1067</v>
      </c>
      <c r="L352" s="23">
        <f t="shared" ca="1" si="54"/>
        <v>71245</v>
      </c>
    </row>
    <row r="353" spans="3:12">
      <c r="C353" s="23">
        <f t="shared" si="52"/>
        <v>420</v>
      </c>
      <c r="D353" s="23">
        <f t="shared" si="53"/>
        <v>168</v>
      </c>
      <c r="E353" s="23">
        <f t="shared" si="55"/>
        <v>252</v>
      </c>
      <c r="F353" s="23">
        <f t="shared" si="56"/>
        <v>700</v>
      </c>
      <c r="G353" s="23">
        <f t="shared" ca="1" si="57"/>
        <v>223</v>
      </c>
      <c r="H353" s="23">
        <f t="shared" ca="1" si="58"/>
        <v>704</v>
      </c>
      <c r="I353" s="23">
        <f t="shared" ca="1" si="59"/>
        <v>391</v>
      </c>
      <c r="J353" s="23">
        <f t="shared" ca="1" si="60"/>
        <v>704</v>
      </c>
      <c r="K353" s="23">
        <f t="shared" ca="1" si="61"/>
        <v>1095</v>
      </c>
      <c r="L353" s="23">
        <f t="shared" ca="1" si="54"/>
        <v>75025</v>
      </c>
    </row>
    <row r="354" spans="3:12">
      <c r="C354" s="23">
        <f t="shared" si="52"/>
        <v>420</v>
      </c>
      <c r="D354" s="23">
        <f t="shared" si="53"/>
        <v>168</v>
      </c>
      <c r="E354" s="23">
        <f t="shared" si="55"/>
        <v>252</v>
      </c>
      <c r="F354" s="23">
        <f t="shared" si="56"/>
        <v>700</v>
      </c>
      <c r="G354" s="23">
        <f t="shared" ca="1" si="57"/>
        <v>202</v>
      </c>
      <c r="H354" s="23">
        <f t="shared" ca="1" si="58"/>
        <v>647</v>
      </c>
      <c r="I354" s="23">
        <f t="shared" ca="1" si="59"/>
        <v>370</v>
      </c>
      <c r="J354" s="23">
        <f t="shared" ca="1" si="60"/>
        <v>647</v>
      </c>
      <c r="K354" s="23">
        <f t="shared" ca="1" si="61"/>
        <v>1017</v>
      </c>
      <c r="L354" s="23">
        <f t="shared" ca="1" si="54"/>
        <v>64495</v>
      </c>
    </row>
    <row r="355" spans="3:12">
      <c r="C355" s="23">
        <f t="shared" si="52"/>
        <v>420</v>
      </c>
      <c r="D355" s="23">
        <f t="shared" si="53"/>
        <v>168</v>
      </c>
      <c r="E355" s="23">
        <f t="shared" si="55"/>
        <v>252</v>
      </c>
      <c r="F355" s="23">
        <f t="shared" si="56"/>
        <v>700</v>
      </c>
      <c r="G355" s="23">
        <f t="shared" ca="1" si="57"/>
        <v>240</v>
      </c>
      <c r="H355" s="23">
        <f t="shared" ca="1" si="58"/>
        <v>573</v>
      </c>
      <c r="I355" s="23">
        <f t="shared" ca="1" si="59"/>
        <v>408</v>
      </c>
      <c r="J355" s="23">
        <f t="shared" ca="1" si="60"/>
        <v>573</v>
      </c>
      <c r="K355" s="23">
        <f t="shared" ca="1" si="61"/>
        <v>981</v>
      </c>
      <c r="L355" s="23">
        <f t="shared" ca="1" si="54"/>
        <v>59635</v>
      </c>
    </row>
    <row r="356" spans="3:12">
      <c r="C356" s="23">
        <f t="shared" si="52"/>
        <v>420</v>
      </c>
      <c r="D356" s="23">
        <f t="shared" si="53"/>
        <v>168</v>
      </c>
      <c r="E356" s="23">
        <f t="shared" si="55"/>
        <v>252</v>
      </c>
      <c r="F356" s="23">
        <f t="shared" si="56"/>
        <v>700</v>
      </c>
      <c r="G356" s="23">
        <f t="shared" ca="1" si="57"/>
        <v>236</v>
      </c>
      <c r="H356" s="23">
        <f t="shared" ca="1" si="58"/>
        <v>675</v>
      </c>
      <c r="I356" s="23">
        <f t="shared" ca="1" si="59"/>
        <v>404</v>
      </c>
      <c r="J356" s="23">
        <f t="shared" ca="1" si="60"/>
        <v>675</v>
      </c>
      <c r="K356" s="23">
        <f t="shared" ca="1" si="61"/>
        <v>1079</v>
      </c>
      <c r="L356" s="23">
        <f t="shared" ca="1" si="54"/>
        <v>72865</v>
      </c>
    </row>
    <row r="357" spans="3:12">
      <c r="C357" s="23">
        <f t="shared" si="52"/>
        <v>420</v>
      </c>
      <c r="D357" s="23">
        <f t="shared" si="53"/>
        <v>168</v>
      </c>
      <c r="E357" s="23">
        <f t="shared" si="55"/>
        <v>252</v>
      </c>
      <c r="F357" s="23">
        <f t="shared" si="56"/>
        <v>700</v>
      </c>
      <c r="G357" s="23">
        <f t="shared" ca="1" si="57"/>
        <v>221</v>
      </c>
      <c r="H357" s="23">
        <f t="shared" ca="1" si="58"/>
        <v>552</v>
      </c>
      <c r="I357" s="23">
        <f t="shared" ca="1" si="59"/>
        <v>389</v>
      </c>
      <c r="J357" s="23">
        <f t="shared" ca="1" si="60"/>
        <v>552</v>
      </c>
      <c r="K357" s="23">
        <f t="shared" ca="1" si="61"/>
        <v>941</v>
      </c>
      <c r="L357" s="23">
        <f t="shared" ca="1" si="54"/>
        <v>54235</v>
      </c>
    </row>
    <row r="358" spans="3:12">
      <c r="C358" s="23">
        <f t="shared" si="52"/>
        <v>420</v>
      </c>
      <c r="D358" s="23">
        <f t="shared" si="53"/>
        <v>168</v>
      </c>
      <c r="E358" s="23">
        <f t="shared" si="55"/>
        <v>252</v>
      </c>
      <c r="F358" s="23">
        <f t="shared" si="56"/>
        <v>700</v>
      </c>
      <c r="G358" s="23">
        <f t="shared" ca="1" si="57"/>
        <v>209</v>
      </c>
      <c r="H358" s="23">
        <f t="shared" ca="1" si="58"/>
        <v>668</v>
      </c>
      <c r="I358" s="23">
        <f t="shared" ca="1" si="59"/>
        <v>377</v>
      </c>
      <c r="J358" s="23">
        <f t="shared" ca="1" si="60"/>
        <v>668</v>
      </c>
      <c r="K358" s="23">
        <f t="shared" ca="1" si="61"/>
        <v>1045</v>
      </c>
      <c r="L358" s="23">
        <f t="shared" ca="1" si="54"/>
        <v>68275</v>
      </c>
    </row>
    <row r="359" spans="3:12">
      <c r="C359" s="23">
        <f t="shared" si="52"/>
        <v>420</v>
      </c>
      <c r="D359" s="23">
        <f t="shared" si="53"/>
        <v>168</v>
      </c>
      <c r="E359" s="23">
        <f t="shared" si="55"/>
        <v>252</v>
      </c>
      <c r="F359" s="23">
        <f t="shared" si="56"/>
        <v>700</v>
      </c>
      <c r="G359" s="23">
        <f t="shared" ca="1" si="57"/>
        <v>237</v>
      </c>
      <c r="H359" s="23">
        <f t="shared" ca="1" si="58"/>
        <v>677</v>
      </c>
      <c r="I359" s="23">
        <f t="shared" ca="1" si="59"/>
        <v>405</v>
      </c>
      <c r="J359" s="23">
        <f t="shared" ca="1" si="60"/>
        <v>677</v>
      </c>
      <c r="K359" s="23">
        <f t="shared" ca="1" si="61"/>
        <v>1082</v>
      </c>
      <c r="L359" s="23">
        <f t="shared" ca="1" si="54"/>
        <v>73270</v>
      </c>
    </row>
    <row r="360" spans="3:12">
      <c r="C360" s="23">
        <f t="shared" si="52"/>
        <v>420</v>
      </c>
      <c r="D360" s="23">
        <f t="shared" si="53"/>
        <v>168</v>
      </c>
      <c r="E360" s="23">
        <f t="shared" si="55"/>
        <v>252</v>
      </c>
      <c r="F360" s="23">
        <f t="shared" si="56"/>
        <v>700</v>
      </c>
      <c r="G360" s="23">
        <f t="shared" ca="1" si="57"/>
        <v>198</v>
      </c>
      <c r="H360" s="23">
        <f t="shared" ca="1" si="58"/>
        <v>657</v>
      </c>
      <c r="I360" s="23">
        <f t="shared" ca="1" si="59"/>
        <v>366</v>
      </c>
      <c r="J360" s="23">
        <f t="shared" ca="1" si="60"/>
        <v>657</v>
      </c>
      <c r="K360" s="23">
        <f t="shared" ca="1" si="61"/>
        <v>1023</v>
      </c>
      <c r="L360" s="23">
        <f t="shared" ca="1" si="54"/>
        <v>65305</v>
      </c>
    </row>
    <row r="361" spans="3:12">
      <c r="C361" s="23">
        <f t="shared" si="52"/>
        <v>420</v>
      </c>
      <c r="D361" s="23">
        <f t="shared" si="53"/>
        <v>168</v>
      </c>
      <c r="E361" s="23">
        <f t="shared" si="55"/>
        <v>252</v>
      </c>
      <c r="F361" s="23">
        <f t="shared" si="56"/>
        <v>700</v>
      </c>
      <c r="G361" s="23">
        <f t="shared" ca="1" si="57"/>
        <v>225</v>
      </c>
      <c r="H361" s="23">
        <f t="shared" ca="1" si="58"/>
        <v>730</v>
      </c>
      <c r="I361" s="23">
        <f t="shared" ca="1" si="59"/>
        <v>393</v>
      </c>
      <c r="J361" s="23">
        <f t="shared" ca="1" si="60"/>
        <v>727</v>
      </c>
      <c r="K361" s="23">
        <f t="shared" ca="1" si="61"/>
        <v>1120</v>
      </c>
      <c r="L361" s="23">
        <f t="shared" ca="1" si="54"/>
        <v>78400</v>
      </c>
    </row>
    <row r="362" spans="3:12">
      <c r="C362" s="23">
        <f t="shared" si="52"/>
        <v>420</v>
      </c>
      <c r="D362" s="23">
        <f t="shared" si="53"/>
        <v>168</v>
      </c>
      <c r="E362" s="23">
        <f t="shared" si="55"/>
        <v>252</v>
      </c>
      <c r="F362" s="23">
        <f t="shared" si="56"/>
        <v>700</v>
      </c>
      <c r="G362" s="23">
        <f t="shared" ca="1" si="57"/>
        <v>184</v>
      </c>
      <c r="H362" s="23">
        <f t="shared" ca="1" si="58"/>
        <v>599</v>
      </c>
      <c r="I362" s="23">
        <f t="shared" ca="1" si="59"/>
        <v>352</v>
      </c>
      <c r="J362" s="23">
        <f t="shared" ca="1" si="60"/>
        <v>599</v>
      </c>
      <c r="K362" s="23">
        <f t="shared" ca="1" si="61"/>
        <v>951</v>
      </c>
      <c r="L362" s="23">
        <f t="shared" ca="1" si="54"/>
        <v>55585</v>
      </c>
    </row>
    <row r="363" spans="3:12">
      <c r="C363" s="23">
        <f t="shared" si="52"/>
        <v>420</v>
      </c>
      <c r="D363" s="23">
        <f t="shared" si="53"/>
        <v>168</v>
      </c>
      <c r="E363" s="23">
        <f t="shared" si="55"/>
        <v>252</v>
      </c>
      <c r="F363" s="23">
        <f t="shared" si="56"/>
        <v>700</v>
      </c>
      <c r="G363" s="23">
        <f t="shared" ca="1" si="57"/>
        <v>194</v>
      </c>
      <c r="H363" s="23">
        <f t="shared" ca="1" si="58"/>
        <v>674</v>
      </c>
      <c r="I363" s="23">
        <f t="shared" ca="1" si="59"/>
        <v>362</v>
      </c>
      <c r="J363" s="23">
        <f t="shared" ca="1" si="60"/>
        <v>674</v>
      </c>
      <c r="K363" s="23">
        <f t="shared" ca="1" si="61"/>
        <v>1036</v>
      </c>
      <c r="L363" s="23">
        <f t="shared" ca="1" si="54"/>
        <v>67060</v>
      </c>
    </row>
    <row r="364" spans="3:12">
      <c r="C364" s="23">
        <f t="shared" si="52"/>
        <v>420</v>
      </c>
      <c r="D364" s="23">
        <f t="shared" si="53"/>
        <v>168</v>
      </c>
      <c r="E364" s="23">
        <f t="shared" si="55"/>
        <v>252</v>
      </c>
      <c r="F364" s="23">
        <f t="shared" si="56"/>
        <v>700</v>
      </c>
      <c r="G364" s="23">
        <f t="shared" ca="1" si="57"/>
        <v>194</v>
      </c>
      <c r="H364" s="23">
        <f t="shared" ca="1" si="58"/>
        <v>604</v>
      </c>
      <c r="I364" s="23">
        <f t="shared" ca="1" si="59"/>
        <v>362</v>
      </c>
      <c r="J364" s="23">
        <f t="shared" ca="1" si="60"/>
        <v>604</v>
      </c>
      <c r="K364" s="23">
        <f t="shared" ca="1" si="61"/>
        <v>966</v>
      </c>
      <c r="L364" s="23">
        <f t="shared" ca="1" si="54"/>
        <v>57610</v>
      </c>
    </row>
    <row r="365" spans="3:12">
      <c r="C365" s="23">
        <f t="shared" si="52"/>
        <v>420</v>
      </c>
      <c r="D365" s="23">
        <f t="shared" si="53"/>
        <v>168</v>
      </c>
      <c r="E365" s="23">
        <f t="shared" si="55"/>
        <v>252</v>
      </c>
      <c r="F365" s="23">
        <f t="shared" si="56"/>
        <v>700</v>
      </c>
      <c r="G365" s="23">
        <f t="shared" ca="1" si="57"/>
        <v>214</v>
      </c>
      <c r="H365" s="23">
        <f t="shared" ca="1" si="58"/>
        <v>686</v>
      </c>
      <c r="I365" s="23">
        <f t="shared" ca="1" si="59"/>
        <v>382</v>
      </c>
      <c r="J365" s="23">
        <f t="shared" ca="1" si="60"/>
        <v>686</v>
      </c>
      <c r="K365" s="23">
        <f t="shared" ca="1" si="61"/>
        <v>1068</v>
      </c>
      <c r="L365" s="23">
        <f t="shared" ca="1" si="54"/>
        <v>71380</v>
      </c>
    </row>
    <row r="366" spans="3:12">
      <c r="C366" s="23">
        <f t="shared" si="52"/>
        <v>420</v>
      </c>
      <c r="D366" s="23">
        <f t="shared" si="53"/>
        <v>168</v>
      </c>
      <c r="E366" s="23">
        <f t="shared" si="55"/>
        <v>252</v>
      </c>
      <c r="F366" s="23">
        <f t="shared" si="56"/>
        <v>700</v>
      </c>
      <c r="G366" s="23">
        <f t="shared" ca="1" si="57"/>
        <v>186</v>
      </c>
      <c r="H366" s="23">
        <f t="shared" ca="1" si="58"/>
        <v>654</v>
      </c>
      <c r="I366" s="23">
        <f t="shared" ca="1" si="59"/>
        <v>354</v>
      </c>
      <c r="J366" s="23">
        <f t="shared" ca="1" si="60"/>
        <v>654</v>
      </c>
      <c r="K366" s="23">
        <f t="shared" ca="1" si="61"/>
        <v>1008</v>
      </c>
      <c r="L366" s="23">
        <f t="shared" ca="1" si="54"/>
        <v>63280</v>
      </c>
    </row>
    <row r="367" spans="3:12">
      <c r="C367" s="23">
        <f t="shared" si="52"/>
        <v>420</v>
      </c>
      <c r="D367" s="23">
        <f t="shared" si="53"/>
        <v>168</v>
      </c>
      <c r="E367" s="23">
        <f t="shared" si="55"/>
        <v>252</v>
      </c>
      <c r="F367" s="23">
        <f t="shared" si="56"/>
        <v>700</v>
      </c>
      <c r="G367" s="23">
        <f t="shared" ca="1" si="57"/>
        <v>232</v>
      </c>
      <c r="H367" s="23">
        <f t="shared" ca="1" si="58"/>
        <v>584</v>
      </c>
      <c r="I367" s="23">
        <f t="shared" ca="1" si="59"/>
        <v>400</v>
      </c>
      <c r="J367" s="23">
        <f t="shared" ca="1" si="60"/>
        <v>584</v>
      </c>
      <c r="K367" s="23">
        <f t="shared" ca="1" si="61"/>
        <v>984</v>
      </c>
      <c r="L367" s="23">
        <f t="shared" ca="1" si="54"/>
        <v>60040</v>
      </c>
    </row>
    <row r="368" spans="3:12">
      <c r="C368" s="23">
        <f t="shared" si="52"/>
        <v>420</v>
      </c>
      <c r="D368" s="23">
        <f t="shared" si="53"/>
        <v>168</v>
      </c>
      <c r="E368" s="23">
        <f t="shared" si="55"/>
        <v>252</v>
      </c>
      <c r="F368" s="23">
        <f t="shared" si="56"/>
        <v>700</v>
      </c>
      <c r="G368" s="23">
        <f t="shared" ca="1" si="57"/>
        <v>235</v>
      </c>
      <c r="H368" s="23">
        <f t="shared" ca="1" si="58"/>
        <v>603</v>
      </c>
      <c r="I368" s="23">
        <f t="shared" ca="1" si="59"/>
        <v>403</v>
      </c>
      <c r="J368" s="23">
        <f t="shared" ca="1" si="60"/>
        <v>603</v>
      </c>
      <c r="K368" s="23">
        <f t="shared" ca="1" si="61"/>
        <v>1006</v>
      </c>
      <c r="L368" s="23">
        <f t="shared" ca="1" si="54"/>
        <v>63010</v>
      </c>
    </row>
    <row r="369" spans="3:12">
      <c r="C369" s="23">
        <f t="shared" si="52"/>
        <v>420</v>
      </c>
      <c r="D369" s="23">
        <f t="shared" si="53"/>
        <v>168</v>
      </c>
      <c r="E369" s="23">
        <f t="shared" si="55"/>
        <v>252</v>
      </c>
      <c r="F369" s="23">
        <f t="shared" si="56"/>
        <v>700</v>
      </c>
      <c r="G369" s="23">
        <f t="shared" ca="1" si="57"/>
        <v>218</v>
      </c>
      <c r="H369" s="23">
        <f t="shared" ca="1" si="58"/>
        <v>527</v>
      </c>
      <c r="I369" s="23">
        <f t="shared" ca="1" si="59"/>
        <v>386</v>
      </c>
      <c r="J369" s="23">
        <f t="shared" ca="1" si="60"/>
        <v>527</v>
      </c>
      <c r="K369" s="23">
        <f t="shared" ca="1" si="61"/>
        <v>913</v>
      </c>
      <c r="L369" s="23">
        <f t="shared" ca="1" si="54"/>
        <v>50455</v>
      </c>
    </row>
    <row r="370" spans="3:12">
      <c r="C370" s="23">
        <f t="shared" si="52"/>
        <v>420</v>
      </c>
      <c r="D370" s="23">
        <f t="shared" si="53"/>
        <v>168</v>
      </c>
      <c r="E370" s="23">
        <f t="shared" si="55"/>
        <v>252</v>
      </c>
      <c r="F370" s="23">
        <f t="shared" si="56"/>
        <v>700</v>
      </c>
      <c r="G370" s="23">
        <f t="shared" ca="1" si="57"/>
        <v>124</v>
      </c>
      <c r="H370" s="23">
        <f t="shared" ca="1" si="58"/>
        <v>620</v>
      </c>
      <c r="I370" s="23">
        <f t="shared" ca="1" si="59"/>
        <v>292</v>
      </c>
      <c r="J370" s="23">
        <f t="shared" ca="1" si="60"/>
        <v>620</v>
      </c>
      <c r="K370" s="23">
        <f t="shared" ca="1" si="61"/>
        <v>912</v>
      </c>
      <c r="L370" s="23">
        <f t="shared" ca="1" si="54"/>
        <v>50320</v>
      </c>
    </row>
    <row r="371" spans="3:12">
      <c r="C371" s="23">
        <f t="shared" si="52"/>
        <v>420</v>
      </c>
      <c r="D371" s="23">
        <f t="shared" si="53"/>
        <v>168</v>
      </c>
      <c r="E371" s="23">
        <f t="shared" si="55"/>
        <v>252</v>
      </c>
      <c r="F371" s="23">
        <f t="shared" si="56"/>
        <v>700</v>
      </c>
      <c r="G371" s="23">
        <f t="shared" ca="1" si="57"/>
        <v>216</v>
      </c>
      <c r="H371" s="23">
        <f t="shared" ca="1" si="58"/>
        <v>638</v>
      </c>
      <c r="I371" s="23">
        <f t="shared" ca="1" si="59"/>
        <v>384</v>
      </c>
      <c r="J371" s="23">
        <f t="shared" ca="1" si="60"/>
        <v>638</v>
      </c>
      <c r="K371" s="23">
        <f t="shared" ca="1" si="61"/>
        <v>1022</v>
      </c>
      <c r="L371" s="23">
        <f t="shared" ca="1" si="54"/>
        <v>65170</v>
      </c>
    </row>
    <row r="372" spans="3:12">
      <c r="C372" s="23">
        <f t="shared" si="52"/>
        <v>420</v>
      </c>
      <c r="D372" s="23">
        <f t="shared" si="53"/>
        <v>168</v>
      </c>
      <c r="E372" s="23">
        <f t="shared" si="55"/>
        <v>252</v>
      </c>
      <c r="F372" s="23">
        <f t="shared" si="56"/>
        <v>700</v>
      </c>
      <c r="G372" s="23">
        <f t="shared" ca="1" si="57"/>
        <v>198</v>
      </c>
      <c r="H372" s="23">
        <f t="shared" ca="1" si="58"/>
        <v>533</v>
      </c>
      <c r="I372" s="23">
        <f t="shared" ca="1" si="59"/>
        <v>366</v>
      </c>
      <c r="J372" s="23">
        <f t="shared" ca="1" si="60"/>
        <v>533</v>
      </c>
      <c r="K372" s="23">
        <f t="shared" ca="1" si="61"/>
        <v>899</v>
      </c>
      <c r="L372" s="23">
        <f t="shared" ca="1" si="54"/>
        <v>48565</v>
      </c>
    </row>
    <row r="373" spans="3:12">
      <c r="C373" s="23">
        <f t="shared" si="52"/>
        <v>420</v>
      </c>
      <c r="D373" s="23">
        <f t="shared" si="53"/>
        <v>168</v>
      </c>
      <c r="E373" s="23">
        <f t="shared" si="55"/>
        <v>252</v>
      </c>
      <c r="F373" s="23">
        <f t="shared" si="56"/>
        <v>700</v>
      </c>
      <c r="G373" s="23">
        <f t="shared" ca="1" si="57"/>
        <v>212</v>
      </c>
      <c r="H373" s="23">
        <f t="shared" ca="1" si="58"/>
        <v>655</v>
      </c>
      <c r="I373" s="23">
        <f t="shared" ca="1" si="59"/>
        <v>380</v>
      </c>
      <c r="J373" s="23">
        <f t="shared" ca="1" si="60"/>
        <v>655</v>
      </c>
      <c r="K373" s="23">
        <f t="shared" ca="1" si="61"/>
        <v>1035</v>
      </c>
      <c r="L373" s="23">
        <f t="shared" ca="1" si="54"/>
        <v>66925</v>
      </c>
    </row>
    <row r="374" spans="3:12">
      <c r="C374" s="23">
        <f t="shared" si="52"/>
        <v>420</v>
      </c>
      <c r="D374" s="23">
        <f t="shared" si="53"/>
        <v>168</v>
      </c>
      <c r="E374" s="23">
        <f t="shared" si="55"/>
        <v>252</v>
      </c>
      <c r="F374" s="23">
        <f t="shared" si="56"/>
        <v>700</v>
      </c>
      <c r="G374" s="23">
        <f t="shared" ca="1" si="57"/>
        <v>217</v>
      </c>
      <c r="H374" s="23">
        <f t="shared" ca="1" si="58"/>
        <v>692</v>
      </c>
      <c r="I374" s="23">
        <f t="shared" ca="1" si="59"/>
        <v>385</v>
      </c>
      <c r="J374" s="23">
        <f t="shared" ca="1" si="60"/>
        <v>692</v>
      </c>
      <c r="K374" s="23">
        <f t="shared" ca="1" si="61"/>
        <v>1077</v>
      </c>
      <c r="L374" s="23">
        <f t="shared" ca="1" si="54"/>
        <v>72595</v>
      </c>
    </row>
    <row r="375" spans="3:12">
      <c r="C375" s="23">
        <f t="shared" si="52"/>
        <v>420</v>
      </c>
      <c r="D375" s="23">
        <f t="shared" si="53"/>
        <v>168</v>
      </c>
      <c r="E375" s="23">
        <f t="shared" si="55"/>
        <v>252</v>
      </c>
      <c r="F375" s="23">
        <f t="shared" si="56"/>
        <v>700</v>
      </c>
      <c r="G375" s="23">
        <f t="shared" ca="1" si="57"/>
        <v>269</v>
      </c>
      <c r="H375" s="23">
        <f t="shared" ca="1" si="58"/>
        <v>640</v>
      </c>
      <c r="I375" s="23">
        <f t="shared" ca="1" si="59"/>
        <v>420</v>
      </c>
      <c r="J375" s="23">
        <f t="shared" ca="1" si="60"/>
        <v>640</v>
      </c>
      <c r="K375" s="23">
        <f t="shared" ca="1" si="61"/>
        <v>1060</v>
      </c>
      <c r="L375" s="23">
        <f t="shared" ca="1" si="54"/>
        <v>70300</v>
      </c>
    </row>
    <row r="376" spans="3:12">
      <c r="C376" s="23">
        <f t="shared" si="52"/>
        <v>420</v>
      </c>
      <c r="D376" s="23">
        <f t="shared" si="53"/>
        <v>168</v>
      </c>
      <c r="E376" s="23">
        <f t="shared" si="55"/>
        <v>252</v>
      </c>
      <c r="F376" s="23">
        <f t="shared" si="56"/>
        <v>700</v>
      </c>
      <c r="G376" s="23">
        <f t="shared" ca="1" si="57"/>
        <v>227</v>
      </c>
      <c r="H376" s="23">
        <f t="shared" ca="1" si="58"/>
        <v>623</v>
      </c>
      <c r="I376" s="23">
        <f t="shared" ca="1" si="59"/>
        <v>395</v>
      </c>
      <c r="J376" s="23">
        <f t="shared" ca="1" si="60"/>
        <v>623</v>
      </c>
      <c r="K376" s="23">
        <f t="shared" ca="1" si="61"/>
        <v>1018</v>
      </c>
      <c r="L376" s="23">
        <f t="shared" ca="1" si="54"/>
        <v>64630</v>
      </c>
    </row>
    <row r="377" spans="3:12">
      <c r="C377" s="23">
        <f t="shared" si="52"/>
        <v>420</v>
      </c>
      <c r="D377" s="23">
        <f t="shared" si="53"/>
        <v>168</v>
      </c>
      <c r="E377" s="23">
        <f t="shared" si="55"/>
        <v>252</v>
      </c>
      <c r="F377" s="23">
        <f t="shared" si="56"/>
        <v>700</v>
      </c>
      <c r="G377" s="23">
        <f t="shared" ca="1" si="57"/>
        <v>190</v>
      </c>
      <c r="H377" s="23">
        <f t="shared" ca="1" si="58"/>
        <v>557</v>
      </c>
      <c r="I377" s="23">
        <f t="shared" ca="1" si="59"/>
        <v>358</v>
      </c>
      <c r="J377" s="23">
        <f t="shared" ca="1" si="60"/>
        <v>557</v>
      </c>
      <c r="K377" s="23">
        <f t="shared" ca="1" si="61"/>
        <v>915</v>
      </c>
      <c r="L377" s="23">
        <f t="shared" ca="1" si="54"/>
        <v>50725</v>
      </c>
    </row>
    <row r="378" spans="3:12">
      <c r="C378" s="23">
        <f t="shared" si="52"/>
        <v>420</v>
      </c>
      <c r="D378" s="23">
        <f t="shared" si="53"/>
        <v>168</v>
      </c>
      <c r="E378" s="23">
        <f t="shared" si="55"/>
        <v>252</v>
      </c>
      <c r="F378" s="23">
        <f t="shared" si="56"/>
        <v>700</v>
      </c>
      <c r="G378" s="23">
        <f t="shared" ca="1" si="57"/>
        <v>185</v>
      </c>
      <c r="H378" s="23">
        <f t="shared" ca="1" si="58"/>
        <v>740</v>
      </c>
      <c r="I378" s="23">
        <f t="shared" ca="1" si="59"/>
        <v>353</v>
      </c>
      <c r="J378" s="23">
        <f t="shared" ca="1" si="60"/>
        <v>740</v>
      </c>
      <c r="K378" s="23">
        <f t="shared" ca="1" si="61"/>
        <v>1093</v>
      </c>
      <c r="L378" s="23">
        <f t="shared" ca="1" si="54"/>
        <v>74755</v>
      </c>
    </row>
    <row r="379" spans="3:12">
      <c r="C379" s="23">
        <f t="shared" si="52"/>
        <v>420</v>
      </c>
      <c r="D379" s="23">
        <f t="shared" si="53"/>
        <v>168</v>
      </c>
      <c r="E379" s="23">
        <f t="shared" si="55"/>
        <v>252</v>
      </c>
      <c r="F379" s="23">
        <f t="shared" si="56"/>
        <v>700</v>
      </c>
      <c r="G379" s="23">
        <f t="shared" ca="1" si="57"/>
        <v>202</v>
      </c>
      <c r="H379" s="23">
        <f t="shared" ca="1" si="58"/>
        <v>689</v>
      </c>
      <c r="I379" s="23">
        <f t="shared" ca="1" si="59"/>
        <v>370</v>
      </c>
      <c r="J379" s="23">
        <f t="shared" ca="1" si="60"/>
        <v>689</v>
      </c>
      <c r="K379" s="23">
        <f t="shared" ca="1" si="61"/>
        <v>1059</v>
      </c>
      <c r="L379" s="23">
        <f t="shared" ca="1" si="54"/>
        <v>70165</v>
      </c>
    </row>
    <row r="380" spans="3:12">
      <c r="C380" s="23">
        <f t="shared" si="52"/>
        <v>420</v>
      </c>
      <c r="D380" s="23">
        <f t="shared" si="53"/>
        <v>168</v>
      </c>
      <c r="E380" s="23">
        <f t="shared" si="55"/>
        <v>252</v>
      </c>
      <c r="F380" s="23">
        <f t="shared" si="56"/>
        <v>700</v>
      </c>
      <c r="G380" s="23">
        <f t="shared" ca="1" si="57"/>
        <v>241</v>
      </c>
      <c r="H380" s="23">
        <f t="shared" ca="1" si="58"/>
        <v>710</v>
      </c>
      <c r="I380" s="23">
        <f t="shared" ca="1" si="59"/>
        <v>409</v>
      </c>
      <c r="J380" s="23">
        <f t="shared" ca="1" si="60"/>
        <v>710</v>
      </c>
      <c r="K380" s="23">
        <f t="shared" ca="1" si="61"/>
        <v>1119</v>
      </c>
      <c r="L380" s="23">
        <f t="shared" ca="1" si="54"/>
        <v>78265</v>
      </c>
    </row>
    <row r="381" spans="3:12">
      <c r="C381" s="23">
        <f t="shared" si="52"/>
        <v>420</v>
      </c>
      <c r="D381" s="23">
        <f t="shared" si="53"/>
        <v>168</v>
      </c>
      <c r="E381" s="23">
        <f t="shared" si="55"/>
        <v>252</v>
      </c>
      <c r="F381" s="23">
        <f t="shared" si="56"/>
        <v>700</v>
      </c>
      <c r="G381" s="23">
        <f t="shared" ca="1" si="57"/>
        <v>203</v>
      </c>
      <c r="H381" s="23">
        <f t="shared" ca="1" si="58"/>
        <v>659</v>
      </c>
      <c r="I381" s="23">
        <f t="shared" ca="1" si="59"/>
        <v>371</v>
      </c>
      <c r="J381" s="23">
        <f t="shared" ca="1" si="60"/>
        <v>659</v>
      </c>
      <c r="K381" s="23">
        <f t="shared" ca="1" si="61"/>
        <v>1030</v>
      </c>
      <c r="L381" s="23">
        <f t="shared" ca="1" si="54"/>
        <v>66250</v>
      </c>
    </row>
    <row r="382" spans="3:12">
      <c r="C382" s="23">
        <f t="shared" si="52"/>
        <v>420</v>
      </c>
      <c r="D382" s="23">
        <f t="shared" si="53"/>
        <v>168</v>
      </c>
      <c r="E382" s="23">
        <f t="shared" si="55"/>
        <v>252</v>
      </c>
      <c r="F382" s="23">
        <f t="shared" si="56"/>
        <v>700</v>
      </c>
      <c r="G382" s="23">
        <f t="shared" ca="1" si="57"/>
        <v>227</v>
      </c>
      <c r="H382" s="23">
        <f t="shared" ca="1" si="58"/>
        <v>539</v>
      </c>
      <c r="I382" s="23">
        <f t="shared" ca="1" si="59"/>
        <v>395</v>
      </c>
      <c r="J382" s="23">
        <f t="shared" ca="1" si="60"/>
        <v>539</v>
      </c>
      <c r="K382" s="23">
        <f t="shared" ca="1" si="61"/>
        <v>934</v>
      </c>
      <c r="L382" s="23">
        <f t="shared" ca="1" si="54"/>
        <v>53290</v>
      </c>
    </row>
    <row r="383" spans="3:12">
      <c r="C383" s="23">
        <f t="shared" si="52"/>
        <v>420</v>
      </c>
      <c r="D383" s="23">
        <f t="shared" si="53"/>
        <v>168</v>
      </c>
      <c r="E383" s="23">
        <f t="shared" si="55"/>
        <v>252</v>
      </c>
      <c r="F383" s="23">
        <f t="shared" si="56"/>
        <v>700</v>
      </c>
      <c r="G383" s="23">
        <f t="shared" ca="1" si="57"/>
        <v>224</v>
      </c>
      <c r="H383" s="23">
        <f t="shared" ca="1" si="58"/>
        <v>759</v>
      </c>
      <c r="I383" s="23">
        <f t="shared" ca="1" si="59"/>
        <v>392</v>
      </c>
      <c r="J383" s="23">
        <f t="shared" ca="1" si="60"/>
        <v>728</v>
      </c>
      <c r="K383" s="23">
        <f t="shared" ca="1" si="61"/>
        <v>1120</v>
      </c>
      <c r="L383" s="23">
        <f t="shared" ca="1" si="54"/>
        <v>78400</v>
      </c>
    </row>
    <row r="384" spans="3:12">
      <c r="C384" s="23">
        <f t="shared" si="52"/>
        <v>420</v>
      </c>
      <c r="D384" s="23">
        <f t="shared" si="53"/>
        <v>168</v>
      </c>
      <c r="E384" s="23">
        <f t="shared" si="55"/>
        <v>252</v>
      </c>
      <c r="F384" s="23">
        <f t="shared" si="56"/>
        <v>700</v>
      </c>
      <c r="G384" s="23">
        <f t="shared" ca="1" si="57"/>
        <v>228</v>
      </c>
      <c r="H384" s="23">
        <f t="shared" ca="1" si="58"/>
        <v>736</v>
      </c>
      <c r="I384" s="23">
        <f t="shared" ca="1" si="59"/>
        <v>396</v>
      </c>
      <c r="J384" s="23">
        <f t="shared" ca="1" si="60"/>
        <v>724</v>
      </c>
      <c r="K384" s="23">
        <f t="shared" ca="1" si="61"/>
        <v>1120</v>
      </c>
      <c r="L384" s="23">
        <f t="shared" ca="1" si="54"/>
        <v>78400</v>
      </c>
    </row>
    <row r="385" spans="3:12">
      <c r="C385" s="23">
        <f t="shared" si="52"/>
        <v>420</v>
      </c>
      <c r="D385" s="23">
        <f t="shared" si="53"/>
        <v>168</v>
      </c>
      <c r="E385" s="23">
        <f t="shared" si="55"/>
        <v>252</v>
      </c>
      <c r="F385" s="23">
        <f t="shared" si="56"/>
        <v>700</v>
      </c>
      <c r="G385" s="23">
        <f t="shared" ca="1" si="57"/>
        <v>202</v>
      </c>
      <c r="H385" s="23">
        <f t="shared" ca="1" si="58"/>
        <v>529</v>
      </c>
      <c r="I385" s="23">
        <f t="shared" ca="1" si="59"/>
        <v>370</v>
      </c>
      <c r="J385" s="23">
        <f t="shared" ca="1" si="60"/>
        <v>529</v>
      </c>
      <c r="K385" s="23">
        <f t="shared" ca="1" si="61"/>
        <v>899</v>
      </c>
      <c r="L385" s="23">
        <f t="shared" ca="1" si="54"/>
        <v>48565</v>
      </c>
    </row>
    <row r="386" spans="3:12">
      <c r="C386" s="23">
        <f t="shared" si="52"/>
        <v>420</v>
      </c>
      <c r="D386" s="23">
        <f t="shared" si="53"/>
        <v>168</v>
      </c>
      <c r="E386" s="23">
        <f t="shared" si="55"/>
        <v>252</v>
      </c>
      <c r="F386" s="23">
        <f t="shared" si="56"/>
        <v>700</v>
      </c>
      <c r="G386" s="23">
        <f t="shared" ca="1" si="57"/>
        <v>234</v>
      </c>
      <c r="H386" s="23">
        <f t="shared" ca="1" si="58"/>
        <v>683</v>
      </c>
      <c r="I386" s="23">
        <f t="shared" ca="1" si="59"/>
        <v>402</v>
      </c>
      <c r="J386" s="23">
        <f t="shared" ca="1" si="60"/>
        <v>683</v>
      </c>
      <c r="K386" s="23">
        <f t="shared" ca="1" si="61"/>
        <v>1085</v>
      </c>
      <c r="L386" s="23">
        <f t="shared" ca="1" si="54"/>
        <v>73675</v>
      </c>
    </row>
    <row r="387" spans="3:12">
      <c r="C387" s="23">
        <f t="shared" si="52"/>
        <v>420</v>
      </c>
      <c r="D387" s="23">
        <f t="shared" si="53"/>
        <v>168</v>
      </c>
      <c r="E387" s="23">
        <f t="shared" si="55"/>
        <v>252</v>
      </c>
      <c r="F387" s="23">
        <f t="shared" si="56"/>
        <v>700</v>
      </c>
      <c r="G387" s="23">
        <f t="shared" ca="1" si="57"/>
        <v>188</v>
      </c>
      <c r="H387" s="23">
        <f t="shared" ca="1" si="58"/>
        <v>679</v>
      </c>
      <c r="I387" s="23">
        <f t="shared" ca="1" si="59"/>
        <v>356</v>
      </c>
      <c r="J387" s="23">
        <f t="shared" ca="1" si="60"/>
        <v>679</v>
      </c>
      <c r="K387" s="23">
        <f t="shared" ca="1" si="61"/>
        <v>1035</v>
      </c>
      <c r="L387" s="23">
        <f t="shared" ca="1" si="54"/>
        <v>66925</v>
      </c>
    </row>
    <row r="388" spans="3:12">
      <c r="C388" s="23">
        <f t="shared" si="52"/>
        <v>420</v>
      </c>
      <c r="D388" s="23">
        <f t="shared" si="53"/>
        <v>168</v>
      </c>
      <c r="E388" s="23">
        <f t="shared" si="55"/>
        <v>252</v>
      </c>
      <c r="F388" s="23">
        <f t="shared" si="56"/>
        <v>700</v>
      </c>
      <c r="G388" s="23">
        <f t="shared" ca="1" si="57"/>
        <v>204</v>
      </c>
      <c r="H388" s="23">
        <f t="shared" ca="1" si="58"/>
        <v>760</v>
      </c>
      <c r="I388" s="23">
        <f t="shared" ca="1" si="59"/>
        <v>372</v>
      </c>
      <c r="J388" s="23">
        <f t="shared" ca="1" si="60"/>
        <v>748</v>
      </c>
      <c r="K388" s="23">
        <f t="shared" ca="1" si="61"/>
        <v>1120</v>
      </c>
      <c r="L388" s="23">
        <f t="shared" ca="1" si="54"/>
        <v>78400</v>
      </c>
    </row>
    <row r="389" spans="3:12">
      <c r="C389" s="23">
        <f t="shared" si="52"/>
        <v>420</v>
      </c>
      <c r="D389" s="23">
        <f t="shared" si="53"/>
        <v>168</v>
      </c>
      <c r="E389" s="23">
        <f t="shared" si="55"/>
        <v>252</v>
      </c>
      <c r="F389" s="23">
        <f t="shared" si="56"/>
        <v>700</v>
      </c>
      <c r="G389" s="23">
        <f t="shared" ca="1" si="57"/>
        <v>243</v>
      </c>
      <c r="H389" s="23">
        <f t="shared" ca="1" si="58"/>
        <v>763</v>
      </c>
      <c r="I389" s="23">
        <f t="shared" ca="1" si="59"/>
        <v>411</v>
      </c>
      <c r="J389" s="23">
        <f t="shared" ca="1" si="60"/>
        <v>709</v>
      </c>
      <c r="K389" s="23">
        <f t="shared" ca="1" si="61"/>
        <v>1120</v>
      </c>
      <c r="L389" s="23">
        <f t="shared" ca="1" si="54"/>
        <v>78400</v>
      </c>
    </row>
    <row r="390" spans="3:12">
      <c r="C390" s="23">
        <f t="shared" si="52"/>
        <v>420</v>
      </c>
      <c r="D390" s="23">
        <f t="shared" si="53"/>
        <v>168</v>
      </c>
      <c r="E390" s="23">
        <f t="shared" si="55"/>
        <v>252</v>
      </c>
      <c r="F390" s="23">
        <f t="shared" si="56"/>
        <v>700</v>
      </c>
      <c r="G390" s="23">
        <f t="shared" ca="1" si="57"/>
        <v>221</v>
      </c>
      <c r="H390" s="23">
        <f t="shared" ca="1" si="58"/>
        <v>702</v>
      </c>
      <c r="I390" s="23">
        <f t="shared" ca="1" si="59"/>
        <v>389</v>
      </c>
      <c r="J390" s="23">
        <f t="shared" ca="1" si="60"/>
        <v>702</v>
      </c>
      <c r="K390" s="23">
        <f t="shared" ca="1" si="61"/>
        <v>1091</v>
      </c>
      <c r="L390" s="23">
        <f t="shared" ca="1" si="54"/>
        <v>74485</v>
      </c>
    </row>
    <row r="391" spans="3:12">
      <c r="C391" s="23">
        <f t="shared" si="52"/>
        <v>420</v>
      </c>
      <c r="D391" s="23">
        <f t="shared" si="53"/>
        <v>168</v>
      </c>
      <c r="E391" s="23">
        <f t="shared" si="55"/>
        <v>252</v>
      </c>
      <c r="F391" s="23">
        <f t="shared" si="56"/>
        <v>700</v>
      </c>
      <c r="G391" s="23">
        <f t="shared" ca="1" si="57"/>
        <v>195</v>
      </c>
      <c r="H391" s="23">
        <f t="shared" ca="1" si="58"/>
        <v>600</v>
      </c>
      <c r="I391" s="23">
        <f t="shared" ca="1" si="59"/>
        <v>363</v>
      </c>
      <c r="J391" s="23">
        <f t="shared" ca="1" si="60"/>
        <v>600</v>
      </c>
      <c r="K391" s="23">
        <f t="shared" ca="1" si="61"/>
        <v>963</v>
      </c>
      <c r="L391" s="23">
        <f t="shared" ca="1" si="54"/>
        <v>57205</v>
      </c>
    </row>
    <row r="392" spans="3:12">
      <c r="C392" s="23">
        <f t="shared" si="52"/>
        <v>420</v>
      </c>
      <c r="D392" s="23">
        <f t="shared" si="53"/>
        <v>168</v>
      </c>
      <c r="E392" s="23">
        <f t="shared" si="55"/>
        <v>252</v>
      </c>
      <c r="F392" s="23">
        <f t="shared" si="56"/>
        <v>700</v>
      </c>
      <c r="G392" s="23">
        <f t="shared" ca="1" si="57"/>
        <v>182</v>
      </c>
      <c r="H392" s="23">
        <f t="shared" ca="1" si="58"/>
        <v>693</v>
      </c>
      <c r="I392" s="23">
        <f t="shared" ca="1" si="59"/>
        <v>350</v>
      </c>
      <c r="J392" s="23">
        <f t="shared" ca="1" si="60"/>
        <v>693</v>
      </c>
      <c r="K392" s="23">
        <f t="shared" ca="1" si="61"/>
        <v>1043</v>
      </c>
      <c r="L392" s="23">
        <f t="shared" ca="1" si="54"/>
        <v>68005</v>
      </c>
    </row>
    <row r="393" spans="3:12">
      <c r="C393" s="23">
        <f t="shared" si="52"/>
        <v>420</v>
      </c>
      <c r="D393" s="23">
        <f t="shared" si="53"/>
        <v>168</v>
      </c>
      <c r="E393" s="23">
        <f t="shared" si="55"/>
        <v>252</v>
      </c>
      <c r="F393" s="23">
        <f t="shared" si="56"/>
        <v>700</v>
      </c>
      <c r="G393" s="23">
        <f t="shared" ca="1" si="57"/>
        <v>243</v>
      </c>
      <c r="H393" s="23">
        <f t="shared" ca="1" si="58"/>
        <v>696</v>
      </c>
      <c r="I393" s="23">
        <f t="shared" ca="1" si="59"/>
        <v>411</v>
      </c>
      <c r="J393" s="23">
        <f t="shared" ca="1" si="60"/>
        <v>696</v>
      </c>
      <c r="K393" s="23">
        <f t="shared" ca="1" si="61"/>
        <v>1107</v>
      </c>
      <c r="L393" s="23">
        <f t="shared" ca="1" si="54"/>
        <v>76645</v>
      </c>
    </row>
    <row r="394" spans="3:12">
      <c r="C394" s="23">
        <f t="shared" si="52"/>
        <v>420</v>
      </c>
      <c r="D394" s="23">
        <f t="shared" si="53"/>
        <v>168</v>
      </c>
      <c r="E394" s="23">
        <f t="shared" si="55"/>
        <v>252</v>
      </c>
      <c r="F394" s="23">
        <f t="shared" si="56"/>
        <v>700</v>
      </c>
      <c r="G394" s="23">
        <f t="shared" ca="1" si="57"/>
        <v>189</v>
      </c>
      <c r="H394" s="23">
        <f t="shared" ca="1" si="58"/>
        <v>620</v>
      </c>
      <c r="I394" s="23">
        <f t="shared" ca="1" si="59"/>
        <v>357</v>
      </c>
      <c r="J394" s="23">
        <f t="shared" ca="1" si="60"/>
        <v>620</v>
      </c>
      <c r="K394" s="23">
        <f t="shared" ca="1" si="61"/>
        <v>977</v>
      </c>
      <c r="L394" s="23">
        <f t="shared" ca="1" si="54"/>
        <v>59095</v>
      </c>
    </row>
    <row r="395" spans="3:12">
      <c r="C395" s="23">
        <f t="shared" si="52"/>
        <v>420</v>
      </c>
      <c r="D395" s="23">
        <f t="shared" si="53"/>
        <v>168</v>
      </c>
      <c r="E395" s="23">
        <f t="shared" si="55"/>
        <v>252</v>
      </c>
      <c r="F395" s="23">
        <f t="shared" si="56"/>
        <v>700</v>
      </c>
      <c r="G395" s="23">
        <f t="shared" ca="1" si="57"/>
        <v>189</v>
      </c>
      <c r="H395" s="23">
        <f t="shared" ca="1" si="58"/>
        <v>648</v>
      </c>
      <c r="I395" s="23">
        <f t="shared" ca="1" si="59"/>
        <v>357</v>
      </c>
      <c r="J395" s="23">
        <f t="shared" ca="1" si="60"/>
        <v>648</v>
      </c>
      <c r="K395" s="23">
        <f t="shared" ca="1" si="61"/>
        <v>1005</v>
      </c>
      <c r="L395" s="23">
        <f t="shared" ca="1" si="54"/>
        <v>62875</v>
      </c>
    </row>
    <row r="396" spans="3:12">
      <c r="C396" s="23">
        <f t="shared" ref="C396:C459" si="62">$B$4</f>
        <v>420</v>
      </c>
      <c r="D396" s="23">
        <f t="shared" ref="D396:D459" si="63">$B$5</f>
        <v>168</v>
      </c>
      <c r="E396" s="23">
        <f t="shared" si="55"/>
        <v>252</v>
      </c>
      <c r="F396" s="23">
        <f t="shared" si="56"/>
        <v>700</v>
      </c>
      <c r="G396" s="23">
        <f t="shared" ca="1" si="57"/>
        <v>210</v>
      </c>
      <c r="H396" s="23">
        <f t="shared" ca="1" si="58"/>
        <v>659</v>
      </c>
      <c r="I396" s="23">
        <f t="shared" ca="1" si="59"/>
        <v>378</v>
      </c>
      <c r="J396" s="23">
        <f t="shared" ca="1" si="60"/>
        <v>659</v>
      </c>
      <c r="K396" s="23">
        <f t="shared" ca="1" si="61"/>
        <v>1037</v>
      </c>
      <c r="L396" s="23">
        <f t="shared" ref="L396:L459" ca="1" si="64">K396*$B$2-(F396+C396)*$B$1</f>
        <v>67195</v>
      </c>
    </row>
    <row r="397" spans="3:12">
      <c r="C397" s="23">
        <f t="shared" si="62"/>
        <v>420</v>
      </c>
      <c r="D397" s="23">
        <f t="shared" si="63"/>
        <v>168</v>
      </c>
      <c r="E397" s="23">
        <f t="shared" ref="E397:E460" si="65">MAX(0,C397-D397)</f>
        <v>252</v>
      </c>
      <c r="F397" s="23">
        <f t="shared" ref="F397:F460" si="66">$E$8</f>
        <v>700</v>
      </c>
      <c r="G397" s="23">
        <f t="shared" ref="G397:G460" ca="1" si="67">_xlfn.FLOOR.MATH(MAX(0,_xlfn.NORM.INV(RAND(),$B$6*$B$8,$B$3*($B$8+0.0001))))</f>
        <v>249</v>
      </c>
      <c r="H397" s="23">
        <f t="shared" ref="H397:H460" ca="1" si="68">_xlfn.FLOOR.MATH(MAX(0,_xlfn.NORM.INV(RAND(),$B$6*(1-$B$8),$B$3*(1.00001-$B$8))))</f>
        <v>684</v>
      </c>
      <c r="I397" s="23">
        <f t="shared" ref="I397:I460" ca="1" si="69">MIN(C397,D397+G397)</f>
        <v>417</v>
      </c>
      <c r="J397" s="23">
        <f t="shared" ref="J397:J460" ca="1" si="70">MIN(C397-I397+F397,H397)</f>
        <v>684</v>
      </c>
      <c r="K397" s="23">
        <f t="shared" ref="K397:K460" ca="1" si="71">I397+J397</f>
        <v>1101</v>
      </c>
      <c r="L397" s="23">
        <f t="shared" ca="1" si="64"/>
        <v>75835</v>
      </c>
    </row>
    <row r="398" spans="3:12">
      <c r="C398" s="23">
        <f t="shared" si="62"/>
        <v>420</v>
      </c>
      <c r="D398" s="23">
        <f t="shared" si="63"/>
        <v>168</v>
      </c>
      <c r="E398" s="23">
        <f t="shared" si="65"/>
        <v>252</v>
      </c>
      <c r="F398" s="23">
        <f t="shared" si="66"/>
        <v>700</v>
      </c>
      <c r="G398" s="23">
        <f t="shared" ca="1" si="67"/>
        <v>212</v>
      </c>
      <c r="H398" s="23">
        <f t="shared" ca="1" si="68"/>
        <v>673</v>
      </c>
      <c r="I398" s="23">
        <f t="shared" ca="1" si="69"/>
        <v>380</v>
      </c>
      <c r="J398" s="23">
        <f t="shared" ca="1" si="70"/>
        <v>673</v>
      </c>
      <c r="K398" s="23">
        <f t="shared" ca="1" si="71"/>
        <v>1053</v>
      </c>
      <c r="L398" s="23">
        <f t="shared" ca="1" si="64"/>
        <v>69355</v>
      </c>
    </row>
    <row r="399" spans="3:12">
      <c r="C399" s="23">
        <f t="shared" si="62"/>
        <v>420</v>
      </c>
      <c r="D399" s="23">
        <f t="shared" si="63"/>
        <v>168</v>
      </c>
      <c r="E399" s="23">
        <f t="shared" si="65"/>
        <v>252</v>
      </c>
      <c r="F399" s="23">
        <f t="shared" si="66"/>
        <v>700</v>
      </c>
      <c r="G399" s="23">
        <f t="shared" ca="1" si="67"/>
        <v>240</v>
      </c>
      <c r="H399" s="23">
        <f t="shared" ca="1" si="68"/>
        <v>611</v>
      </c>
      <c r="I399" s="23">
        <f t="shared" ca="1" si="69"/>
        <v>408</v>
      </c>
      <c r="J399" s="23">
        <f t="shared" ca="1" si="70"/>
        <v>611</v>
      </c>
      <c r="K399" s="23">
        <f t="shared" ca="1" si="71"/>
        <v>1019</v>
      </c>
      <c r="L399" s="23">
        <f t="shared" ca="1" si="64"/>
        <v>64765</v>
      </c>
    </row>
    <row r="400" spans="3:12">
      <c r="C400" s="23">
        <f t="shared" si="62"/>
        <v>420</v>
      </c>
      <c r="D400" s="23">
        <f t="shared" si="63"/>
        <v>168</v>
      </c>
      <c r="E400" s="23">
        <f t="shared" si="65"/>
        <v>252</v>
      </c>
      <c r="F400" s="23">
        <f t="shared" si="66"/>
        <v>700</v>
      </c>
      <c r="G400" s="23">
        <f t="shared" ca="1" si="67"/>
        <v>219</v>
      </c>
      <c r="H400" s="23">
        <f t="shared" ca="1" si="68"/>
        <v>692</v>
      </c>
      <c r="I400" s="23">
        <f t="shared" ca="1" si="69"/>
        <v>387</v>
      </c>
      <c r="J400" s="23">
        <f t="shared" ca="1" si="70"/>
        <v>692</v>
      </c>
      <c r="K400" s="23">
        <f t="shared" ca="1" si="71"/>
        <v>1079</v>
      </c>
      <c r="L400" s="23">
        <f t="shared" ca="1" si="64"/>
        <v>72865</v>
      </c>
    </row>
    <row r="401" spans="3:12">
      <c r="C401" s="23">
        <f t="shared" si="62"/>
        <v>420</v>
      </c>
      <c r="D401" s="23">
        <f t="shared" si="63"/>
        <v>168</v>
      </c>
      <c r="E401" s="23">
        <f t="shared" si="65"/>
        <v>252</v>
      </c>
      <c r="F401" s="23">
        <f t="shared" si="66"/>
        <v>700</v>
      </c>
      <c r="G401" s="23">
        <f t="shared" ca="1" si="67"/>
        <v>242</v>
      </c>
      <c r="H401" s="23">
        <f t="shared" ca="1" si="68"/>
        <v>597</v>
      </c>
      <c r="I401" s="23">
        <f t="shared" ca="1" si="69"/>
        <v>410</v>
      </c>
      <c r="J401" s="23">
        <f t="shared" ca="1" si="70"/>
        <v>597</v>
      </c>
      <c r="K401" s="23">
        <f t="shared" ca="1" si="71"/>
        <v>1007</v>
      </c>
      <c r="L401" s="23">
        <f t="shared" ca="1" si="64"/>
        <v>63145</v>
      </c>
    </row>
    <row r="402" spans="3:12">
      <c r="C402" s="23">
        <f t="shared" si="62"/>
        <v>420</v>
      </c>
      <c r="D402" s="23">
        <f t="shared" si="63"/>
        <v>168</v>
      </c>
      <c r="E402" s="23">
        <f t="shared" si="65"/>
        <v>252</v>
      </c>
      <c r="F402" s="23">
        <f t="shared" si="66"/>
        <v>700</v>
      </c>
      <c r="G402" s="23">
        <f t="shared" ca="1" si="67"/>
        <v>224</v>
      </c>
      <c r="H402" s="23">
        <f t="shared" ca="1" si="68"/>
        <v>606</v>
      </c>
      <c r="I402" s="23">
        <f t="shared" ca="1" si="69"/>
        <v>392</v>
      </c>
      <c r="J402" s="23">
        <f t="shared" ca="1" si="70"/>
        <v>606</v>
      </c>
      <c r="K402" s="23">
        <f t="shared" ca="1" si="71"/>
        <v>998</v>
      </c>
      <c r="L402" s="23">
        <f t="shared" ca="1" si="64"/>
        <v>61930</v>
      </c>
    </row>
    <row r="403" spans="3:12">
      <c r="C403" s="23">
        <f t="shared" si="62"/>
        <v>420</v>
      </c>
      <c r="D403" s="23">
        <f t="shared" si="63"/>
        <v>168</v>
      </c>
      <c r="E403" s="23">
        <f t="shared" si="65"/>
        <v>252</v>
      </c>
      <c r="F403" s="23">
        <f t="shared" si="66"/>
        <v>700</v>
      </c>
      <c r="G403" s="23">
        <f t="shared" ca="1" si="67"/>
        <v>208</v>
      </c>
      <c r="H403" s="23">
        <f t="shared" ca="1" si="68"/>
        <v>640</v>
      </c>
      <c r="I403" s="23">
        <f t="shared" ca="1" si="69"/>
        <v>376</v>
      </c>
      <c r="J403" s="23">
        <f t="shared" ca="1" si="70"/>
        <v>640</v>
      </c>
      <c r="K403" s="23">
        <f t="shared" ca="1" si="71"/>
        <v>1016</v>
      </c>
      <c r="L403" s="23">
        <f t="shared" ca="1" si="64"/>
        <v>64360</v>
      </c>
    </row>
    <row r="404" spans="3:12">
      <c r="C404" s="23">
        <f t="shared" si="62"/>
        <v>420</v>
      </c>
      <c r="D404" s="23">
        <f t="shared" si="63"/>
        <v>168</v>
      </c>
      <c r="E404" s="23">
        <f t="shared" si="65"/>
        <v>252</v>
      </c>
      <c r="F404" s="23">
        <f t="shared" si="66"/>
        <v>700</v>
      </c>
      <c r="G404" s="23">
        <f t="shared" ca="1" si="67"/>
        <v>198</v>
      </c>
      <c r="H404" s="23">
        <f t="shared" ca="1" si="68"/>
        <v>618</v>
      </c>
      <c r="I404" s="23">
        <f t="shared" ca="1" si="69"/>
        <v>366</v>
      </c>
      <c r="J404" s="23">
        <f t="shared" ca="1" si="70"/>
        <v>618</v>
      </c>
      <c r="K404" s="23">
        <f t="shared" ca="1" si="71"/>
        <v>984</v>
      </c>
      <c r="L404" s="23">
        <f t="shared" ca="1" si="64"/>
        <v>60040</v>
      </c>
    </row>
    <row r="405" spans="3:12">
      <c r="C405" s="23">
        <f t="shared" si="62"/>
        <v>420</v>
      </c>
      <c r="D405" s="23">
        <f t="shared" si="63"/>
        <v>168</v>
      </c>
      <c r="E405" s="23">
        <f t="shared" si="65"/>
        <v>252</v>
      </c>
      <c r="F405" s="23">
        <f t="shared" si="66"/>
        <v>700</v>
      </c>
      <c r="G405" s="23">
        <f t="shared" ca="1" si="67"/>
        <v>205</v>
      </c>
      <c r="H405" s="23">
        <f t="shared" ca="1" si="68"/>
        <v>552</v>
      </c>
      <c r="I405" s="23">
        <f t="shared" ca="1" si="69"/>
        <v>373</v>
      </c>
      <c r="J405" s="23">
        <f t="shared" ca="1" si="70"/>
        <v>552</v>
      </c>
      <c r="K405" s="23">
        <f t="shared" ca="1" si="71"/>
        <v>925</v>
      </c>
      <c r="L405" s="23">
        <f t="shared" ca="1" si="64"/>
        <v>52075</v>
      </c>
    </row>
    <row r="406" spans="3:12">
      <c r="C406" s="23">
        <f t="shared" si="62"/>
        <v>420</v>
      </c>
      <c r="D406" s="23">
        <f t="shared" si="63"/>
        <v>168</v>
      </c>
      <c r="E406" s="23">
        <f t="shared" si="65"/>
        <v>252</v>
      </c>
      <c r="F406" s="23">
        <f t="shared" si="66"/>
        <v>700</v>
      </c>
      <c r="G406" s="23">
        <f t="shared" ca="1" si="67"/>
        <v>220</v>
      </c>
      <c r="H406" s="23">
        <f t="shared" ca="1" si="68"/>
        <v>697</v>
      </c>
      <c r="I406" s="23">
        <f t="shared" ca="1" si="69"/>
        <v>388</v>
      </c>
      <c r="J406" s="23">
        <f t="shared" ca="1" si="70"/>
        <v>697</v>
      </c>
      <c r="K406" s="23">
        <f t="shared" ca="1" si="71"/>
        <v>1085</v>
      </c>
      <c r="L406" s="23">
        <f t="shared" ca="1" si="64"/>
        <v>73675</v>
      </c>
    </row>
    <row r="407" spans="3:12">
      <c r="C407" s="23">
        <f t="shared" si="62"/>
        <v>420</v>
      </c>
      <c r="D407" s="23">
        <f t="shared" si="63"/>
        <v>168</v>
      </c>
      <c r="E407" s="23">
        <f t="shared" si="65"/>
        <v>252</v>
      </c>
      <c r="F407" s="23">
        <f t="shared" si="66"/>
        <v>700</v>
      </c>
      <c r="G407" s="23">
        <f t="shared" ca="1" si="67"/>
        <v>225</v>
      </c>
      <c r="H407" s="23">
        <f t="shared" ca="1" si="68"/>
        <v>669</v>
      </c>
      <c r="I407" s="23">
        <f t="shared" ca="1" si="69"/>
        <v>393</v>
      </c>
      <c r="J407" s="23">
        <f t="shared" ca="1" si="70"/>
        <v>669</v>
      </c>
      <c r="K407" s="23">
        <f t="shared" ca="1" si="71"/>
        <v>1062</v>
      </c>
      <c r="L407" s="23">
        <f t="shared" ca="1" si="64"/>
        <v>70570</v>
      </c>
    </row>
    <row r="408" spans="3:12">
      <c r="C408" s="23">
        <f t="shared" si="62"/>
        <v>420</v>
      </c>
      <c r="D408" s="23">
        <f t="shared" si="63"/>
        <v>168</v>
      </c>
      <c r="E408" s="23">
        <f t="shared" si="65"/>
        <v>252</v>
      </c>
      <c r="F408" s="23">
        <f t="shared" si="66"/>
        <v>700</v>
      </c>
      <c r="G408" s="23">
        <f t="shared" ca="1" si="67"/>
        <v>220</v>
      </c>
      <c r="H408" s="23">
        <f t="shared" ca="1" si="68"/>
        <v>547</v>
      </c>
      <c r="I408" s="23">
        <f t="shared" ca="1" si="69"/>
        <v>388</v>
      </c>
      <c r="J408" s="23">
        <f t="shared" ca="1" si="70"/>
        <v>547</v>
      </c>
      <c r="K408" s="23">
        <f t="shared" ca="1" si="71"/>
        <v>935</v>
      </c>
      <c r="L408" s="23">
        <f t="shared" ca="1" si="64"/>
        <v>53425</v>
      </c>
    </row>
    <row r="409" spans="3:12">
      <c r="C409" s="23">
        <f t="shared" si="62"/>
        <v>420</v>
      </c>
      <c r="D409" s="23">
        <f t="shared" si="63"/>
        <v>168</v>
      </c>
      <c r="E409" s="23">
        <f t="shared" si="65"/>
        <v>252</v>
      </c>
      <c r="F409" s="23">
        <f t="shared" si="66"/>
        <v>700</v>
      </c>
      <c r="G409" s="23">
        <f t="shared" ca="1" si="67"/>
        <v>221</v>
      </c>
      <c r="H409" s="23">
        <f t="shared" ca="1" si="68"/>
        <v>692</v>
      </c>
      <c r="I409" s="23">
        <f t="shared" ca="1" si="69"/>
        <v>389</v>
      </c>
      <c r="J409" s="23">
        <f t="shared" ca="1" si="70"/>
        <v>692</v>
      </c>
      <c r="K409" s="23">
        <f t="shared" ca="1" si="71"/>
        <v>1081</v>
      </c>
      <c r="L409" s="23">
        <f t="shared" ca="1" si="64"/>
        <v>73135</v>
      </c>
    </row>
    <row r="410" spans="3:12">
      <c r="C410" s="23">
        <f t="shared" si="62"/>
        <v>420</v>
      </c>
      <c r="D410" s="23">
        <f t="shared" si="63"/>
        <v>168</v>
      </c>
      <c r="E410" s="23">
        <f t="shared" si="65"/>
        <v>252</v>
      </c>
      <c r="F410" s="23">
        <f t="shared" si="66"/>
        <v>700</v>
      </c>
      <c r="G410" s="23">
        <f t="shared" ca="1" si="67"/>
        <v>180</v>
      </c>
      <c r="H410" s="23">
        <f t="shared" ca="1" si="68"/>
        <v>594</v>
      </c>
      <c r="I410" s="23">
        <f t="shared" ca="1" si="69"/>
        <v>348</v>
      </c>
      <c r="J410" s="23">
        <f t="shared" ca="1" si="70"/>
        <v>594</v>
      </c>
      <c r="K410" s="23">
        <f t="shared" ca="1" si="71"/>
        <v>942</v>
      </c>
      <c r="L410" s="23">
        <f t="shared" ca="1" si="64"/>
        <v>54370</v>
      </c>
    </row>
    <row r="411" spans="3:12">
      <c r="C411" s="23">
        <f t="shared" si="62"/>
        <v>420</v>
      </c>
      <c r="D411" s="23">
        <f t="shared" si="63"/>
        <v>168</v>
      </c>
      <c r="E411" s="23">
        <f t="shared" si="65"/>
        <v>252</v>
      </c>
      <c r="F411" s="23">
        <f t="shared" si="66"/>
        <v>700</v>
      </c>
      <c r="G411" s="23">
        <f t="shared" ca="1" si="67"/>
        <v>219</v>
      </c>
      <c r="H411" s="23">
        <f t="shared" ca="1" si="68"/>
        <v>647</v>
      </c>
      <c r="I411" s="23">
        <f t="shared" ca="1" si="69"/>
        <v>387</v>
      </c>
      <c r="J411" s="23">
        <f t="shared" ca="1" si="70"/>
        <v>647</v>
      </c>
      <c r="K411" s="23">
        <f t="shared" ca="1" si="71"/>
        <v>1034</v>
      </c>
      <c r="L411" s="23">
        <f t="shared" ca="1" si="64"/>
        <v>66790</v>
      </c>
    </row>
    <row r="412" spans="3:12">
      <c r="C412" s="23">
        <f t="shared" si="62"/>
        <v>420</v>
      </c>
      <c r="D412" s="23">
        <f t="shared" si="63"/>
        <v>168</v>
      </c>
      <c r="E412" s="23">
        <f t="shared" si="65"/>
        <v>252</v>
      </c>
      <c r="F412" s="23">
        <f t="shared" si="66"/>
        <v>700</v>
      </c>
      <c r="G412" s="23">
        <f t="shared" ca="1" si="67"/>
        <v>201</v>
      </c>
      <c r="H412" s="23">
        <f t="shared" ca="1" si="68"/>
        <v>684</v>
      </c>
      <c r="I412" s="23">
        <f t="shared" ca="1" si="69"/>
        <v>369</v>
      </c>
      <c r="J412" s="23">
        <f t="shared" ca="1" si="70"/>
        <v>684</v>
      </c>
      <c r="K412" s="23">
        <f t="shared" ca="1" si="71"/>
        <v>1053</v>
      </c>
      <c r="L412" s="23">
        <f t="shared" ca="1" si="64"/>
        <v>69355</v>
      </c>
    </row>
    <row r="413" spans="3:12">
      <c r="C413" s="23">
        <f t="shared" si="62"/>
        <v>420</v>
      </c>
      <c r="D413" s="23">
        <f t="shared" si="63"/>
        <v>168</v>
      </c>
      <c r="E413" s="23">
        <f t="shared" si="65"/>
        <v>252</v>
      </c>
      <c r="F413" s="23">
        <f t="shared" si="66"/>
        <v>700</v>
      </c>
      <c r="G413" s="23">
        <f t="shared" ca="1" si="67"/>
        <v>208</v>
      </c>
      <c r="H413" s="23">
        <f t="shared" ca="1" si="68"/>
        <v>720</v>
      </c>
      <c r="I413" s="23">
        <f t="shared" ca="1" si="69"/>
        <v>376</v>
      </c>
      <c r="J413" s="23">
        <f t="shared" ca="1" si="70"/>
        <v>720</v>
      </c>
      <c r="K413" s="23">
        <f t="shared" ca="1" si="71"/>
        <v>1096</v>
      </c>
      <c r="L413" s="23">
        <f t="shared" ca="1" si="64"/>
        <v>75160</v>
      </c>
    </row>
    <row r="414" spans="3:12">
      <c r="C414" s="23">
        <f t="shared" si="62"/>
        <v>420</v>
      </c>
      <c r="D414" s="23">
        <f t="shared" si="63"/>
        <v>168</v>
      </c>
      <c r="E414" s="23">
        <f t="shared" si="65"/>
        <v>252</v>
      </c>
      <c r="F414" s="23">
        <f t="shared" si="66"/>
        <v>700</v>
      </c>
      <c r="G414" s="23">
        <f t="shared" ca="1" si="67"/>
        <v>176</v>
      </c>
      <c r="H414" s="23">
        <f t="shared" ca="1" si="68"/>
        <v>543</v>
      </c>
      <c r="I414" s="23">
        <f t="shared" ca="1" si="69"/>
        <v>344</v>
      </c>
      <c r="J414" s="23">
        <f t="shared" ca="1" si="70"/>
        <v>543</v>
      </c>
      <c r="K414" s="23">
        <f t="shared" ca="1" si="71"/>
        <v>887</v>
      </c>
      <c r="L414" s="23">
        <f t="shared" ca="1" si="64"/>
        <v>46945</v>
      </c>
    </row>
    <row r="415" spans="3:12">
      <c r="C415" s="23">
        <f t="shared" si="62"/>
        <v>420</v>
      </c>
      <c r="D415" s="23">
        <f t="shared" si="63"/>
        <v>168</v>
      </c>
      <c r="E415" s="23">
        <f t="shared" si="65"/>
        <v>252</v>
      </c>
      <c r="F415" s="23">
        <f t="shared" si="66"/>
        <v>700</v>
      </c>
      <c r="G415" s="23">
        <f t="shared" ca="1" si="67"/>
        <v>210</v>
      </c>
      <c r="H415" s="23">
        <f t="shared" ca="1" si="68"/>
        <v>730</v>
      </c>
      <c r="I415" s="23">
        <f t="shared" ca="1" si="69"/>
        <v>378</v>
      </c>
      <c r="J415" s="23">
        <f t="shared" ca="1" si="70"/>
        <v>730</v>
      </c>
      <c r="K415" s="23">
        <f t="shared" ca="1" si="71"/>
        <v>1108</v>
      </c>
      <c r="L415" s="23">
        <f t="shared" ca="1" si="64"/>
        <v>76780</v>
      </c>
    </row>
    <row r="416" spans="3:12">
      <c r="C416" s="23">
        <f t="shared" si="62"/>
        <v>420</v>
      </c>
      <c r="D416" s="23">
        <f t="shared" si="63"/>
        <v>168</v>
      </c>
      <c r="E416" s="23">
        <f t="shared" si="65"/>
        <v>252</v>
      </c>
      <c r="F416" s="23">
        <f t="shared" si="66"/>
        <v>700</v>
      </c>
      <c r="G416" s="23">
        <f t="shared" ca="1" si="67"/>
        <v>214</v>
      </c>
      <c r="H416" s="23">
        <f t="shared" ca="1" si="68"/>
        <v>637</v>
      </c>
      <c r="I416" s="23">
        <f t="shared" ca="1" si="69"/>
        <v>382</v>
      </c>
      <c r="J416" s="23">
        <f t="shared" ca="1" si="70"/>
        <v>637</v>
      </c>
      <c r="K416" s="23">
        <f t="shared" ca="1" si="71"/>
        <v>1019</v>
      </c>
      <c r="L416" s="23">
        <f t="shared" ca="1" si="64"/>
        <v>64765</v>
      </c>
    </row>
    <row r="417" spans="3:12">
      <c r="C417" s="23">
        <f t="shared" si="62"/>
        <v>420</v>
      </c>
      <c r="D417" s="23">
        <f t="shared" si="63"/>
        <v>168</v>
      </c>
      <c r="E417" s="23">
        <f t="shared" si="65"/>
        <v>252</v>
      </c>
      <c r="F417" s="23">
        <f t="shared" si="66"/>
        <v>700</v>
      </c>
      <c r="G417" s="23">
        <f t="shared" ca="1" si="67"/>
        <v>186</v>
      </c>
      <c r="H417" s="23">
        <f t="shared" ca="1" si="68"/>
        <v>692</v>
      </c>
      <c r="I417" s="23">
        <f t="shared" ca="1" si="69"/>
        <v>354</v>
      </c>
      <c r="J417" s="23">
        <f t="shared" ca="1" si="70"/>
        <v>692</v>
      </c>
      <c r="K417" s="23">
        <f t="shared" ca="1" si="71"/>
        <v>1046</v>
      </c>
      <c r="L417" s="23">
        <f t="shared" ca="1" si="64"/>
        <v>68410</v>
      </c>
    </row>
    <row r="418" spans="3:12">
      <c r="C418" s="23">
        <f t="shared" si="62"/>
        <v>420</v>
      </c>
      <c r="D418" s="23">
        <f t="shared" si="63"/>
        <v>168</v>
      </c>
      <c r="E418" s="23">
        <f t="shared" si="65"/>
        <v>252</v>
      </c>
      <c r="F418" s="23">
        <f t="shared" si="66"/>
        <v>700</v>
      </c>
      <c r="G418" s="23">
        <f t="shared" ca="1" si="67"/>
        <v>182</v>
      </c>
      <c r="H418" s="23">
        <f t="shared" ca="1" si="68"/>
        <v>661</v>
      </c>
      <c r="I418" s="23">
        <f t="shared" ca="1" si="69"/>
        <v>350</v>
      </c>
      <c r="J418" s="23">
        <f t="shared" ca="1" si="70"/>
        <v>661</v>
      </c>
      <c r="K418" s="23">
        <f t="shared" ca="1" si="71"/>
        <v>1011</v>
      </c>
      <c r="L418" s="23">
        <f t="shared" ca="1" si="64"/>
        <v>63685</v>
      </c>
    </row>
    <row r="419" spans="3:12">
      <c r="C419" s="23">
        <f t="shared" si="62"/>
        <v>420</v>
      </c>
      <c r="D419" s="23">
        <f t="shared" si="63"/>
        <v>168</v>
      </c>
      <c r="E419" s="23">
        <f t="shared" si="65"/>
        <v>252</v>
      </c>
      <c r="F419" s="23">
        <f t="shared" si="66"/>
        <v>700</v>
      </c>
      <c r="G419" s="23">
        <f t="shared" ca="1" si="67"/>
        <v>190</v>
      </c>
      <c r="H419" s="23">
        <f t="shared" ca="1" si="68"/>
        <v>665</v>
      </c>
      <c r="I419" s="23">
        <f t="shared" ca="1" si="69"/>
        <v>358</v>
      </c>
      <c r="J419" s="23">
        <f t="shared" ca="1" si="70"/>
        <v>665</v>
      </c>
      <c r="K419" s="23">
        <f t="shared" ca="1" si="71"/>
        <v>1023</v>
      </c>
      <c r="L419" s="23">
        <f t="shared" ca="1" si="64"/>
        <v>65305</v>
      </c>
    </row>
    <row r="420" spans="3:12">
      <c r="C420" s="23">
        <f t="shared" si="62"/>
        <v>420</v>
      </c>
      <c r="D420" s="23">
        <f t="shared" si="63"/>
        <v>168</v>
      </c>
      <c r="E420" s="23">
        <f t="shared" si="65"/>
        <v>252</v>
      </c>
      <c r="F420" s="23">
        <f t="shared" si="66"/>
        <v>700</v>
      </c>
      <c r="G420" s="23">
        <f t="shared" ca="1" si="67"/>
        <v>199</v>
      </c>
      <c r="H420" s="23">
        <f t="shared" ca="1" si="68"/>
        <v>670</v>
      </c>
      <c r="I420" s="23">
        <f t="shared" ca="1" si="69"/>
        <v>367</v>
      </c>
      <c r="J420" s="23">
        <f t="shared" ca="1" si="70"/>
        <v>670</v>
      </c>
      <c r="K420" s="23">
        <f t="shared" ca="1" si="71"/>
        <v>1037</v>
      </c>
      <c r="L420" s="23">
        <f t="shared" ca="1" si="64"/>
        <v>67195</v>
      </c>
    </row>
    <row r="421" spans="3:12">
      <c r="C421" s="23">
        <f t="shared" si="62"/>
        <v>420</v>
      </c>
      <c r="D421" s="23">
        <f t="shared" si="63"/>
        <v>168</v>
      </c>
      <c r="E421" s="23">
        <f t="shared" si="65"/>
        <v>252</v>
      </c>
      <c r="F421" s="23">
        <f t="shared" si="66"/>
        <v>700</v>
      </c>
      <c r="G421" s="23">
        <f t="shared" ca="1" si="67"/>
        <v>209</v>
      </c>
      <c r="H421" s="23">
        <f t="shared" ca="1" si="68"/>
        <v>649</v>
      </c>
      <c r="I421" s="23">
        <f t="shared" ca="1" si="69"/>
        <v>377</v>
      </c>
      <c r="J421" s="23">
        <f t="shared" ca="1" si="70"/>
        <v>649</v>
      </c>
      <c r="K421" s="23">
        <f t="shared" ca="1" si="71"/>
        <v>1026</v>
      </c>
      <c r="L421" s="23">
        <f t="shared" ca="1" si="64"/>
        <v>65710</v>
      </c>
    </row>
    <row r="422" spans="3:12">
      <c r="C422" s="23">
        <f t="shared" si="62"/>
        <v>420</v>
      </c>
      <c r="D422" s="23">
        <f t="shared" si="63"/>
        <v>168</v>
      </c>
      <c r="E422" s="23">
        <f t="shared" si="65"/>
        <v>252</v>
      </c>
      <c r="F422" s="23">
        <f t="shared" si="66"/>
        <v>700</v>
      </c>
      <c r="G422" s="23">
        <f t="shared" ca="1" si="67"/>
        <v>225</v>
      </c>
      <c r="H422" s="23">
        <f t="shared" ca="1" si="68"/>
        <v>628</v>
      </c>
      <c r="I422" s="23">
        <f t="shared" ca="1" si="69"/>
        <v>393</v>
      </c>
      <c r="J422" s="23">
        <f t="shared" ca="1" si="70"/>
        <v>628</v>
      </c>
      <c r="K422" s="23">
        <f t="shared" ca="1" si="71"/>
        <v>1021</v>
      </c>
      <c r="L422" s="23">
        <f t="shared" ca="1" si="64"/>
        <v>65035</v>
      </c>
    </row>
    <row r="423" spans="3:12">
      <c r="C423" s="23">
        <f t="shared" si="62"/>
        <v>420</v>
      </c>
      <c r="D423" s="23">
        <f t="shared" si="63"/>
        <v>168</v>
      </c>
      <c r="E423" s="23">
        <f t="shared" si="65"/>
        <v>252</v>
      </c>
      <c r="F423" s="23">
        <f t="shared" si="66"/>
        <v>700</v>
      </c>
      <c r="G423" s="23">
        <f t="shared" ca="1" si="67"/>
        <v>211</v>
      </c>
      <c r="H423" s="23">
        <f t="shared" ca="1" si="68"/>
        <v>470</v>
      </c>
      <c r="I423" s="23">
        <f t="shared" ca="1" si="69"/>
        <v>379</v>
      </c>
      <c r="J423" s="23">
        <f t="shared" ca="1" si="70"/>
        <v>470</v>
      </c>
      <c r="K423" s="23">
        <f t="shared" ca="1" si="71"/>
        <v>849</v>
      </c>
      <c r="L423" s="23">
        <f t="shared" ca="1" si="64"/>
        <v>41815</v>
      </c>
    </row>
    <row r="424" spans="3:12">
      <c r="C424" s="23">
        <f t="shared" si="62"/>
        <v>420</v>
      </c>
      <c r="D424" s="23">
        <f t="shared" si="63"/>
        <v>168</v>
      </c>
      <c r="E424" s="23">
        <f t="shared" si="65"/>
        <v>252</v>
      </c>
      <c r="F424" s="23">
        <f t="shared" si="66"/>
        <v>700</v>
      </c>
      <c r="G424" s="23">
        <f t="shared" ca="1" si="67"/>
        <v>184</v>
      </c>
      <c r="H424" s="23">
        <f t="shared" ca="1" si="68"/>
        <v>556</v>
      </c>
      <c r="I424" s="23">
        <f t="shared" ca="1" si="69"/>
        <v>352</v>
      </c>
      <c r="J424" s="23">
        <f t="shared" ca="1" si="70"/>
        <v>556</v>
      </c>
      <c r="K424" s="23">
        <f t="shared" ca="1" si="71"/>
        <v>908</v>
      </c>
      <c r="L424" s="23">
        <f t="shared" ca="1" si="64"/>
        <v>49780</v>
      </c>
    </row>
    <row r="425" spans="3:12">
      <c r="C425" s="23">
        <f t="shared" si="62"/>
        <v>420</v>
      </c>
      <c r="D425" s="23">
        <f t="shared" si="63"/>
        <v>168</v>
      </c>
      <c r="E425" s="23">
        <f t="shared" si="65"/>
        <v>252</v>
      </c>
      <c r="F425" s="23">
        <f t="shared" si="66"/>
        <v>700</v>
      </c>
      <c r="G425" s="23">
        <f t="shared" ca="1" si="67"/>
        <v>210</v>
      </c>
      <c r="H425" s="23">
        <f t="shared" ca="1" si="68"/>
        <v>590</v>
      </c>
      <c r="I425" s="23">
        <f t="shared" ca="1" si="69"/>
        <v>378</v>
      </c>
      <c r="J425" s="23">
        <f t="shared" ca="1" si="70"/>
        <v>590</v>
      </c>
      <c r="K425" s="23">
        <f t="shared" ca="1" si="71"/>
        <v>968</v>
      </c>
      <c r="L425" s="23">
        <f t="shared" ca="1" si="64"/>
        <v>57880</v>
      </c>
    </row>
    <row r="426" spans="3:12">
      <c r="C426" s="23">
        <f t="shared" si="62"/>
        <v>420</v>
      </c>
      <c r="D426" s="23">
        <f t="shared" si="63"/>
        <v>168</v>
      </c>
      <c r="E426" s="23">
        <f t="shared" si="65"/>
        <v>252</v>
      </c>
      <c r="F426" s="23">
        <f t="shared" si="66"/>
        <v>700</v>
      </c>
      <c r="G426" s="23">
        <f t="shared" ca="1" si="67"/>
        <v>153</v>
      </c>
      <c r="H426" s="23">
        <f t="shared" ca="1" si="68"/>
        <v>578</v>
      </c>
      <c r="I426" s="23">
        <f t="shared" ca="1" si="69"/>
        <v>321</v>
      </c>
      <c r="J426" s="23">
        <f t="shared" ca="1" si="70"/>
        <v>578</v>
      </c>
      <c r="K426" s="23">
        <f t="shared" ca="1" si="71"/>
        <v>899</v>
      </c>
      <c r="L426" s="23">
        <f t="shared" ca="1" si="64"/>
        <v>48565</v>
      </c>
    </row>
    <row r="427" spans="3:12">
      <c r="C427" s="23">
        <f t="shared" si="62"/>
        <v>420</v>
      </c>
      <c r="D427" s="23">
        <f t="shared" si="63"/>
        <v>168</v>
      </c>
      <c r="E427" s="23">
        <f t="shared" si="65"/>
        <v>252</v>
      </c>
      <c r="F427" s="23">
        <f t="shared" si="66"/>
        <v>700</v>
      </c>
      <c r="G427" s="23">
        <f t="shared" ca="1" si="67"/>
        <v>214</v>
      </c>
      <c r="H427" s="23">
        <f t="shared" ca="1" si="68"/>
        <v>749</v>
      </c>
      <c r="I427" s="23">
        <f t="shared" ca="1" si="69"/>
        <v>382</v>
      </c>
      <c r="J427" s="23">
        <f t="shared" ca="1" si="70"/>
        <v>738</v>
      </c>
      <c r="K427" s="23">
        <f t="shared" ca="1" si="71"/>
        <v>1120</v>
      </c>
      <c r="L427" s="23">
        <f t="shared" ca="1" si="64"/>
        <v>78400</v>
      </c>
    </row>
    <row r="428" spans="3:12">
      <c r="C428" s="23">
        <f t="shared" si="62"/>
        <v>420</v>
      </c>
      <c r="D428" s="23">
        <f t="shared" si="63"/>
        <v>168</v>
      </c>
      <c r="E428" s="23">
        <f t="shared" si="65"/>
        <v>252</v>
      </c>
      <c r="F428" s="23">
        <f t="shared" si="66"/>
        <v>700</v>
      </c>
      <c r="G428" s="23">
        <f t="shared" ca="1" si="67"/>
        <v>208</v>
      </c>
      <c r="H428" s="23">
        <f t="shared" ca="1" si="68"/>
        <v>641</v>
      </c>
      <c r="I428" s="23">
        <f t="shared" ca="1" si="69"/>
        <v>376</v>
      </c>
      <c r="J428" s="23">
        <f t="shared" ca="1" si="70"/>
        <v>641</v>
      </c>
      <c r="K428" s="23">
        <f t="shared" ca="1" si="71"/>
        <v>1017</v>
      </c>
      <c r="L428" s="23">
        <f t="shared" ca="1" si="64"/>
        <v>64495</v>
      </c>
    </row>
    <row r="429" spans="3:12">
      <c r="C429" s="23">
        <f t="shared" si="62"/>
        <v>420</v>
      </c>
      <c r="D429" s="23">
        <f t="shared" si="63"/>
        <v>168</v>
      </c>
      <c r="E429" s="23">
        <f t="shared" si="65"/>
        <v>252</v>
      </c>
      <c r="F429" s="23">
        <f t="shared" si="66"/>
        <v>700</v>
      </c>
      <c r="G429" s="23">
        <f t="shared" ca="1" si="67"/>
        <v>181</v>
      </c>
      <c r="H429" s="23">
        <f t="shared" ca="1" si="68"/>
        <v>683</v>
      </c>
      <c r="I429" s="23">
        <f t="shared" ca="1" si="69"/>
        <v>349</v>
      </c>
      <c r="J429" s="23">
        <f t="shared" ca="1" si="70"/>
        <v>683</v>
      </c>
      <c r="K429" s="23">
        <f t="shared" ca="1" si="71"/>
        <v>1032</v>
      </c>
      <c r="L429" s="23">
        <f t="shared" ca="1" si="64"/>
        <v>66520</v>
      </c>
    </row>
    <row r="430" spans="3:12">
      <c r="C430" s="23">
        <f t="shared" si="62"/>
        <v>420</v>
      </c>
      <c r="D430" s="23">
        <f t="shared" si="63"/>
        <v>168</v>
      </c>
      <c r="E430" s="23">
        <f t="shared" si="65"/>
        <v>252</v>
      </c>
      <c r="F430" s="23">
        <f t="shared" si="66"/>
        <v>700</v>
      </c>
      <c r="G430" s="23">
        <f t="shared" ca="1" si="67"/>
        <v>204</v>
      </c>
      <c r="H430" s="23">
        <f t="shared" ca="1" si="68"/>
        <v>552</v>
      </c>
      <c r="I430" s="23">
        <f t="shared" ca="1" si="69"/>
        <v>372</v>
      </c>
      <c r="J430" s="23">
        <f t="shared" ca="1" si="70"/>
        <v>552</v>
      </c>
      <c r="K430" s="23">
        <f t="shared" ca="1" si="71"/>
        <v>924</v>
      </c>
      <c r="L430" s="23">
        <f t="shared" ca="1" si="64"/>
        <v>51940</v>
      </c>
    </row>
    <row r="431" spans="3:12">
      <c r="C431" s="23">
        <f t="shared" si="62"/>
        <v>420</v>
      </c>
      <c r="D431" s="23">
        <f t="shared" si="63"/>
        <v>168</v>
      </c>
      <c r="E431" s="23">
        <f t="shared" si="65"/>
        <v>252</v>
      </c>
      <c r="F431" s="23">
        <f t="shared" si="66"/>
        <v>700</v>
      </c>
      <c r="G431" s="23">
        <f t="shared" ca="1" si="67"/>
        <v>213</v>
      </c>
      <c r="H431" s="23">
        <f t="shared" ca="1" si="68"/>
        <v>674</v>
      </c>
      <c r="I431" s="23">
        <f t="shared" ca="1" si="69"/>
        <v>381</v>
      </c>
      <c r="J431" s="23">
        <f t="shared" ca="1" si="70"/>
        <v>674</v>
      </c>
      <c r="K431" s="23">
        <f t="shared" ca="1" si="71"/>
        <v>1055</v>
      </c>
      <c r="L431" s="23">
        <f t="shared" ca="1" si="64"/>
        <v>69625</v>
      </c>
    </row>
    <row r="432" spans="3:12">
      <c r="C432" s="23">
        <f t="shared" si="62"/>
        <v>420</v>
      </c>
      <c r="D432" s="23">
        <f t="shared" si="63"/>
        <v>168</v>
      </c>
      <c r="E432" s="23">
        <f t="shared" si="65"/>
        <v>252</v>
      </c>
      <c r="F432" s="23">
        <f t="shared" si="66"/>
        <v>700</v>
      </c>
      <c r="G432" s="23">
        <f t="shared" ca="1" si="67"/>
        <v>221</v>
      </c>
      <c r="H432" s="23">
        <f t="shared" ca="1" si="68"/>
        <v>607</v>
      </c>
      <c r="I432" s="23">
        <f t="shared" ca="1" si="69"/>
        <v>389</v>
      </c>
      <c r="J432" s="23">
        <f t="shared" ca="1" si="70"/>
        <v>607</v>
      </c>
      <c r="K432" s="23">
        <f t="shared" ca="1" si="71"/>
        <v>996</v>
      </c>
      <c r="L432" s="23">
        <f t="shared" ca="1" si="64"/>
        <v>61660</v>
      </c>
    </row>
    <row r="433" spans="3:12">
      <c r="C433" s="23">
        <f t="shared" si="62"/>
        <v>420</v>
      </c>
      <c r="D433" s="23">
        <f t="shared" si="63"/>
        <v>168</v>
      </c>
      <c r="E433" s="23">
        <f t="shared" si="65"/>
        <v>252</v>
      </c>
      <c r="F433" s="23">
        <f t="shared" si="66"/>
        <v>700</v>
      </c>
      <c r="G433" s="23">
        <f t="shared" ca="1" si="67"/>
        <v>221</v>
      </c>
      <c r="H433" s="23">
        <f t="shared" ca="1" si="68"/>
        <v>524</v>
      </c>
      <c r="I433" s="23">
        <f t="shared" ca="1" si="69"/>
        <v>389</v>
      </c>
      <c r="J433" s="23">
        <f t="shared" ca="1" si="70"/>
        <v>524</v>
      </c>
      <c r="K433" s="23">
        <f t="shared" ca="1" si="71"/>
        <v>913</v>
      </c>
      <c r="L433" s="23">
        <f t="shared" ca="1" si="64"/>
        <v>50455</v>
      </c>
    </row>
    <row r="434" spans="3:12">
      <c r="C434" s="23">
        <f t="shared" si="62"/>
        <v>420</v>
      </c>
      <c r="D434" s="23">
        <f t="shared" si="63"/>
        <v>168</v>
      </c>
      <c r="E434" s="23">
        <f t="shared" si="65"/>
        <v>252</v>
      </c>
      <c r="F434" s="23">
        <f t="shared" si="66"/>
        <v>700</v>
      </c>
      <c r="G434" s="23">
        <f t="shared" ca="1" si="67"/>
        <v>232</v>
      </c>
      <c r="H434" s="23">
        <f t="shared" ca="1" si="68"/>
        <v>539</v>
      </c>
      <c r="I434" s="23">
        <f t="shared" ca="1" si="69"/>
        <v>400</v>
      </c>
      <c r="J434" s="23">
        <f t="shared" ca="1" si="70"/>
        <v>539</v>
      </c>
      <c r="K434" s="23">
        <f t="shared" ca="1" si="71"/>
        <v>939</v>
      </c>
      <c r="L434" s="23">
        <f t="shared" ca="1" si="64"/>
        <v>53965</v>
      </c>
    </row>
    <row r="435" spans="3:12">
      <c r="C435" s="23">
        <f t="shared" si="62"/>
        <v>420</v>
      </c>
      <c r="D435" s="23">
        <f t="shared" si="63"/>
        <v>168</v>
      </c>
      <c r="E435" s="23">
        <f t="shared" si="65"/>
        <v>252</v>
      </c>
      <c r="F435" s="23">
        <f t="shared" si="66"/>
        <v>700</v>
      </c>
      <c r="G435" s="23">
        <f t="shared" ca="1" si="67"/>
        <v>268</v>
      </c>
      <c r="H435" s="23">
        <f t="shared" ca="1" si="68"/>
        <v>643</v>
      </c>
      <c r="I435" s="23">
        <f t="shared" ca="1" si="69"/>
        <v>420</v>
      </c>
      <c r="J435" s="23">
        <f t="shared" ca="1" si="70"/>
        <v>643</v>
      </c>
      <c r="K435" s="23">
        <f t="shared" ca="1" si="71"/>
        <v>1063</v>
      </c>
      <c r="L435" s="23">
        <f t="shared" ca="1" si="64"/>
        <v>70705</v>
      </c>
    </row>
    <row r="436" spans="3:12">
      <c r="C436" s="23">
        <f t="shared" si="62"/>
        <v>420</v>
      </c>
      <c r="D436" s="23">
        <f t="shared" si="63"/>
        <v>168</v>
      </c>
      <c r="E436" s="23">
        <f t="shared" si="65"/>
        <v>252</v>
      </c>
      <c r="F436" s="23">
        <f t="shared" si="66"/>
        <v>700</v>
      </c>
      <c r="G436" s="23">
        <f t="shared" ca="1" si="67"/>
        <v>174</v>
      </c>
      <c r="H436" s="23">
        <f t="shared" ca="1" si="68"/>
        <v>703</v>
      </c>
      <c r="I436" s="23">
        <f t="shared" ca="1" si="69"/>
        <v>342</v>
      </c>
      <c r="J436" s="23">
        <f t="shared" ca="1" si="70"/>
        <v>703</v>
      </c>
      <c r="K436" s="23">
        <f t="shared" ca="1" si="71"/>
        <v>1045</v>
      </c>
      <c r="L436" s="23">
        <f t="shared" ca="1" si="64"/>
        <v>68275</v>
      </c>
    </row>
    <row r="437" spans="3:12">
      <c r="C437" s="23">
        <f t="shared" si="62"/>
        <v>420</v>
      </c>
      <c r="D437" s="23">
        <f t="shared" si="63"/>
        <v>168</v>
      </c>
      <c r="E437" s="23">
        <f t="shared" si="65"/>
        <v>252</v>
      </c>
      <c r="F437" s="23">
        <f t="shared" si="66"/>
        <v>700</v>
      </c>
      <c r="G437" s="23">
        <f t="shared" ca="1" si="67"/>
        <v>225</v>
      </c>
      <c r="H437" s="23">
        <f t="shared" ca="1" si="68"/>
        <v>668</v>
      </c>
      <c r="I437" s="23">
        <f t="shared" ca="1" si="69"/>
        <v>393</v>
      </c>
      <c r="J437" s="23">
        <f t="shared" ca="1" si="70"/>
        <v>668</v>
      </c>
      <c r="K437" s="23">
        <f t="shared" ca="1" si="71"/>
        <v>1061</v>
      </c>
      <c r="L437" s="23">
        <f t="shared" ca="1" si="64"/>
        <v>70435</v>
      </c>
    </row>
    <row r="438" spans="3:12">
      <c r="C438" s="23">
        <f t="shared" si="62"/>
        <v>420</v>
      </c>
      <c r="D438" s="23">
        <f t="shared" si="63"/>
        <v>168</v>
      </c>
      <c r="E438" s="23">
        <f t="shared" si="65"/>
        <v>252</v>
      </c>
      <c r="F438" s="23">
        <f t="shared" si="66"/>
        <v>700</v>
      </c>
      <c r="G438" s="23">
        <f t="shared" ca="1" si="67"/>
        <v>272</v>
      </c>
      <c r="H438" s="23">
        <f t="shared" ca="1" si="68"/>
        <v>575</v>
      </c>
      <c r="I438" s="23">
        <f t="shared" ca="1" si="69"/>
        <v>420</v>
      </c>
      <c r="J438" s="23">
        <f t="shared" ca="1" si="70"/>
        <v>575</v>
      </c>
      <c r="K438" s="23">
        <f t="shared" ca="1" si="71"/>
        <v>995</v>
      </c>
      <c r="L438" s="23">
        <f t="shared" ca="1" si="64"/>
        <v>61525</v>
      </c>
    </row>
    <row r="439" spans="3:12">
      <c r="C439" s="23">
        <f t="shared" si="62"/>
        <v>420</v>
      </c>
      <c r="D439" s="23">
        <f t="shared" si="63"/>
        <v>168</v>
      </c>
      <c r="E439" s="23">
        <f t="shared" si="65"/>
        <v>252</v>
      </c>
      <c r="F439" s="23">
        <f t="shared" si="66"/>
        <v>700</v>
      </c>
      <c r="G439" s="23">
        <f t="shared" ca="1" si="67"/>
        <v>220</v>
      </c>
      <c r="H439" s="23">
        <f t="shared" ca="1" si="68"/>
        <v>732</v>
      </c>
      <c r="I439" s="23">
        <f t="shared" ca="1" si="69"/>
        <v>388</v>
      </c>
      <c r="J439" s="23">
        <f t="shared" ca="1" si="70"/>
        <v>732</v>
      </c>
      <c r="K439" s="23">
        <f t="shared" ca="1" si="71"/>
        <v>1120</v>
      </c>
      <c r="L439" s="23">
        <f t="shared" ca="1" si="64"/>
        <v>78400</v>
      </c>
    </row>
    <row r="440" spans="3:12">
      <c r="C440" s="23">
        <f t="shared" si="62"/>
        <v>420</v>
      </c>
      <c r="D440" s="23">
        <f t="shared" si="63"/>
        <v>168</v>
      </c>
      <c r="E440" s="23">
        <f t="shared" si="65"/>
        <v>252</v>
      </c>
      <c r="F440" s="23">
        <f t="shared" si="66"/>
        <v>700</v>
      </c>
      <c r="G440" s="23">
        <f t="shared" ca="1" si="67"/>
        <v>238</v>
      </c>
      <c r="H440" s="23">
        <f t="shared" ca="1" si="68"/>
        <v>624</v>
      </c>
      <c r="I440" s="23">
        <f t="shared" ca="1" si="69"/>
        <v>406</v>
      </c>
      <c r="J440" s="23">
        <f t="shared" ca="1" si="70"/>
        <v>624</v>
      </c>
      <c r="K440" s="23">
        <f t="shared" ca="1" si="71"/>
        <v>1030</v>
      </c>
      <c r="L440" s="23">
        <f t="shared" ca="1" si="64"/>
        <v>66250</v>
      </c>
    </row>
    <row r="441" spans="3:12">
      <c r="C441" s="23">
        <f t="shared" si="62"/>
        <v>420</v>
      </c>
      <c r="D441" s="23">
        <f t="shared" si="63"/>
        <v>168</v>
      </c>
      <c r="E441" s="23">
        <f t="shared" si="65"/>
        <v>252</v>
      </c>
      <c r="F441" s="23">
        <f t="shared" si="66"/>
        <v>700</v>
      </c>
      <c r="G441" s="23">
        <f t="shared" ca="1" si="67"/>
        <v>172</v>
      </c>
      <c r="H441" s="23">
        <f t="shared" ca="1" si="68"/>
        <v>609</v>
      </c>
      <c r="I441" s="23">
        <f t="shared" ca="1" si="69"/>
        <v>340</v>
      </c>
      <c r="J441" s="23">
        <f t="shared" ca="1" si="70"/>
        <v>609</v>
      </c>
      <c r="K441" s="23">
        <f t="shared" ca="1" si="71"/>
        <v>949</v>
      </c>
      <c r="L441" s="23">
        <f t="shared" ca="1" si="64"/>
        <v>55315</v>
      </c>
    </row>
    <row r="442" spans="3:12">
      <c r="C442" s="23">
        <f t="shared" si="62"/>
        <v>420</v>
      </c>
      <c r="D442" s="23">
        <f t="shared" si="63"/>
        <v>168</v>
      </c>
      <c r="E442" s="23">
        <f t="shared" si="65"/>
        <v>252</v>
      </c>
      <c r="F442" s="23">
        <f t="shared" si="66"/>
        <v>700</v>
      </c>
      <c r="G442" s="23">
        <f t="shared" ca="1" si="67"/>
        <v>198</v>
      </c>
      <c r="H442" s="23">
        <f t="shared" ca="1" si="68"/>
        <v>644</v>
      </c>
      <c r="I442" s="23">
        <f t="shared" ca="1" si="69"/>
        <v>366</v>
      </c>
      <c r="J442" s="23">
        <f t="shared" ca="1" si="70"/>
        <v>644</v>
      </c>
      <c r="K442" s="23">
        <f t="shared" ca="1" si="71"/>
        <v>1010</v>
      </c>
      <c r="L442" s="23">
        <f t="shared" ca="1" si="64"/>
        <v>63550</v>
      </c>
    </row>
    <row r="443" spans="3:12">
      <c r="C443" s="23">
        <f t="shared" si="62"/>
        <v>420</v>
      </c>
      <c r="D443" s="23">
        <f t="shared" si="63"/>
        <v>168</v>
      </c>
      <c r="E443" s="23">
        <f t="shared" si="65"/>
        <v>252</v>
      </c>
      <c r="F443" s="23">
        <f t="shared" si="66"/>
        <v>700</v>
      </c>
      <c r="G443" s="23">
        <f t="shared" ca="1" si="67"/>
        <v>172</v>
      </c>
      <c r="H443" s="23">
        <f t="shared" ca="1" si="68"/>
        <v>663</v>
      </c>
      <c r="I443" s="23">
        <f t="shared" ca="1" si="69"/>
        <v>340</v>
      </c>
      <c r="J443" s="23">
        <f t="shared" ca="1" si="70"/>
        <v>663</v>
      </c>
      <c r="K443" s="23">
        <f t="shared" ca="1" si="71"/>
        <v>1003</v>
      </c>
      <c r="L443" s="23">
        <f t="shared" ca="1" si="64"/>
        <v>62605</v>
      </c>
    </row>
    <row r="444" spans="3:12">
      <c r="C444" s="23">
        <f t="shared" si="62"/>
        <v>420</v>
      </c>
      <c r="D444" s="23">
        <f t="shared" si="63"/>
        <v>168</v>
      </c>
      <c r="E444" s="23">
        <f t="shared" si="65"/>
        <v>252</v>
      </c>
      <c r="F444" s="23">
        <f t="shared" si="66"/>
        <v>700</v>
      </c>
      <c r="G444" s="23">
        <f t="shared" ca="1" si="67"/>
        <v>222</v>
      </c>
      <c r="H444" s="23">
        <f t="shared" ca="1" si="68"/>
        <v>706</v>
      </c>
      <c r="I444" s="23">
        <f t="shared" ca="1" si="69"/>
        <v>390</v>
      </c>
      <c r="J444" s="23">
        <f t="shared" ca="1" si="70"/>
        <v>706</v>
      </c>
      <c r="K444" s="23">
        <f t="shared" ca="1" si="71"/>
        <v>1096</v>
      </c>
      <c r="L444" s="23">
        <f t="shared" ca="1" si="64"/>
        <v>75160</v>
      </c>
    </row>
    <row r="445" spans="3:12">
      <c r="C445" s="23">
        <f t="shared" si="62"/>
        <v>420</v>
      </c>
      <c r="D445" s="23">
        <f t="shared" si="63"/>
        <v>168</v>
      </c>
      <c r="E445" s="23">
        <f t="shared" si="65"/>
        <v>252</v>
      </c>
      <c r="F445" s="23">
        <f t="shared" si="66"/>
        <v>700</v>
      </c>
      <c r="G445" s="23">
        <f t="shared" ca="1" si="67"/>
        <v>236</v>
      </c>
      <c r="H445" s="23">
        <f t="shared" ca="1" si="68"/>
        <v>647</v>
      </c>
      <c r="I445" s="23">
        <f t="shared" ca="1" si="69"/>
        <v>404</v>
      </c>
      <c r="J445" s="23">
        <f t="shared" ca="1" si="70"/>
        <v>647</v>
      </c>
      <c r="K445" s="23">
        <f t="shared" ca="1" si="71"/>
        <v>1051</v>
      </c>
      <c r="L445" s="23">
        <f t="shared" ca="1" si="64"/>
        <v>69085</v>
      </c>
    </row>
    <row r="446" spans="3:12">
      <c r="C446" s="23">
        <f t="shared" si="62"/>
        <v>420</v>
      </c>
      <c r="D446" s="23">
        <f t="shared" si="63"/>
        <v>168</v>
      </c>
      <c r="E446" s="23">
        <f t="shared" si="65"/>
        <v>252</v>
      </c>
      <c r="F446" s="23">
        <f t="shared" si="66"/>
        <v>700</v>
      </c>
      <c r="G446" s="23">
        <f t="shared" ca="1" si="67"/>
        <v>198</v>
      </c>
      <c r="H446" s="23">
        <f t="shared" ca="1" si="68"/>
        <v>740</v>
      </c>
      <c r="I446" s="23">
        <f t="shared" ca="1" si="69"/>
        <v>366</v>
      </c>
      <c r="J446" s="23">
        <f t="shared" ca="1" si="70"/>
        <v>740</v>
      </c>
      <c r="K446" s="23">
        <f t="shared" ca="1" si="71"/>
        <v>1106</v>
      </c>
      <c r="L446" s="23">
        <f t="shared" ca="1" si="64"/>
        <v>76510</v>
      </c>
    </row>
    <row r="447" spans="3:12">
      <c r="C447" s="23">
        <f t="shared" si="62"/>
        <v>420</v>
      </c>
      <c r="D447" s="23">
        <f t="shared" si="63"/>
        <v>168</v>
      </c>
      <c r="E447" s="23">
        <f t="shared" si="65"/>
        <v>252</v>
      </c>
      <c r="F447" s="23">
        <f t="shared" si="66"/>
        <v>700</v>
      </c>
      <c r="G447" s="23">
        <f t="shared" ca="1" si="67"/>
        <v>213</v>
      </c>
      <c r="H447" s="23">
        <f t="shared" ca="1" si="68"/>
        <v>654</v>
      </c>
      <c r="I447" s="23">
        <f t="shared" ca="1" si="69"/>
        <v>381</v>
      </c>
      <c r="J447" s="23">
        <f t="shared" ca="1" si="70"/>
        <v>654</v>
      </c>
      <c r="K447" s="23">
        <f t="shared" ca="1" si="71"/>
        <v>1035</v>
      </c>
      <c r="L447" s="23">
        <f t="shared" ca="1" si="64"/>
        <v>66925</v>
      </c>
    </row>
    <row r="448" spans="3:12">
      <c r="C448" s="23">
        <f t="shared" si="62"/>
        <v>420</v>
      </c>
      <c r="D448" s="23">
        <f t="shared" si="63"/>
        <v>168</v>
      </c>
      <c r="E448" s="23">
        <f t="shared" si="65"/>
        <v>252</v>
      </c>
      <c r="F448" s="23">
        <f t="shared" si="66"/>
        <v>700</v>
      </c>
      <c r="G448" s="23">
        <f t="shared" ca="1" si="67"/>
        <v>206</v>
      </c>
      <c r="H448" s="23">
        <f t="shared" ca="1" si="68"/>
        <v>672</v>
      </c>
      <c r="I448" s="23">
        <f t="shared" ca="1" si="69"/>
        <v>374</v>
      </c>
      <c r="J448" s="23">
        <f t="shared" ca="1" si="70"/>
        <v>672</v>
      </c>
      <c r="K448" s="23">
        <f t="shared" ca="1" si="71"/>
        <v>1046</v>
      </c>
      <c r="L448" s="23">
        <f t="shared" ca="1" si="64"/>
        <v>68410</v>
      </c>
    </row>
    <row r="449" spans="3:12">
      <c r="C449" s="23">
        <f t="shared" si="62"/>
        <v>420</v>
      </c>
      <c r="D449" s="23">
        <f t="shared" si="63"/>
        <v>168</v>
      </c>
      <c r="E449" s="23">
        <f t="shared" si="65"/>
        <v>252</v>
      </c>
      <c r="F449" s="23">
        <f t="shared" si="66"/>
        <v>700</v>
      </c>
      <c r="G449" s="23">
        <f t="shared" ca="1" si="67"/>
        <v>236</v>
      </c>
      <c r="H449" s="23">
        <f t="shared" ca="1" si="68"/>
        <v>641</v>
      </c>
      <c r="I449" s="23">
        <f t="shared" ca="1" si="69"/>
        <v>404</v>
      </c>
      <c r="J449" s="23">
        <f t="shared" ca="1" si="70"/>
        <v>641</v>
      </c>
      <c r="K449" s="23">
        <f t="shared" ca="1" si="71"/>
        <v>1045</v>
      </c>
      <c r="L449" s="23">
        <f t="shared" ca="1" si="64"/>
        <v>68275</v>
      </c>
    </row>
    <row r="450" spans="3:12">
      <c r="C450" s="23">
        <f t="shared" si="62"/>
        <v>420</v>
      </c>
      <c r="D450" s="23">
        <f t="shared" si="63"/>
        <v>168</v>
      </c>
      <c r="E450" s="23">
        <f t="shared" si="65"/>
        <v>252</v>
      </c>
      <c r="F450" s="23">
        <f t="shared" si="66"/>
        <v>700</v>
      </c>
      <c r="G450" s="23">
        <f t="shared" ca="1" si="67"/>
        <v>184</v>
      </c>
      <c r="H450" s="23">
        <f t="shared" ca="1" si="68"/>
        <v>672</v>
      </c>
      <c r="I450" s="23">
        <f t="shared" ca="1" si="69"/>
        <v>352</v>
      </c>
      <c r="J450" s="23">
        <f t="shared" ca="1" si="70"/>
        <v>672</v>
      </c>
      <c r="K450" s="23">
        <f t="shared" ca="1" si="71"/>
        <v>1024</v>
      </c>
      <c r="L450" s="23">
        <f t="shared" ca="1" si="64"/>
        <v>65440</v>
      </c>
    </row>
    <row r="451" spans="3:12">
      <c r="C451" s="23">
        <f t="shared" si="62"/>
        <v>420</v>
      </c>
      <c r="D451" s="23">
        <f t="shared" si="63"/>
        <v>168</v>
      </c>
      <c r="E451" s="23">
        <f t="shared" si="65"/>
        <v>252</v>
      </c>
      <c r="F451" s="23">
        <f t="shared" si="66"/>
        <v>700</v>
      </c>
      <c r="G451" s="23">
        <f t="shared" ca="1" si="67"/>
        <v>248</v>
      </c>
      <c r="H451" s="23">
        <f t="shared" ca="1" si="68"/>
        <v>679</v>
      </c>
      <c r="I451" s="23">
        <f t="shared" ca="1" si="69"/>
        <v>416</v>
      </c>
      <c r="J451" s="23">
        <f t="shared" ca="1" si="70"/>
        <v>679</v>
      </c>
      <c r="K451" s="23">
        <f t="shared" ca="1" si="71"/>
        <v>1095</v>
      </c>
      <c r="L451" s="23">
        <f t="shared" ca="1" si="64"/>
        <v>75025</v>
      </c>
    </row>
    <row r="452" spans="3:12">
      <c r="C452" s="23">
        <f t="shared" si="62"/>
        <v>420</v>
      </c>
      <c r="D452" s="23">
        <f t="shared" si="63"/>
        <v>168</v>
      </c>
      <c r="E452" s="23">
        <f t="shared" si="65"/>
        <v>252</v>
      </c>
      <c r="F452" s="23">
        <f t="shared" si="66"/>
        <v>700</v>
      </c>
      <c r="G452" s="23">
        <f t="shared" ca="1" si="67"/>
        <v>224</v>
      </c>
      <c r="H452" s="23">
        <f t="shared" ca="1" si="68"/>
        <v>647</v>
      </c>
      <c r="I452" s="23">
        <f t="shared" ca="1" si="69"/>
        <v>392</v>
      </c>
      <c r="J452" s="23">
        <f t="shared" ca="1" si="70"/>
        <v>647</v>
      </c>
      <c r="K452" s="23">
        <f t="shared" ca="1" si="71"/>
        <v>1039</v>
      </c>
      <c r="L452" s="23">
        <f t="shared" ca="1" si="64"/>
        <v>67465</v>
      </c>
    </row>
    <row r="453" spans="3:12">
      <c r="C453" s="23">
        <f t="shared" si="62"/>
        <v>420</v>
      </c>
      <c r="D453" s="23">
        <f t="shared" si="63"/>
        <v>168</v>
      </c>
      <c r="E453" s="23">
        <f t="shared" si="65"/>
        <v>252</v>
      </c>
      <c r="F453" s="23">
        <f t="shared" si="66"/>
        <v>700</v>
      </c>
      <c r="G453" s="23">
        <f t="shared" ca="1" si="67"/>
        <v>220</v>
      </c>
      <c r="H453" s="23">
        <f t="shared" ca="1" si="68"/>
        <v>649</v>
      </c>
      <c r="I453" s="23">
        <f t="shared" ca="1" si="69"/>
        <v>388</v>
      </c>
      <c r="J453" s="23">
        <f t="shared" ca="1" si="70"/>
        <v>649</v>
      </c>
      <c r="K453" s="23">
        <f t="shared" ca="1" si="71"/>
        <v>1037</v>
      </c>
      <c r="L453" s="23">
        <f t="shared" ca="1" si="64"/>
        <v>67195</v>
      </c>
    </row>
    <row r="454" spans="3:12">
      <c r="C454" s="23">
        <f t="shared" si="62"/>
        <v>420</v>
      </c>
      <c r="D454" s="23">
        <f t="shared" si="63"/>
        <v>168</v>
      </c>
      <c r="E454" s="23">
        <f t="shared" si="65"/>
        <v>252</v>
      </c>
      <c r="F454" s="23">
        <f t="shared" si="66"/>
        <v>700</v>
      </c>
      <c r="G454" s="23">
        <f t="shared" ca="1" si="67"/>
        <v>230</v>
      </c>
      <c r="H454" s="23">
        <f t="shared" ca="1" si="68"/>
        <v>640</v>
      </c>
      <c r="I454" s="23">
        <f t="shared" ca="1" si="69"/>
        <v>398</v>
      </c>
      <c r="J454" s="23">
        <f t="shared" ca="1" si="70"/>
        <v>640</v>
      </c>
      <c r="K454" s="23">
        <f t="shared" ca="1" si="71"/>
        <v>1038</v>
      </c>
      <c r="L454" s="23">
        <f t="shared" ca="1" si="64"/>
        <v>67330</v>
      </c>
    </row>
    <row r="455" spans="3:12">
      <c r="C455" s="23">
        <f t="shared" si="62"/>
        <v>420</v>
      </c>
      <c r="D455" s="23">
        <f t="shared" si="63"/>
        <v>168</v>
      </c>
      <c r="E455" s="23">
        <f t="shared" si="65"/>
        <v>252</v>
      </c>
      <c r="F455" s="23">
        <f t="shared" si="66"/>
        <v>700</v>
      </c>
      <c r="G455" s="23">
        <f t="shared" ca="1" si="67"/>
        <v>188</v>
      </c>
      <c r="H455" s="23">
        <f t="shared" ca="1" si="68"/>
        <v>599</v>
      </c>
      <c r="I455" s="23">
        <f t="shared" ca="1" si="69"/>
        <v>356</v>
      </c>
      <c r="J455" s="23">
        <f t="shared" ca="1" si="70"/>
        <v>599</v>
      </c>
      <c r="K455" s="23">
        <f t="shared" ca="1" si="71"/>
        <v>955</v>
      </c>
      <c r="L455" s="23">
        <f t="shared" ca="1" si="64"/>
        <v>56125</v>
      </c>
    </row>
    <row r="456" spans="3:12">
      <c r="C456" s="23">
        <f t="shared" si="62"/>
        <v>420</v>
      </c>
      <c r="D456" s="23">
        <f t="shared" si="63"/>
        <v>168</v>
      </c>
      <c r="E456" s="23">
        <f t="shared" si="65"/>
        <v>252</v>
      </c>
      <c r="F456" s="23">
        <f t="shared" si="66"/>
        <v>700</v>
      </c>
      <c r="G456" s="23">
        <f t="shared" ca="1" si="67"/>
        <v>195</v>
      </c>
      <c r="H456" s="23">
        <f t="shared" ca="1" si="68"/>
        <v>563</v>
      </c>
      <c r="I456" s="23">
        <f t="shared" ca="1" si="69"/>
        <v>363</v>
      </c>
      <c r="J456" s="23">
        <f t="shared" ca="1" si="70"/>
        <v>563</v>
      </c>
      <c r="K456" s="23">
        <f t="shared" ca="1" si="71"/>
        <v>926</v>
      </c>
      <c r="L456" s="23">
        <f t="shared" ca="1" si="64"/>
        <v>52210</v>
      </c>
    </row>
    <row r="457" spans="3:12">
      <c r="C457" s="23">
        <f t="shared" si="62"/>
        <v>420</v>
      </c>
      <c r="D457" s="23">
        <f t="shared" si="63"/>
        <v>168</v>
      </c>
      <c r="E457" s="23">
        <f t="shared" si="65"/>
        <v>252</v>
      </c>
      <c r="F457" s="23">
        <f t="shared" si="66"/>
        <v>700</v>
      </c>
      <c r="G457" s="23">
        <f t="shared" ca="1" si="67"/>
        <v>205</v>
      </c>
      <c r="H457" s="23">
        <f t="shared" ca="1" si="68"/>
        <v>628</v>
      </c>
      <c r="I457" s="23">
        <f t="shared" ca="1" si="69"/>
        <v>373</v>
      </c>
      <c r="J457" s="23">
        <f t="shared" ca="1" si="70"/>
        <v>628</v>
      </c>
      <c r="K457" s="23">
        <f t="shared" ca="1" si="71"/>
        <v>1001</v>
      </c>
      <c r="L457" s="23">
        <f t="shared" ca="1" si="64"/>
        <v>62335</v>
      </c>
    </row>
    <row r="458" spans="3:12">
      <c r="C458" s="23">
        <f t="shared" si="62"/>
        <v>420</v>
      </c>
      <c r="D458" s="23">
        <f t="shared" si="63"/>
        <v>168</v>
      </c>
      <c r="E458" s="23">
        <f t="shared" si="65"/>
        <v>252</v>
      </c>
      <c r="F458" s="23">
        <f t="shared" si="66"/>
        <v>700</v>
      </c>
      <c r="G458" s="23">
        <f t="shared" ca="1" si="67"/>
        <v>226</v>
      </c>
      <c r="H458" s="23">
        <f t="shared" ca="1" si="68"/>
        <v>698</v>
      </c>
      <c r="I458" s="23">
        <f t="shared" ca="1" si="69"/>
        <v>394</v>
      </c>
      <c r="J458" s="23">
        <f t="shared" ca="1" si="70"/>
        <v>698</v>
      </c>
      <c r="K458" s="23">
        <f t="shared" ca="1" si="71"/>
        <v>1092</v>
      </c>
      <c r="L458" s="23">
        <f t="shared" ca="1" si="64"/>
        <v>74620</v>
      </c>
    </row>
    <row r="459" spans="3:12">
      <c r="C459" s="23">
        <f t="shared" si="62"/>
        <v>420</v>
      </c>
      <c r="D459" s="23">
        <f t="shared" si="63"/>
        <v>168</v>
      </c>
      <c r="E459" s="23">
        <f t="shared" si="65"/>
        <v>252</v>
      </c>
      <c r="F459" s="23">
        <f t="shared" si="66"/>
        <v>700</v>
      </c>
      <c r="G459" s="23">
        <f t="shared" ca="1" si="67"/>
        <v>208</v>
      </c>
      <c r="H459" s="23">
        <f t="shared" ca="1" si="68"/>
        <v>728</v>
      </c>
      <c r="I459" s="23">
        <f t="shared" ca="1" si="69"/>
        <v>376</v>
      </c>
      <c r="J459" s="23">
        <f t="shared" ca="1" si="70"/>
        <v>728</v>
      </c>
      <c r="K459" s="23">
        <f t="shared" ca="1" si="71"/>
        <v>1104</v>
      </c>
      <c r="L459" s="23">
        <f t="shared" ca="1" si="64"/>
        <v>76240</v>
      </c>
    </row>
    <row r="460" spans="3:12">
      <c r="C460" s="23">
        <f t="shared" ref="C460:C523" si="72">$B$4</f>
        <v>420</v>
      </c>
      <c r="D460" s="23">
        <f t="shared" ref="D460:D523" si="73">$B$5</f>
        <v>168</v>
      </c>
      <c r="E460" s="23">
        <f t="shared" si="65"/>
        <v>252</v>
      </c>
      <c r="F460" s="23">
        <f t="shared" si="66"/>
        <v>700</v>
      </c>
      <c r="G460" s="23">
        <f t="shared" ca="1" si="67"/>
        <v>243</v>
      </c>
      <c r="H460" s="23">
        <f t="shared" ca="1" si="68"/>
        <v>677</v>
      </c>
      <c r="I460" s="23">
        <f t="shared" ca="1" si="69"/>
        <v>411</v>
      </c>
      <c r="J460" s="23">
        <f t="shared" ca="1" si="70"/>
        <v>677</v>
      </c>
      <c r="K460" s="23">
        <f t="shared" ca="1" si="71"/>
        <v>1088</v>
      </c>
      <c r="L460" s="23">
        <f t="shared" ref="L460:L523" ca="1" si="74">K460*$B$2-(F460+C460)*$B$1</f>
        <v>74080</v>
      </c>
    </row>
    <row r="461" spans="3:12">
      <c r="C461" s="23">
        <f t="shared" si="72"/>
        <v>420</v>
      </c>
      <c r="D461" s="23">
        <f t="shared" si="73"/>
        <v>168</v>
      </c>
      <c r="E461" s="23">
        <f t="shared" ref="E461:E524" si="75">MAX(0,C461-D461)</f>
        <v>252</v>
      </c>
      <c r="F461" s="23">
        <f t="shared" ref="F461:F524" si="76">$E$8</f>
        <v>700</v>
      </c>
      <c r="G461" s="23">
        <f t="shared" ref="G461:G524" ca="1" si="77">_xlfn.FLOOR.MATH(MAX(0,_xlfn.NORM.INV(RAND(),$B$6*$B$8,$B$3*($B$8+0.0001))))</f>
        <v>223</v>
      </c>
      <c r="H461" s="23">
        <f t="shared" ref="H461:H524" ca="1" si="78">_xlfn.FLOOR.MATH(MAX(0,_xlfn.NORM.INV(RAND(),$B$6*(1-$B$8),$B$3*(1.00001-$B$8))))</f>
        <v>639</v>
      </c>
      <c r="I461" s="23">
        <f t="shared" ref="I461:I524" ca="1" si="79">MIN(C461,D461+G461)</f>
        <v>391</v>
      </c>
      <c r="J461" s="23">
        <f t="shared" ref="J461:J524" ca="1" si="80">MIN(C461-I461+F461,H461)</f>
        <v>639</v>
      </c>
      <c r="K461" s="23">
        <f t="shared" ref="K461:K524" ca="1" si="81">I461+J461</f>
        <v>1030</v>
      </c>
      <c r="L461" s="23">
        <f t="shared" ca="1" si="74"/>
        <v>66250</v>
      </c>
    </row>
    <row r="462" spans="3:12">
      <c r="C462" s="23">
        <f t="shared" si="72"/>
        <v>420</v>
      </c>
      <c r="D462" s="23">
        <f t="shared" si="73"/>
        <v>168</v>
      </c>
      <c r="E462" s="23">
        <f t="shared" si="75"/>
        <v>252</v>
      </c>
      <c r="F462" s="23">
        <f t="shared" si="76"/>
        <v>700</v>
      </c>
      <c r="G462" s="23">
        <f t="shared" ca="1" si="77"/>
        <v>194</v>
      </c>
      <c r="H462" s="23">
        <f t="shared" ca="1" si="78"/>
        <v>586</v>
      </c>
      <c r="I462" s="23">
        <f t="shared" ca="1" si="79"/>
        <v>362</v>
      </c>
      <c r="J462" s="23">
        <f t="shared" ca="1" si="80"/>
        <v>586</v>
      </c>
      <c r="K462" s="23">
        <f t="shared" ca="1" si="81"/>
        <v>948</v>
      </c>
      <c r="L462" s="23">
        <f t="shared" ca="1" si="74"/>
        <v>55180</v>
      </c>
    </row>
    <row r="463" spans="3:12">
      <c r="C463" s="23">
        <f t="shared" si="72"/>
        <v>420</v>
      </c>
      <c r="D463" s="23">
        <f t="shared" si="73"/>
        <v>168</v>
      </c>
      <c r="E463" s="23">
        <f t="shared" si="75"/>
        <v>252</v>
      </c>
      <c r="F463" s="23">
        <f t="shared" si="76"/>
        <v>700</v>
      </c>
      <c r="G463" s="23">
        <f t="shared" ca="1" si="77"/>
        <v>197</v>
      </c>
      <c r="H463" s="23">
        <f t="shared" ca="1" si="78"/>
        <v>660</v>
      </c>
      <c r="I463" s="23">
        <f t="shared" ca="1" si="79"/>
        <v>365</v>
      </c>
      <c r="J463" s="23">
        <f t="shared" ca="1" si="80"/>
        <v>660</v>
      </c>
      <c r="K463" s="23">
        <f t="shared" ca="1" si="81"/>
        <v>1025</v>
      </c>
      <c r="L463" s="23">
        <f t="shared" ca="1" si="74"/>
        <v>65575</v>
      </c>
    </row>
    <row r="464" spans="3:12">
      <c r="C464" s="23">
        <f t="shared" si="72"/>
        <v>420</v>
      </c>
      <c r="D464" s="23">
        <f t="shared" si="73"/>
        <v>168</v>
      </c>
      <c r="E464" s="23">
        <f t="shared" si="75"/>
        <v>252</v>
      </c>
      <c r="F464" s="23">
        <f t="shared" si="76"/>
        <v>700</v>
      </c>
      <c r="G464" s="23">
        <f t="shared" ca="1" si="77"/>
        <v>222</v>
      </c>
      <c r="H464" s="23">
        <f t="shared" ca="1" si="78"/>
        <v>589</v>
      </c>
      <c r="I464" s="23">
        <f t="shared" ca="1" si="79"/>
        <v>390</v>
      </c>
      <c r="J464" s="23">
        <f t="shared" ca="1" si="80"/>
        <v>589</v>
      </c>
      <c r="K464" s="23">
        <f t="shared" ca="1" si="81"/>
        <v>979</v>
      </c>
      <c r="L464" s="23">
        <f t="shared" ca="1" si="74"/>
        <v>59365</v>
      </c>
    </row>
    <row r="465" spans="3:12">
      <c r="C465" s="23">
        <f t="shared" si="72"/>
        <v>420</v>
      </c>
      <c r="D465" s="23">
        <f t="shared" si="73"/>
        <v>168</v>
      </c>
      <c r="E465" s="23">
        <f t="shared" si="75"/>
        <v>252</v>
      </c>
      <c r="F465" s="23">
        <f t="shared" si="76"/>
        <v>700</v>
      </c>
      <c r="G465" s="23">
        <f t="shared" ca="1" si="77"/>
        <v>182</v>
      </c>
      <c r="H465" s="23">
        <f t="shared" ca="1" si="78"/>
        <v>573</v>
      </c>
      <c r="I465" s="23">
        <f t="shared" ca="1" si="79"/>
        <v>350</v>
      </c>
      <c r="J465" s="23">
        <f t="shared" ca="1" si="80"/>
        <v>573</v>
      </c>
      <c r="K465" s="23">
        <f t="shared" ca="1" si="81"/>
        <v>923</v>
      </c>
      <c r="L465" s="23">
        <f t="shared" ca="1" si="74"/>
        <v>51805</v>
      </c>
    </row>
    <row r="466" spans="3:12">
      <c r="C466" s="23">
        <f t="shared" si="72"/>
        <v>420</v>
      </c>
      <c r="D466" s="23">
        <f t="shared" si="73"/>
        <v>168</v>
      </c>
      <c r="E466" s="23">
        <f t="shared" si="75"/>
        <v>252</v>
      </c>
      <c r="F466" s="23">
        <f t="shared" si="76"/>
        <v>700</v>
      </c>
      <c r="G466" s="23">
        <f t="shared" ca="1" si="77"/>
        <v>220</v>
      </c>
      <c r="H466" s="23">
        <f t="shared" ca="1" si="78"/>
        <v>561</v>
      </c>
      <c r="I466" s="23">
        <f t="shared" ca="1" si="79"/>
        <v>388</v>
      </c>
      <c r="J466" s="23">
        <f t="shared" ca="1" si="80"/>
        <v>561</v>
      </c>
      <c r="K466" s="23">
        <f t="shared" ca="1" si="81"/>
        <v>949</v>
      </c>
      <c r="L466" s="23">
        <f t="shared" ca="1" si="74"/>
        <v>55315</v>
      </c>
    </row>
    <row r="467" spans="3:12">
      <c r="C467" s="23">
        <f t="shared" si="72"/>
        <v>420</v>
      </c>
      <c r="D467" s="23">
        <f t="shared" si="73"/>
        <v>168</v>
      </c>
      <c r="E467" s="23">
        <f t="shared" si="75"/>
        <v>252</v>
      </c>
      <c r="F467" s="23">
        <f t="shared" si="76"/>
        <v>700</v>
      </c>
      <c r="G467" s="23">
        <f t="shared" ca="1" si="77"/>
        <v>172</v>
      </c>
      <c r="H467" s="23">
        <f t="shared" ca="1" si="78"/>
        <v>561</v>
      </c>
      <c r="I467" s="23">
        <f t="shared" ca="1" si="79"/>
        <v>340</v>
      </c>
      <c r="J467" s="23">
        <f t="shared" ca="1" si="80"/>
        <v>561</v>
      </c>
      <c r="K467" s="23">
        <f t="shared" ca="1" si="81"/>
        <v>901</v>
      </c>
      <c r="L467" s="23">
        <f t="shared" ca="1" si="74"/>
        <v>48835</v>
      </c>
    </row>
    <row r="468" spans="3:12">
      <c r="C468" s="23">
        <f t="shared" si="72"/>
        <v>420</v>
      </c>
      <c r="D468" s="23">
        <f t="shared" si="73"/>
        <v>168</v>
      </c>
      <c r="E468" s="23">
        <f t="shared" si="75"/>
        <v>252</v>
      </c>
      <c r="F468" s="23">
        <f t="shared" si="76"/>
        <v>700</v>
      </c>
      <c r="G468" s="23">
        <f t="shared" ca="1" si="77"/>
        <v>227</v>
      </c>
      <c r="H468" s="23">
        <f t="shared" ca="1" si="78"/>
        <v>650</v>
      </c>
      <c r="I468" s="23">
        <f t="shared" ca="1" si="79"/>
        <v>395</v>
      </c>
      <c r="J468" s="23">
        <f t="shared" ca="1" si="80"/>
        <v>650</v>
      </c>
      <c r="K468" s="23">
        <f t="shared" ca="1" si="81"/>
        <v>1045</v>
      </c>
      <c r="L468" s="23">
        <f t="shared" ca="1" si="74"/>
        <v>68275</v>
      </c>
    </row>
    <row r="469" spans="3:12">
      <c r="C469" s="23">
        <f t="shared" si="72"/>
        <v>420</v>
      </c>
      <c r="D469" s="23">
        <f t="shared" si="73"/>
        <v>168</v>
      </c>
      <c r="E469" s="23">
        <f t="shared" si="75"/>
        <v>252</v>
      </c>
      <c r="F469" s="23">
        <f t="shared" si="76"/>
        <v>700</v>
      </c>
      <c r="G469" s="23">
        <f t="shared" ca="1" si="77"/>
        <v>248</v>
      </c>
      <c r="H469" s="23">
        <f t="shared" ca="1" si="78"/>
        <v>593</v>
      </c>
      <c r="I469" s="23">
        <f t="shared" ca="1" si="79"/>
        <v>416</v>
      </c>
      <c r="J469" s="23">
        <f t="shared" ca="1" si="80"/>
        <v>593</v>
      </c>
      <c r="K469" s="23">
        <f t="shared" ca="1" si="81"/>
        <v>1009</v>
      </c>
      <c r="L469" s="23">
        <f t="shared" ca="1" si="74"/>
        <v>63415</v>
      </c>
    </row>
    <row r="470" spans="3:12">
      <c r="C470" s="23">
        <f t="shared" si="72"/>
        <v>420</v>
      </c>
      <c r="D470" s="23">
        <f t="shared" si="73"/>
        <v>168</v>
      </c>
      <c r="E470" s="23">
        <f t="shared" si="75"/>
        <v>252</v>
      </c>
      <c r="F470" s="23">
        <f t="shared" si="76"/>
        <v>700</v>
      </c>
      <c r="G470" s="23">
        <f t="shared" ca="1" si="77"/>
        <v>228</v>
      </c>
      <c r="H470" s="23">
        <f t="shared" ca="1" si="78"/>
        <v>715</v>
      </c>
      <c r="I470" s="23">
        <f t="shared" ca="1" si="79"/>
        <v>396</v>
      </c>
      <c r="J470" s="23">
        <f t="shared" ca="1" si="80"/>
        <v>715</v>
      </c>
      <c r="K470" s="23">
        <f t="shared" ca="1" si="81"/>
        <v>1111</v>
      </c>
      <c r="L470" s="23">
        <f t="shared" ca="1" si="74"/>
        <v>77185</v>
      </c>
    </row>
    <row r="471" spans="3:12">
      <c r="C471" s="23">
        <f t="shared" si="72"/>
        <v>420</v>
      </c>
      <c r="D471" s="23">
        <f t="shared" si="73"/>
        <v>168</v>
      </c>
      <c r="E471" s="23">
        <f t="shared" si="75"/>
        <v>252</v>
      </c>
      <c r="F471" s="23">
        <f t="shared" si="76"/>
        <v>700</v>
      </c>
      <c r="G471" s="23">
        <f t="shared" ca="1" si="77"/>
        <v>196</v>
      </c>
      <c r="H471" s="23">
        <f t="shared" ca="1" si="78"/>
        <v>471</v>
      </c>
      <c r="I471" s="23">
        <f t="shared" ca="1" si="79"/>
        <v>364</v>
      </c>
      <c r="J471" s="23">
        <f t="shared" ca="1" si="80"/>
        <v>471</v>
      </c>
      <c r="K471" s="23">
        <f t="shared" ca="1" si="81"/>
        <v>835</v>
      </c>
      <c r="L471" s="23">
        <f t="shared" ca="1" si="74"/>
        <v>39925</v>
      </c>
    </row>
    <row r="472" spans="3:12">
      <c r="C472" s="23">
        <f t="shared" si="72"/>
        <v>420</v>
      </c>
      <c r="D472" s="23">
        <f t="shared" si="73"/>
        <v>168</v>
      </c>
      <c r="E472" s="23">
        <f t="shared" si="75"/>
        <v>252</v>
      </c>
      <c r="F472" s="23">
        <f t="shared" si="76"/>
        <v>700</v>
      </c>
      <c r="G472" s="23">
        <f t="shared" ca="1" si="77"/>
        <v>249</v>
      </c>
      <c r="H472" s="23">
        <f t="shared" ca="1" si="78"/>
        <v>562</v>
      </c>
      <c r="I472" s="23">
        <f t="shared" ca="1" si="79"/>
        <v>417</v>
      </c>
      <c r="J472" s="23">
        <f t="shared" ca="1" si="80"/>
        <v>562</v>
      </c>
      <c r="K472" s="23">
        <f t="shared" ca="1" si="81"/>
        <v>979</v>
      </c>
      <c r="L472" s="23">
        <f t="shared" ca="1" si="74"/>
        <v>59365</v>
      </c>
    </row>
    <row r="473" spans="3:12">
      <c r="C473" s="23">
        <f t="shared" si="72"/>
        <v>420</v>
      </c>
      <c r="D473" s="23">
        <f t="shared" si="73"/>
        <v>168</v>
      </c>
      <c r="E473" s="23">
        <f t="shared" si="75"/>
        <v>252</v>
      </c>
      <c r="F473" s="23">
        <f t="shared" si="76"/>
        <v>700</v>
      </c>
      <c r="G473" s="23">
        <f t="shared" ca="1" si="77"/>
        <v>212</v>
      </c>
      <c r="H473" s="23">
        <f t="shared" ca="1" si="78"/>
        <v>670</v>
      </c>
      <c r="I473" s="23">
        <f t="shared" ca="1" si="79"/>
        <v>380</v>
      </c>
      <c r="J473" s="23">
        <f t="shared" ca="1" si="80"/>
        <v>670</v>
      </c>
      <c r="K473" s="23">
        <f t="shared" ca="1" si="81"/>
        <v>1050</v>
      </c>
      <c r="L473" s="23">
        <f t="shared" ca="1" si="74"/>
        <v>68950</v>
      </c>
    </row>
    <row r="474" spans="3:12">
      <c r="C474" s="23">
        <f t="shared" si="72"/>
        <v>420</v>
      </c>
      <c r="D474" s="23">
        <f t="shared" si="73"/>
        <v>168</v>
      </c>
      <c r="E474" s="23">
        <f t="shared" si="75"/>
        <v>252</v>
      </c>
      <c r="F474" s="23">
        <f t="shared" si="76"/>
        <v>700</v>
      </c>
      <c r="G474" s="23">
        <f t="shared" ca="1" si="77"/>
        <v>234</v>
      </c>
      <c r="H474" s="23">
        <f t="shared" ca="1" si="78"/>
        <v>672</v>
      </c>
      <c r="I474" s="23">
        <f t="shared" ca="1" si="79"/>
        <v>402</v>
      </c>
      <c r="J474" s="23">
        <f t="shared" ca="1" si="80"/>
        <v>672</v>
      </c>
      <c r="K474" s="23">
        <f t="shared" ca="1" si="81"/>
        <v>1074</v>
      </c>
      <c r="L474" s="23">
        <f t="shared" ca="1" si="74"/>
        <v>72190</v>
      </c>
    </row>
    <row r="475" spans="3:12">
      <c r="C475" s="23">
        <f t="shared" si="72"/>
        <v>420</v>
      </c>
      <c r="D475" s="23">
        <f t="shared" si="73"/>
        <v>168</v>
      </c>
      <c r="E475" s="23">
        <f t="shared" si="75"/>
        <v>252</v>
      </c>
      <c r="F475" s="23">
        <f t="shared" si="76"/>
        <v>700</v>
      </c>
      <c r="G475" s="23">
        <f t="shared" ca="1" si="77"/>
        <v>196</v>
      </c>
      <c r="H475" s="23">
        <f t="shared" ca="1" si="78"/>
        <v>657</v>
      </c>
      <c r="I475" s="23">
        <f t="shared" ca="1" si="79"/>
        <v>364</v>
      </c>
      <c r="J475" s="23">
        <f t="shared" ca="1" si="80"/>
        <v>657</v>
      </c>
      <c r="K475" s="23">
        <f t="shared" ca="1" si="81"/>
        <v>1021</v>
      </c>
      <c r="L475" s="23">
        <f t="shared" ca="1" si="74"/>
        <v>65035</v>
      </c>
    </row>
    <row r="476" spans="3:12">
      <c r="C476" s="23">
        <f t="shared" si="72"/>
        <v>420</v>
      </c>
      <c r="D476" s="23">
        <f t="shared" si="73"/>
        <v>168</v>
      </c>
      <c r="E476" s="23">
        <f t="shared" si="75"/>
        <v>252</v>
      </c>
      <c r="F476" s="23">
        <f t="shared" si="76"/>
        <v>700</v>
      </c>
      <c r="G476" s="23">
        <f t="shared" ca="1" si="77"/>
        <v>199</v>
      </c>
      <c r="H476" s="23">
        <f t="shared" ca="1" si="78"/>
        <v>566</v>
      </c>
      <c r="I476" s="23">
        <f t="shared" ca="1" si="79"/>
        <v>367</v>
      </c>
      <c r="J476" s="23">
        <f t="shared" ca="1" si="80"/>
        <v>566</v>
      </c>
      <c r="K476" s="23">
        <f t="shared" ca="1" si="81"/>
        <v>933</v>
      </c>
      <c r="L476" s="23">
        <f t="shared" ca="1" si="74"/>
        <v>53155</v>
      </c>
    </row>
    <row r="477" spans="3:12">
      <c r="C477" s="23">
        <f t="shared" si="72"/>
        <v>420</v>
      </c>
      <c r="D477" s="23">
        <f t="shared" si="73"/>
        <v>168</v>
      </c>
      <c r="E477" s="23">
        <f t="shared" si="75"/>
        <v>252</v>
      </c>
      <c r="F477" s="23">
        <f t="shared" si="76"/>
        <v>700</v>
      </c>
      <c r="G477" s="23">
        <f t="shared" ca="1" si="77"/>
        <v>202</v>
      </c>
      <c r="H477" s="23">
        <f t="shared" ca="1" si="78"/>
        <v>593</v>
      </c>
      <c r="I477" s="23">
        <f t="shared" ca="1" si="79"/>
        <v>370</v>
      </c>
      <c r="J477" s="23">
        <f t="shared" ca="1" si="80"/>
        <v>593</v>
      </c>
      <c r="K477" s="23">
        <f t="shared" ca="1" si="81"/>
        <v>963</v>
      </c>
      <c r="L477" s="23">
        <f t="shared" ca="1" si="74"/>
        <v>57205</v>
      </c>
    </row>
    <row r="478" spans="3:12">
      <c r="C478" s="23">
        <f t="shared" si="72"/>
        <v>420</v>
      </c>
      <c r="D478" s="23">
        <f t="shared" si="73"/>
        <v>168</v>
      </c>
      <c r="E478" s="23">
        <f t="shared" si="75"/>
        <v>252</v>
      </c>
      <c r="F478" s="23">
        <f t="shared" si="76"/>
        <v>700</v>
      </c>
      <c r="G478" s="23">
        <f t="shared" ca="1" si="77"/>
        <v>205</v>
      </c>
      <c r="H478" s="23">
        <f t="shared" ca="1" si="78"/>
        <v>704</v>
      </c>
      <c r="I478" s="23">
        <f t="shared" ca="1" si="79"/>
        <v>373</v>
      </c>
      <c r="J478" s="23">
        <f t="shared" ca="1" si="80"/>
        <v>704</v>
      </c>
      <c r="K478" s="23">
        <f t="shared" ca="1" si="81"/>
        <v>1077</v>
      </c>
      <c r="L478" s="23">
        <f t="shared" ca="1" si="74"/>
        <v>72595</v>
      </c>
    </row>
    <row r="479" spans="3:12">
      <c r="C479" s="23">
        <f t="shared" si="72"/>
        <v>420</v>
      </c>
      <c r="D479" s="23">
        <f t="shared" si="73"/>
        <v>168</v>
      </c>
      <c r="E479" s="23">
        <f t="shared" si="75"/>
        <v>252</v>
      </c>
      <c r="F479" s="23">
        <f t="shared" si="76"/>
        <v>700</v>
      </c>
      <c r="G479" s="23">
        <f t="shared" ca="1" si="77"/>
        <v>243</v>
      </c>
      <c r="H479" s="23">
        <f t="shared" ca="1" si="78"/>
        <v>697</v>
      </c>
      <c r="I479" s="23">
        <f t="shared" ca="1" si="79"/>
        <v>411</v>
      </c>
      <c r="J479" s="23">
        <f t="shared" ca="1" si="80"/>
        <v>697</v>
      </c>
      <c r="K479" s="23">
        <f t="shared" ca="1" si="81"/>
        <v>1108</v>
      </c>
      <c r="L479" s="23">
        <f t="shared" ca="1" si="74"/>
        <v>76780</v>
      </c>
    </row>
    <row r="480" spans="3:12">
      <c r="C480" s="23">
        <f t="shared" si="72"/>
        <v>420</v>
      </c>
      <c r="D480" s="23">
        <f t="shared" si="73"/>
        <v>168</v>
      </c>
      <c r="E480" s="23">
        <f t="shared" si="75"/>
        <v>252</v>
      </c>
      <c r="F480" s="23">
        <f t="shared" si="76"/>
        <v>700</v>
      </c>
      <c r="G480" s="23">
        <f t="shared" ca="1" si="77"/>
        <v>183</v>
      </c>
      <c r="H480" s="23">
        <f t="shared" ca="1" si="78"/>
        <v>652</v>
      </c>
      <c r="I480" s="23">
        <f t="shared" ca="1" si="79"/>
        <v>351</v>
      </c>
      <c r="J480" s="23">
        <f t="shared" ca="1" si="80"/>
        <v>652</v>
      </c>
      <c r="K480" s="23">
        <f t="shared" ca="1" si="81"/>
        <v>1003</v>
      </c>
      <c r="L480" s="23">
        <f t="shared" ca="1" si="74"/>
        <v>62605</v>
      </c>
    </row>
    <row r="481" spans="3:12">
      <c r="C481" s="23">
        <f t="shared" si="72"/>
        <v>420</v>
      </c>
      <c r="D481" s="23">
        <f t="shared" si="73"/>
        <v>168</v>
      </c>
      <c r="E481" s="23">
        <f t="shared" si="75"/>
        <v>252</v>
      </c>
      <c r="F481" s="23">
        <f t="shared" si="76"/>
        <v>700</v>
      </c>
      <c r="G481" s="23">
        <f t="shared" ca="1" si="77"/>
        <v>188</v>
      </c>
      <c r="H481" s="23">
        <f t="shared" ca="1" si="78"/>
        <v>652</v>
      </c>
      <c r="I481" s="23">
        <f t="shared" ca="1" si="79"/>
        <v>356</v>
      </c>
      <c r="J481" s="23">
        <f t="shared" ca="1" si="80"/>
        <v>652</v>
      </c>
      <c r="K481" s="23">
        <f t="shared" ca="1" si="81"/>
        <v>1008</v>
      </c>
      <c r="L481" s="23">
        <f t="shared" ca="1" si="74"/>
        <v>63280</v>
      </c>
    </row>
    <row r="482" spans="3:12">
      <c r="C482" s="23">
        <f t="shared" si="72"/>
        <v>420</v>
      </c>
      <c r="D482" s="23">
        <f t="shared" si="73"/>
        <v>168</v>
      </c>
      <c r="E482" s="23">
        <f t="shared" si="75"/>
        <v>252</v>
      </c>
      <c r="F482" s="23">
        <f t="shared" si="76"/>
        <v>700</v>
      </c>
      <c r="G482" s="23">
        <f t="shared" ca="1" si="77"/>
        <v>234</v>
      </c>
      <c r="H482" s="23">
        <f t="shared" ca="1" si="78"/>
        <v>574</v>
      </c>
      <c r="I482" s="23">
        <f t="shared" ca="1" si="79"/>
        <v>402</v>
      </c>
      <c r="J482" s="23">
        <f t="shared" ca="1" si="80"/>
        <v>574</v>
      </c>
      <c r="K482" s="23">
        <f t="shared" ca="1" si="81"/>
        <v>976</v>
      </c>
      <c r="L482" s="23">
        <f t="shared" ca="1" si="74"/>
        <v>58960</v>
      </c>
    </row>
    <row r="483" spans="3:12">
      <c r="C483" s="23">
        <f t="shared" si="72"/>
        <v>420</v>
      </c>
      <c r="D483" s="23">
        <f t="shared" si="73"/>
        <v>168</v>
      </c>
      <c r="E483" s="23">
        <f t="shared" si="75"/>
        <v>252</v>
      </c>
      <c r="F483" s="23">
        <f t="shared" si="76"/>
        <v>700</v>
      </c>
      <c r="G483" s="23">
        <f t="shared" ca="1" si="77"/>
        <v>183</v>
      </c>
      <c r="H483" s="23">
        <f t="shared" ca="1" si="78"/>
        <v>580</v>
      </c>
      <c r="I483" s="23">
        <f t="shared" ca="1" si="79"/>
        <v>351</v>
      </c>
      <c r="J483" s="23">
        <f t="shared" ca="1" si="80"/>
        <v>580</v>
      </c>
      <c r="K483" s="23">
        <f t="shared" ca="1" si="81"/>
        <v>931</v>
      </c>
      <c r="L483" s="23">
        <f t="shared" ca="1" si="74"/>
        <v>52885</v>
      </c>
    </row>
    <row r="484" spans="3:12">
      <c r="C484" s="23">
        <f t="shared" si="72"/>
        <v>420</v>
      </c>
      <c r="D484" s="23">
        <f t="shared" si="73"/>
        <v>168</v>
      </c>
      <c r="E484" s="23">
        <f t="shared" si="75"/>
        <v>252</v>
      </c>
      <c r="F484" s="23">
        <f t="shared" si="76"/>
        <v>700</v>
      </c>
      <c r="G484" s="23">
        <f t="shared" ca="1" si="77"/>
        <v>181</v>
      </c>
      <c r="H484" s="23">
        <f t="shared" ca="1" si="78"/>
        <v>525</v>
      </c>
      <c r="I484" s="23">
        <f t="shared" ca="1" si="79"/>
        <v>349</v>
      </c>
      <c r="J484" s="23">
        <f t="shared" ca="1" si="80"/>
        <v>525</v>
      </c>
      <c r="K484" s="23">
        <f t="shared" ca="1" si="81"/>
        <v>874</v>
      </c>
      <c r="L484" s="23">
        <f t="shared" ca="1" si="74"/>
        <v>45190</v>
      </c>
    </row>
    <row r="485" spans="3:12">
      <c r="C485" s="23">
        <f t="shared" si="72"/>
        <v>420</v>
      </c>
      <c r="D485" s="23">
        <f t="shared" si="73"/>
        <v>168</v>
      </c>
      <c r="E485" s="23">
        <f t="shared" si="75"/>
        <v>252</v>
      </c>
      <c r="F485" s="23">
        <f t="shared" si="76"/>
        <v>700</v>
      </c>
      <c r="G485" s="23">
        <f t="shared" ca="1" si="77"/>
        <v>216</v>
      </c>
      <c r="H485" s="23">
        <f t="shared" ca="1" si="78"/>
        <v>608</v>
      </c>
      <c r="I485" s="23">
        <f t="shared" ca="1" si="79"/>
        <v>384</v>
      </c>
      <c r="J485" s="23">
        <f t="shared" ca="1" si="80"/>
        <v>608</v>
      </c>
      <c r="K485" s="23">
        <f t="shared" ca="1" si="81"/>
        <v>992</v>
      </c>
      <c r="L485" s="23">
        <f t="shared" ca="1" si="74"/>
        <v>61120</v>
      </c>
    </row>
    <row r="486" spans="3:12">
      <c r="C486" s="23">
        <f t="shared" si="72"/>
        <v>420</v>
      </c>
      <c r="D486" s="23">
        <f t="shared" si="73"/>
        <v>168</v>
      </c>
      <c r="E486" s="23">
        <f t="shared" si="75"/>
        <v>252</v>
      </c>
      <c r="F486" s="23">
        <f t="shared" si="76"/>
        <v>700</v>
      </c>
      <c r="G486" s="23">
        <f t="shared" ca="1" si="77"/>
        <v>205</v>
      </c>
      <c r="H486" s="23">
        <f t="shared" ca="1" si="78"/>
        <v>643</v>
      </c>
      <c r="I486" s="23">
        <f t="shared" ca="1" si="79"/>
        <v>373</v>
      </c>
      <c r="J486" s="23">
        <f t="shared" ca="1" si="80"/>
        <v>643</v>
      </c>
      <c r="K486" s="23">
        <f t="shared" ca="1" si="81"/>
        <v>1016</v>
      </c>
      <c r="L486" s="23">
        <f t="shared" ca="1" si="74"/>
        <v>64360</v>
      </c>
    </row>
    <row r="487" spans="3:12">
      <c r="C487" s="23">
        <f t="shared" si="72"/>
        <v>420</v>
      </c>
      <c r="D487" s="23">
        <f t="shared" si="73"/>
        <v>168</v>
      </c>
      <c r="E487" s="23">
        <f t="shared" si="75"/>
        <v>252</v>
      </c>
      <c r="F487" s="23">
        <f t="shared" si="76"/>
        <v>700</v>
      </c>
      <c r="G487" s="23">
        <f t="shared" ca="1" si="77"/>
        <v>220</v>
      </c>
      <c r="H487" s="23">
        <f t="shared" ca="1" si="78"/>
        <v>749</v>
      </c>
      <c r="I487" s="23">
        <f t="shared" ca="1" si="79"/>
        <v>388</v>
      </c>
      <c r="J487" s="23">
        <f t="shared" ca="1" si="80"/>
        <v>732</v>
      </c>
      <c r="K487" s="23">
        <f t="shared" ca="1" si="81"/>
        <v>1120</v>
      </c>
      <c r="L487" s="23">
        <f t="shared" ca="1" si="74"/>
        <v>78400</v>
      </c>
    </row>
    <row r="488" spans="3:12">
      <c r="C488" s="23">
        <f t="shared" si="72"/>
        <v>420</v>
      </c>
      <c r="D488" s="23">
        <f t="shared" si="73"/>
        <v>168</v>
      </c>
      <c r="E488" s="23">
        <f t="shared" si="75"/>
        <v>252</v>
      </c>
      <c r="F488" s="23">
        <f t="shared" si="76"/>
        <v>700</v>
      </c>
      <c r="G488" s="23">
        <f t="shared" ca="1" si="77"/>
        <v>218</v>
      </c>
      <c r="H488" s="23">
        <f t="shared" ca="1" si="78"/>
        <v>759</v>
      </c>
      <c r="I488" s="23">
        <f t="shared" ca="1" si="79"/>
        <v>386</v>
      </c>
      <c r="J488" s="23">
        <f t="shared" ca="1" si="80"/>
        <v>734</v>
      </c>
      <c r="K488" s="23">
        <f t="shared" ca="1" si="81"/>
        <v>1120</v>
      </c>
      <c r="L488" s="23">
        <f t="shared" ca="1" si="74"/>
        <v>78400</v>
      </c>
    </row>
    <row r="489" spans="3:12">
      <c r="C489" s="23">
        <f t="shared" si="72"/>
        <v>420</v>
      </c>
      <c r="D489" s="23">
        <f t="shared" si="73"/>
        <v>168</v>
      </c>
      <c r="E489" s="23">
        <f t="shared" si="75"/>
        <v>252</v>
      </c>
      <c r="F489" s="23">
        <f t="shared" si="76"/>
        <v>700</v>
      </c>
      <c r="G489" s="23">
        <f t="shared" ca="1" si="77"/>
        <v>190</v>
      </c>
      <c r="H489" s="23">
        <f t="shared" ca="1" si="78"/>
        <v>710</v>
      </c>
      <c r="I489" s="23">
        <f t="shared" ca="1" si="79"/>
        <v>358</v>
      </c>
      <c r="J489" s="23">
        <f t="shared" ca="1" si="80"/>
        <v>710</v>
      </c>
      <c r="K489" s="23">
        <f t="shared" ca="1" si="81"/>
        <v>1068</v>
      </c>
      <c r="L489" s="23">
        <f t="shared" ca="1" si="74"/>
        <v>71380</v>
      </c>
    </row>
    <row r="490" spans="3:12">
      <c r="C490" s="23">
        <f t="shared" si="72"/>
        <v>420</v>
      </c>
      <c r="D490" s="23">
        <f t="shared" si="73"/>
        <v>168</v>
      </c>
      <c r="E490" s="23">
        <f t="shared" si="75"/>
        <v>252</v>
      </c>
      <c r="F490" s="23">
        <f t="shared" si="76"/>
        <v>700</v>
      </c>
      <c r="G490" s="23">
        <f t="shared" ca="1" si="77"/>
        <v>215</v>
      </c>
      <c r="H490" s="23">
        <f t="shared" ca="1" si="78"/>
        <v>573</v>
      </c>
      <c r="I490" s="23">
        <f t="shared" ca="1" si="79"/>
        <v>383</v>
      </c>
      <c r="J490" s="23">
        <f t="shared" ca="1" si="80"/>
        <v>573</v>
      </c>
      <c r="K490" s="23">
        <f t="shared" ca="1" si="81"/>
        <v>956</v>
      </c>
      <c r="L490" s="23">
        <f t="shared" ca="1" si="74"/>
        <v>56260</v>
      </c>
    </row>
    <row r="491" spans="3:12">
      <c r="C491" s="23">
        <f t="shared" si="72"/>
        <v>420</v>
      </c>
      <c r="D491" s="23">
        <f t="shared" si="73"/>
        <v>168</v>
      </c>
      <c r="E491" s="23">
        <f t="shared" si="75"/>
        <v>252</v>
      </c>
      <c r="F491" s="23">
        <f t="shared" si="76"/>
        <v>700</v>
      </c>
      <c r="G491" s="23">
        <f t="shared" ca="1" si="77"/>
        <v>229</v>
      </c>
      <c r="H491" s="23">
        <f t="shared" ca="1" si="78"/>
        <v>625</v>
      </c>
      <c r="I491" s="23">
        <f t="shared" ca="1" si="79"/>
        <v>397</v>
      </c>
      <c r="J491" s="23">
        <f t="shared" ca="1" si="80"/>
        <v>625</v>
      </c>
      <c r="K491" s="23">
        <f t="shared" ca="1" si="81"/>
        <v>1022</v>
      </c>
      <c r="L491" s="23">
        <f t="shared" ca="1" si="74"/>
        <v>65170</v>
      </c>
    </row>
    <row r="492" spans="3:12">
      <c r="C492" s="23">
        <f t="shared" si="72"/>
        <v>420</v>
      </c>
      <c r="D492" s="23">
        <f t="shared" si="73"/>
        <v>168</v>
      </c>
      <c r="E492" s="23">
        <f t="shared" si="75"/>
        <v>252</v>
      </c>
      <c r="F492" s="23">
        <f t="shared" si="76"/>
        <v>700</v>
      </c>
      <c r="G492" s="23">
        <f t="shared" ca="1" si="77"/>
        <v>235</v>
      </c>
      <c r="H492" s="23">
        <f t="shared" ca="1" si="78"/>
        <v>662</v>
      </c>
      <c r="I492" s="23">
        <f t="shared" ca="1" si="79"/>
        <v>403</v>
      </c>
      <c r="J492" s="23">
        <f t="shared" ca="1" si="80"/>
        <v>662</v>
      </c>
      <c r="K492" s="23">
        <f t="shared" ca="1" si="81"/>
        <v>1065</v>
      </c>
      <c r="L492" s="23">
        <f t="shared" ca="1" si="74"/>
        <v>70975</v>
      </c>
    </row>
    <row r="493" spans="3:12">
      <c r="C493" s="23">
        <f t="shared" si="72"/>
        <v>420</v>
      </c>
      <c r="D493" s="23">
        <f t="shared" si="73"/>
        <v>168</v>
      </c>
      <c r="E493" s="23">
        <f t="shared" si="75"/>
        <v>252</v>
      </c>
      <c r="F493" s="23">
        <f t="shared" si="76"/>
        <v>700</v>
      </c>
      <c r="G493" s="23">
        <f t="shared" ca="1" si="77"/>
        <v>227</v>
      </c>
      <c r="H493" s="23">
        <f t="shared" ca="1" si="78"/>
        <v>740</v>
      </c>
      <c r="I493" s="23">
        <f t="shared" ca="1" si="79"/>
        <v>395</v>
      </c>
      <c r="J493" s="23">
        <f t="shared" ca="1" si="80"/>
        <v>725</v>
      </c>
      <c r="K493" s="23">
        <f t="shared" ca="1" si="81"/>
        <v>1120</v>
      </c>
      <c r="L493" s="23">
        <f t="shared" ca="1" si="74"/>
        <v>78400</v>
      </c>
    </row>
    <row r="494" spans="3:12">
      <c r="C494" s="23">
        <f t="shared" si="72"/>
        <v>420</v>
      </c>
      <c r="D494" s="23">
        <f t="shared" si="73"/>
        <v>168</v>
      </c>
      <c r="E494" s="23">
        <f t="shared" si="75"/>
        <v>252</v>
      </c>
      <c r="F494" s="23">
        <f t="shared" si="76"/>
        <v>700</v>
      </c>
      <c r="G494" s="23">
        <f t="shared" ca="1" si="77"/>
        <v>217</v>
      </c>
      <c r="H494" s="23">
        <f t="shared" ca="1" si="78"/>
        <v>724</v>
      </c>
      <c r="I494" s="23">
        <f t="shared" ca="1" si="79"/>
        <v>385</v>
      </c>
      <c r="J494" s="23">
        <f t="shared" ca="1" si="80"/>
        <v>724</v>
      </c>
      <c r="K494" s="23">
        <f t="shared" ca="1" si="81"/>
        <v>1109</v>
      </c>
      <c r="L494" s="23">
        <f t="shared" ca="1" si="74"/>
        <v>76915</v>
      </c>
    </row>
    <row r="495" spans="3:12">
      <c r="C495" s="23">
        <f t="shared" si="72"/>
        <v>420</v>
      </c>
      <c r="D495" s="23">
        <f t="shared" si="73"/>
        <v>168</v>
      </c>
      <c r="E495" s="23">
        <f t="shared" si="75"/>
        <v>252</v>
      </c>
      <c r="F495" s="23">
        <f t="shared" si="76"/>
        <v>700</v>
      </c>
      <c r="G495" s="23">
        <f t="shared" ca="1" si="77"/>
        <v>200</v>
      </c>
      <c r="H495" s="23">
        <f t="shared" ca="1" si="78"/>
        <v>594</v>
      </c>
      <c r="I495" s="23">
        <f t="shared" ca="1" si="79"/>
        <v>368</v>
      </c>
      <c r="J495" s="23">
        <f t="shared" ca="1" si="80"/>
        <v>594</v>
      </c>
      <c r="K495" s="23">
        <f t="shared" ca="1" si="81"/>
        <v>962</v>
      </c>
      <c r="L495" s="23">
        <f t="shared" ca="1" si="74"/>
        <v>57070</v>
      </c>
    </row>
    <row r="496" spans="3:12">
      <c r="C496" s="23">
        <f t="shared" si="72"/>
        <v>420</v>
      </c>
      <c r="D496" s="23">
        <f t="shared" si="73"/>
        <v>168</v>
      </c>
      <c r="E496" s="23">
        <f t="shared" si="75"/>
        <v>252</v>
      </c>
      <c r="F496" s="23">
        <f t="shared" si="76"/>
        <v>700</v>
      </c>
      <c r="G496" s="23">
        <f t="shared" ca="1" si="77"/>
        <v>242</v>
      </c>
      <c r="H496" s="23">
        <f t="shared" ca="1" si="78"/>
        <v>625</v>
      </c>
      <c r="I496" s="23">
        <f t="shared" ca="1" si="79"/>
        <v>410</v>
      </c>
      <c r="J496" s="23">
        <f t="shared" ca="1" si="80"/>
        <v>625</v>
      </c>
      <c r="K496" s="23">
        <f t="shared" ca="1" si="81"/>
        <v>1035</v>
      </c>
      <c r="L496" s="23">
        <f t="shared" ca="1" si="74"/>
        <v>66925</v>
      </c>
    </row>
    <row r="497" spans="3:12">
      <c r="C497" s="23">
        <f t="shared" si="72"/>
        <v>420</v>
      </c>
      <c r="D497" s="23">
        <f t="shared" si="73"/>
        <v>168</v>
      </c>
      <c r="E497" s="23">
        <f t="shared" si="75"/>
        <v>252</v>
      </c>
      <c r="F497" s="23">
        <f t="shared" si="76"/>
        <v>700</v>
      </c>
      <c r="G497" s="23">
        <f t="shared" ca="1" si="77"/>
        <v>250</v>
      </c>
      <c r="H497" s="23">
        <f t="shared" ca="1" si="78"/>
        <v>645</v>
      </c>
      <c r="I497" s="23">
        <f t="shared" ca="1" si="79"/>
        <v>418</v>
      </c>
      <c r="J497" s="23">
        <f t="shared" ca="1" si="80"/>
        <v>645</v>
      </c>
      <c r="K497" s="23">
        <f t="shared" ca="1" si="81"/>
        <v>1063</v>
      </c>
      <c r="L497" s="23">
        <f t="shared" ca="1" si="74"/>
        <v>70705</v>
      </c>
    </row>
    <row r="498" spans="3:12">
      <c r="C498" s="23">
        <f t="shared" si="72"/>
        <v>420</v>
      </c>
      <c r="D498" s="23">
        <f t="shared" si="73"/>
        <v>168</v>
      </c>
      <c r="E498" s="23">
        <f t="shared" si="75"/>
        <v>252</v>
      </c>
      <c r="F498" s="23">
        <f t="shared" si="76"/>
        <v>700</v>
      </c>
      <c r="G498" s="23">
        <f t="shared" ca="1" si="77"/>
        <v>202</v>
      </c>
      <c r="H498" s="23">
        <f t="shared" ca="1" si="78"/>
        <v>709</v>
      </c>
      <c r="I498" s="23">
        <f t="shared" ca="1" si="79"/>
        <v>370</v>
      </c>
      <c r="J498" s="23">
        <f t="shared" ca="1" si="80"/>
        <v>709</v>
      </c>
      <c r="K498" s="23">
        <f t="shared" ca="1" si="81"/>
        <v>1079</v>
      </c>
      <c r="L498" s="23">
        <f t="shared" ca="1" si="74"/>
        <v>72865</v>
      </c>
    </row>
    <row r="499" spans="3:12">
      <c r="C499" s="23">
        <f t="shared" si="72"/>
        <v>420</v>
      </c>
      <c r="D499" s="23">
        <f t="shared" si="73"/>
        <v>168</v>
      </c>
      <c r="E499" s="23">
        <f t="shared" si="75"/>
        <v>252</v>
      </c>
      <c r="F499" s="23">
        <f t="shared" si="76"/>
        <v>700</v>
      </c>
      <c r="G499" s="23">
        <f t="shared" ca="1" si="77"/>
        <v>208</v>
      </c>
      <c r="H499" s="23">
        <f t="shared" ca="1" si="78"/>
        <v>564</v>
      </c>
      <c r="I499" s="23">
        <f t="shared" ca="1" si="79"/>
        <v>376</v>
      </c>
      <c r="J499" s="23">
        <f t="shared" ca="1" si="80"/>
        <v>564</v>
      </c>
      <c r="K499" s="23">
        <f t="shared" ca="1" si="81"/>
        <v>940</v>
      </c>
      <c r="L499" s="23">
        <f t="shared" ca="1" si="74"/>
        <v>54100</v>
      </c>
    </row>
    <row r="500" spans="3:12">
      <c r="C500" s="23">
        <f t="shared" si="72"/>
        <v>420</v>
      </c>
      <c r="D500" s="23">
        <f t="shared" si="73"/>
        <v>168</v>
      </c>
      <c r="E500" s="23">
        <f t="shared" si="75"/>
        <v>252</v>
      </c>
      <c r="F500" s="23">
        <f t="shared" si="76"/>
        <v>700</v>
      </c>
      <c r="G500" s="23">
        <f t="shared" ca="1" si="77"/>
        <v>200</v>
      </c>
      <c r="H500" s="23">
        <f t="shared" ca="1" si="78"/>
        <v>681</v>
      </c>
      <c r="I500" s="23">
        <f t="shared" ca="1" si="79"/>
        <v>368</v>
      </c>
      <c r="J500" s="23">
        <f t="shared" ca="1" si="80"/>
        <v>681</v>
      </c>
      <c r="K500" s="23">
        <f t="shared" ca="1" si="81"/>
        <v>1049</v>
      </c>
      <c r="L500" s="23">
        <f t="shared" ca="1" si="74"/>
        <v>68815</v>
      </c>
    </row>
    <row r="501" spans="3:12">
      <c r="C501" s="23">
        <f t="shared" si="72"/>
        <v>420</v>
      </c>
      <c r="D501" s="23">
        <f t="shared" si="73"/>
        <v>168</v>
      </c>
      <c r="E501" s="23">
        <f t="shared" si="75"/>
        <v>252</v>
      </c>
      <c r="F501" s="23">
        <f t="shared" si="76"/>
        <v>700</v>
      </c>
      <c r="G501" s="23">
        <f t="shared" ca="1" si="77"/>
        <v>199</v>
      </c>
      <c r="H501" s="23">
        <f t="shared" ca="1" si="78"/>
        <v>550</v>
      </c>
      <c r="I501" s="23">
        <f t="shared" ca="1" si="79"/>
        <v>367</v>
      </c>
      <c r="J501" s="23">
        <f t="shared" ca="1" si="80"/>
        <v>550</v>
      </c>
      <c r="K501" s="23">
        <f t="shared" ca="1" si="81"/>
        <v>917</v>
      </c>
      <c r="L501" s="23">
        <f t="shared" ca="1" si="74"/>
        <v>50995</v>
      </c>
    </row>
    <row r="502" spans="3:12">
      <c r="C502" s="23">
        <f t="shared" si="72"/>
        <v>420</v>
      </c>
      <c r="D502" s="23">
        <f t="shared" si="73"/>
        <v>168</v>
      </c>
      <c r="E502" s="23">
        <f t="shared" si="75"/>
        <v>252</v>
      </c>
      <c r="F502" s="23">
        <f t="shared" si="76"/>
        <v>700</v>
      </c>
      <c r="G502" s="23">
        <f t="shared" ca="1" si="77"/>
        <v>213</v>
      </c>
      <c r="H502" s="23">
        <f t="shared" ca="1" si="78"/>
        <v>665</v>
      </c>
      <c r="I502" s="23">
        <f t="shared" ca="1" si="79"/>
        <v>381</v>
      </c>
      <c r="J502" s="23">
        <f t="shared" ca="1" si="80"/>
        <v>665</v>
      </c>
      <c r="K502" s="23">
        <f t="shared" ca="1" si="81"/>
        <v>1046</v>
      </c>
      <c r="L502" s="23">
        <f t="shared" ca="1" si="74"/>
        <v>68410</v>
      </c>
    </row>
    <row r="503" spans="3:12">
      <c r="C503" s="23">
        <f t="shared" si="72"/>
        <v>420</v>
      </c>
      <c r="D503" s="23">
        <f t="shared" si="73"/>
        <v>168</v>
      </c>
      <c r="E503" s="23">
        <f t="shared" si="75"/>
        <v>252</v>
      </c>
      <c r="F503" s="23">
        <f t="shared" si="76"/>
        <v>700</v>
      </c>
      <c r="G503" s="23">
        <f t="shared" ca="1" si="77"/>
        <v>208</v>
      </c>
      <c r="H503" s="23">
        <f t="shared" ca="1" si="78"/>
        <v>651</v>
      </c>
      <c r="I503" s="23">
        <f t="shared" ca="1" si="79"/>
        <v>376</v>
      </c>
      <c r="J503" s="23">
        <f t="shared" ca="1" si="80"/>
        <v>651</v>
      </c>
      <c r="K503" s="23">
        <f t="shared" ca="1" si="81"/>
        <v>1027</v>
      </c>
      <c r="L503" s="23">
        <f t="shared" ca="1" si="74"/>
        <v>65845</v>
      </c>
    </row>
    <row r="504" spans="3:12">
      <c r="C504" s="23">
        <f t="shared" si="72"/>
        <v>420</v>
      </c>
      <c r="D504" s="23">
        <f t="shared" si="73"/>
        <v>168</v>
      </c>
      <c r="E504" s="23">
        <f t="shared" si="75"/>
        <v>252</v>
      </c>
      <c r="F504" s="23">
        <f t="shared" si="76"/>
        <v>700</v>
      </c>
      <c r="G504" s="23">
        <f t="shared" ca="1" si="77"/>
        <v>191</v>
      </c>
      <c r="H504" s="23">
        <f t="shared" ca="1" si="78"/>
        <v>668</v>
      </c>
      <c r="I504" s="23">
        <f t="shared" ca="1" si="79"/>
        <v>359</v>
      </c>
      <c r="J504" s="23">
        <f t="shared" ca="1" si="80"/>
        <v>668</v>
      </c>
      <c r="K504" s="23">
        <f t="shared" ca="1" si="81"/>
        <v>1027</v>
      </c>
      <c r="L504" s="23">
        <f t="shared" ca="1" si="74"/>
        <v>65845</v>
      </c>
    </row>
    <row r="505" spans="3:12">
      <c r="C505" s="23">
        <f t="shared" si="72"/>
        <v>420</v>
      </c>
      <c r="D505" s="23">
        <f t="shared" si="73"/>
        <v>168</v>
      </c>
      <c r="E505" s="23">
        <f t="shared" si="75"/>
        <v>252</v>
      </c>
      <c r="F505" s="23">
        <f t="shared" si="76"/>
        <v>700</v>
      </c>
      <c r="G505" s="23">
        <f t="shared" ca="1" si="77"/>
        <v>223</v>
      </c>
      <c r="H505" s="23">
        <f t="shared" ca="1" si="78"/>
        <v>642</v>
      </c>
      <c r="I505" s="23">
        <f t="shared" ca="1" si="79"/>
        <v>391</v>
      </c>
      <c r="J505" s="23">
        <f t="shared" ca="1" si="80"/>
        <v>642</v>
      </c>
      <c r="K505" s="23">
        <f t="shared" ca="1" si="81"/>
        <v>1033</v>
      </c>
      <c r="L505" s="23">
        <f t="shared" ca="1" si="74"/>
        <v>66655</v>
      </c>
    </row>
    <row r="506" spans="3:12">
      <c r="C506" s="23">
        <f t="shared" si="72"/>
        <v>420</v>
      </c>
      <c r="D506" s="23">
        <f t="shared" si="73"/>
        <v>168</v>
      </c>
      <c r="E506" s="23">
        <f t="shared" si="75"/>
        <v>252</v>
      </c>
      <c r="F506" s="23">
        <f t="shared" si="76"/>
        <v>700</v>
      </c>
      <c r="G506" s="23">
        <f t="shared" ca="1" si="77"/>
        <v>195</v>
      </c>
      <c r="H506" s="23">
        <f t="shared" ca="1" si="78"/>
        <v>616</v>
      </c>
      <c r="I506" s="23">
        <f t="shared" ca="1" si="79"/>
        <v>363</v>
      </c>
      <c r="J506" s="23">
        <f t="shared" ca="1" si="80"/>
        <v>616</v>
      </c>
      <c r="K506" s="23">
        <f t="shared" ca="1" si="81"/>
        <v>979</v>
      </c>
      <c r="L506" s="23">
        <f t="shared" ca="1" si="74"/>
        <v>59365</v>
      </c>
    </row>
    <row r="507" spans="3:12">
      <c r="C507" s="23">
        <f t="shared" si="72"/>
        <v>420</v>
      </c>
      <c r="D507" s="23">
        <f t="shared" si="73"/>
        <v>168</v>
      </c>
      <c r="E507" s="23">
        <f t="shared" si="75"/>
        <v>252</v>
      </c>
      <c r="F507" s="23">
        <f t="shared" si="76"/>
        <v>700</v>
      </c>
      <c r="G507" s="23">
        <f t="shared" ca="1" si="77"/>
        <v>188</v>
      </c>
      <c r="H507" s="23">
        <f t="shared" ca="1" si="78"/>
        <v>656</v>
      </c>
      <c r="I507" s="23">
        <f t="shared" ca="1" si="79"/>
        <v>356</v>
      </c>
      <c r="J507" s="23">
        <f t="shared" ca="1" si="80"/>
        <v>656</v>
      </c>
      <c r="K507" s="23">
        <f t="shared" ca="1" si="81"/>
        <v>1012</v>
      </c>
      <c r="L507" s="23">
        <f t="shared" ca="1" si="74"/>
        <v>63820</v>
      </c>
    </row>
    <row r="508" spans="3:12">
      <c r="C508" s="23">
        <f t="shared" si="72"/>
        <v>420</v>
      </c>
      <c r="D508" s="23">
        <f t="shared" si="73"/>
        <v>168</v>
      </c>
      <c r="E508" s="23">
        <f t="shared" si="75"/>
        <v>252</v>
      </c>
      <c r="F508" s="23">
        <f t="shared" si="76"/>
        <v>700</v>
      </c>
      <c r="G508" s="23">
        <f t="shared" ca="1" si="77"/>
        <v>219</v>
      </c>
      <c r="H508" s="23">
        <f t="shared" ca="1" si="78"/>
        <v>721</v>
      </c>
      <c r="I508" s="23">
        <f t="shared" ca="1" si="79"/>
        <v>387</v>
      </c>
      <c r="J508" s="23">
        <f t="shared" ca="1" si="80"/>
        <v>721</v>
      </c>
      <c r="K508" s="23">
        <f t="shared" ca="1" si="81"/>
        <v>1108</v>
      </c>
      <c r="L508" s="23">
        <f t="shared" ca="1" si="74"/>
        <v>76780</v>
      </c>
    </row>
    <row r="509" spans="3:12">
      <c r="C509" s="23">
        <f t="shared" si="72"/>
        <v>420</v>
      </c>
      <c r="D509" s="23">
        <f t="shared" si="73"/>
        <v>168</v>
      </c>
      <c r="E509" s="23">
        <f t="shared" si="75"/>
        <v>252</v>
      </c>
      <c r="F509" s="23">
        <f t="shared" si="76"/>
        <v>700</v>
      </c>
      <c r="G509" s="23">
        <f t="shared" ca="1" si="77"/>
        <v>208</v>
      </c>
      <c r="H509" s="23">
        <f t="shared" ca="1" si="78"/>
        <v>649</v>
      </c>
      <c r="I509" s="23">
        <f t="shared" ca="1" si="79"/>
        <v>376</v>
      </c>
      <c r="J509" s="23">
        <f t="shared" ca="1" si="80"/>
        <v>649</v>
      </c>
      <c r="K509" s="23">
        <f t="shared" ca="1" si="81"/>
        <v>1025</v>
      </c>
      <c r="L509" s="23">
        <f t="shared" ca="1" si="74"/>
        <v>65575</v>
      </c>
    </row>
    <row r="510" spans="3:12">
      <c r="C510" s="23">
        <f t="shared" si="72"/>
        <v>420</v>
      </c>
      <c r="D510" s="23">
        <f t="shared" si="73"/>
        <v>168</v>
      </c>
      <c r="E510" s="23">
        <f t="shared" si="75"/>
        <v>252</v>
      </c>
      <c r="F510" s="23">
        <f t="shared" si="76"/>
        <v>700</v>
      </c>
      <c r="G510" s="23">
        <f t="shared" ca="1" si="77"/>
        <v>196</v>
      </c>
      <c r="H510" s="23">
        <f t="shared" ca="1" si="78"/>
        <v>694</v>
      </c>
      <c r="I510" s="23">
        <f t="shared" ca="1" si="79"/>
        <v>364</v>
      </c>
      <c r="J510" s="23">
        <f t="shared" ca="1" si="80"/>
        <v>694</v>
      </c>
      <c r="K510" s="23">
        <f t="shared" ca="1" si="81"/>
        <v>1058</v>
      </c>
      <c r="L510" s="23">
        <f t="shared" ca="1" si="74"/>
        <v>70030</v>
      </c>
    </row>
    <row r="511" spans="3:12">
      <c r="C511" s="23">
        <f t="shared" si="72"/>
        <v>420</v>
      </c>
      <c r="D511" s="23">
        <f t="shared" si="73"/>
        <v>168</v>
      </c>
      <c r="E511" s="23">
        <f t="shared" si="75"/>
        <v>252</v>
      </c>
      <c r="F511" s="23">
        <f t="shared" si="76"/>
        <v>700</v>
      </c>
      <c r="G511" s="23">
        <f t="shared" ca="1" si="77"/>
        <v>233</v>
      </c>
      <c r="H511" s="23">
        <f t="shared" ca="1" si="78"/>
        <v>680</v>
      </c>
      <c r="I511" s="23">
        <f t="shared" ca="1" si="79"/>
        <v>401</v>
      </c>
      <c r="J511" s="23">
        <f t="shared" ca="1" si="80"/>
        <v>680</v>
      </c>
      <c r="K511" s="23">
        <f t="shared" ca="1" si="81"/>
        <v>1081</v>
      </c>
      <c r="L511" s="23">
        <f t="shared" ca="1" si="74"/>
        <v>73135</v>
      </c>
    </row>
    <row r="512" spans="3:12">
      <c r="C512" s="23">
        <f t="shared" si="72"/>
        <v>420</v>
      </c>
      <c r="D512" s="23">
        <f t="shared" si="73"/>
        <v>168</v>
      </c>
      <c r="E512" s="23">
        <f t="shared" si="75"/>
        <v>252</v>
      </c>
      <c r="F512" s="23">
        <f t="shared" si="76"/>
        <v>700</v>
      </c>
      <c r="G512" s="23">
        <f t="shared" ca="1" si="77"/>
        <v>209</v>
      </c>
      <c r="H512" s="23">
        <f t="shared" ca="1" si="78"/>
        <v>625</v>
      </c>
      <c r="I512" s="23">
        <f t="shared" ca="1" si="79"/>
        <v>377</v>
      </c>
      <c r="J512" s="23">
        <f t="shared" ca="1" si="80"/>
        <v>625</v>
      </c>
      <c r="K512" s="23">
        <f t="shared" ca="1" si="81"/>
        <v>1002</v>
      </c>
      <c r="L512" s="23">
        <f t="shared" ca="1" si="74"/>
        <v>62470</v>
      </c>
    </row>
    <row r="513" spans="3:12">
      <c r="C513" s="23">
        <f t="shared" si="72"/>
        <v>420</v>
      </c>
      <c r="D513" s="23">
        <f t="shared" si="73"/>
        <v>168</v>
      </c>
      <c r="E513" s="23">
        <f t="shared" si="75"/>
        <v>252</v>
      </c>
      <c r="F513" s="23">
        <f t="shared" si="76"/>
        <v>700</v>
      </c>
      <c r="G513" s="23">
        <f t="shared" ca="1" si="77"/>
        <v>215</v>
      </c>
      <c r="H513" s="23">
        <f t="shared" ca="1" si="78"/>
        <v>581</v>
      </c>
      <c r="I513" s="23">
        <f t="shared" ca="1" si="79"/>
        <v>383</v>
      </c>
      <c r="J513" s="23">
        <f t="shared" ca="1" si="80"/>
        <v>581</v>
      </c>
      <c r="K513" s="23">
        <f t="shared" ca="1" si="81"/>
        <v>964</v>
      </c>
      <c r="L513" s="23">
        <f t="shared" ca="1" si="74"/>
        <v>57340</v>
      </c>
    </row>
    <row r="514" spans="3:12">
      <c r="C514" s="23">
        <f t="shared" si="72"/>
        <v>420</v>
      </c>
      <c r="D514" s="23">
        <f t="shared" si="73"/>
        <v>168</v>
      </c>
      <c r="E514" s="23">
        <f t="shared" si="75"/>
        <v>252</v>
      </c>
      <c r="F514" s="23">
        <f t="shared" si="76"/>
        <v>700</v>
      </c>
      <c r="G514" s="23">
        <f t="shared" ca="1" si="77"/>
        <v>217</v>
      </c>
      <c r="H514" s="23">
        <f t="shared" ca="1" si="78"/>
        <v>549</v>
      </c>
      <c r="I514" s="23">
        <f t="shared" ca="1" si="79"/>
        <v>385</v>
      </c>
      <c r="J514" s="23">
        <f t="shared" ca="1" si="80"/>
        <v>549</v>
      </c>
      <c r="K514" s="23">
        <f t="shared" ca="1" si="81"/>
        <v>934</v>
      </c>
      <c r="L514" s="23">
        <f t="shared" ca="1" si="74"/>
        <v>53290</v>
      </c>
    </row>
    <row r="515" spans="3:12">
      <c r="C515" s="23">
        <f t="shared" si="72"/>
        <v>420</v>
      </c>
      <c r="D515" s="23">
        <f t="shared" si="73"/>
        <v>168</v>
      </c>
      <c r="E515" s="23">
        <f t="shared" si="75"/>
        <v>252</v>
      </c>
      <c r="F515" s="23">
        <f t="shared" si="76"/>
        <v>700</v>
      </c>
      <c r="G515" s="23">
        <f t="shared" ca="1" si="77"/>
        <v>203</v>
      </c>
      <c r="H515" s="23">
        <f t="shared" ca="1" si="78"/>
        <v>635</v>
      </c>
      <c r="I515" s="23">
        <f t="shared" ca="1" si="79"/>
        <v>371</v>
      </c>
      <c r="J515" s="23">
        <f t="shared" ca="1" si="80"/>
        <v>635</v>
      </c>
      <c r="K515" s="23">
        <f t="shared" ca="1" si="81"/>
        <v>1006</v>
      </c>
      <c r="L515" s="23">
        <f t="shared" ca="1" si="74"/>
        <v>63010</v>
      </c>
    </row>
    <row r="516" spans="3:12">
      <c r="C516" s="23">
        <f t="shared" si="72"/>
        <v>420</v>
      </c>
      <c r="D516" s="23">
        <f t="shared" si="73"/>
        <v>168</v>
      </c>
      <c r="E516" s="23">
        <f t="shared" si="75"/>
        <v>252</v>
      </c>
      <c r="F516" s="23">
        <f t="shared" si="76"/>
        <v>700</v>
      </c>
      <c r="G516" s="23">
        <f t="shared" ca="1" si="77"/>
        <v>200</v>
      </c>
      <c r="H516" s="23">
        <f t="shared" ca="1" si="78"/>
        <v>521</v>
      </c>
      <c r="I516" s="23">
        <f t="shared" ca="1" si="79"/>
        <v>368</v>
      </c>
      <c r="J516" s="23">
        <f t="shared" ca="1" si="80"/>
        <v>521</v>
      </c>
      <c r="K516" s="23">
        <f t="shared" ca="1" si="81"/>
        <v>889</v>
      </c>
      <c r="L516" s="23">
        <f t="shared" ca="1" si="74"/>
        <v>47215</v>
      </c>
    </row>
    <row r="517" spans="3:12">
      <c r="C517" s="23">
        <f t="shared" si="72"/>
        <v>420</v>
      </c>
      <c r="D517" s="23">
        <f t="shared" si="73"/>
        <v>168</v>
      </c>
      <c r="E517" s="23">
        <f t="shared" si="75"/>
        <v>252</v>
      </c>
      <c r="F517" s="23">
        <f t="shared" si="76"/>
        <v>700</v>
      </c>
      <c r="G517" s="23">
        <f t="shared" ca="1" si="77"/>
        <v>216</v>
      </c>
      <c r="H517" s="23">
        <f t="shared" ca="1" si="78"/>
        <v>679</v>
      </c>
      <c r="I517" s="23">
        <f t="shared" ca="1" si="79"/>
        <v>384</v>
      </c>
      <c r="J517" s="23">
        <f t="shared" ca="1" si="80"/>
        <v>679</v>
      </c>
      <c r="K517" s="23">
        <f t="shared" ca="1" si="81"/>
        <v>1063</v>
      </c>
      <c r="L517" s="23">
        <f t="shared" ca="1" si="74"/>
        <v>70705</v>
      </c>
    </row>
    <row r="518" spans="3:12">
      <c r="C518" s="23">
        <f t="shared" si="72"/>
        <v>420</v>
      </c>
      <c r="D518" s="23">
        <f t="shared" si="73"/>
        <v>168</v>
      </c>
      <c r="E518" s="23">
        <f t="shared" si="75"/>
        <v>252</v>
      </c>
      <c r="F518" s="23">
        <f t="shared" si="76"/>
        <v>700</v>
      </c>
      <c r="G518" s="23">
        <f t="shared" ca="1" si="77"/>
        <v>187</v>
      </c>
      <c r="H518" s="23">
        <f t="shared" ca="1" si="78"/>
        <v>645</v>
      </c>
      <c r="I518" s="23">
        <f t="shared" ca="1" si="79"/>
        <v>355</v>
      </c>
      <c r="J518" s="23">
        <f t="shared" ca="1" si="80"/>
        <v>645</v>
      </c>
      <c r="K518" s="23">
        <f t="shared" ca="1" si="81"/>
        <v>1000</v>
      </c>
      <c r="L518" s="23">
        <f t="shared" ca="1" si="74"/>
        <v>62200</v>
      </c>
    </row>
    <row r="519" spans="3:12">
      <c r="C519" s="23">
        <f t="shared" si="72"/>
        <v>420</v>
      </c>
      <c r="D519" s="23">
        <f t="shared" si="73"/>
        <v>168</v>
      </c>
      <c r="E519" s="23">
        <f t="shared" si="75"/>
        <v>252</v>
      </c>
      <c r="F519" s="23">
        <f t="shared" si="76"/>
        <v>700</v>
      </c>
      <c r="G519" s="23">
        <f t="shared" ca="1" si="77"/>
        <v>240</v>
      </c>
      <c r="H519" s="23">
        <f t="shared" ca="1" si="78"/>
        <v>590</v>
      </c>
      <c r="I519" s="23">
        <f t="shared" ca="1" si="79"/>
        <v>408</v>
      </c>
      <c r="J519" s="23">
        <f t="shared" ca="1" si="80"/>
        <v>590</v>
      </c>
      <c r="K519" s="23">
        <f t="shared" ca="1" si="81"/>
        <v>998</v>
      </c>
      <c r="L519" s="23">
        <f t="shared" ca="1" si="74"/>
        <v>61930</v>
      </c>
    </row>
    <row r="520" spans="3:12">
      <c r="C520" s="23">
        <f t="shared" si="72"/>
        <v>420</v>
      </c>
      <c r="D520" s="23">
        <f t="shared" si="73"/>
        <v>168</v>
      </c>
      <c r="E520" s="23">
        <f t="shared" si="75"/>
        <v>252</v>
      </c>
      <c r="F520" s="23">
        <f t="shared" si="76"/>
        <v>700</v>
      </c>
      <c r="G520" s="23">
        <f t="shared" ca="1" si="77"/>
        <v>155</v>
      </c>
      <c r="H520" s="23">
        <f t="shared" ca="1" si="78"/>
        <v>672</v>
      </c>
      <c r="I520" s="23">
        <f t="shared" ca="1" si="79"/>
        <v>323</v>
      </c>
      <c r="J520" s="23">
        <f t="shared" ca="1" si="80"/>
        <v>672</v>
      </c>
      <c r="K520" s="23">
        <f t="shared" ca="1" si="81"/>
        <v>995</v>
      </c>
      <c r="L520" s="23">
        <f t="shared" ca="1" si="74"/>
        <v>61525</v>
      </c>
    </row>
    <row r="521" spans="3:12">
      <c r="C521" s="23">
        <f t="shared" si="72"/>
        <v>420</v>
      </c>
      <c r="D521" s="23">
        <f t="shared" si="73"/>
        <v>168</v>
      </c>
      <c r="E521" s="23">
        <f t="shared" si="75"/>
        <v>252</v>
      </c>
      <c r="F521" s="23">
        <f t="shared" si="76"/>
        <v>700</v>
      </c>
      <c r="G521" s="23">
        <f t="shared" ca="1" si="77"/>
        <v>249</v>
      </c>
      <c r="H521" s="23">
        <f t="shared" ca="1" si="78"/>
        <v>682</v>
      </c>
      <c r="I521" s="23">
        <f t="shared" ca="1" si="79"/>
        <v>417</v>
      </c>
      <c r="J521" s="23">
        <f t="shared" ca="1" si="80"/>
        <v>682</v>
      </c>
      <c r="K521" s="23">
        <f t="shared" ca="1" si="81"/>
        <v>1099</v>
      </c>
      <c r="L521" s="23">
        <f t="shared" ca="1" si="74"/>
        <v>75565</v>
      </c>
    </row>
    <row r="522" spans="3:12">
      <c r="C522" s="23">
        <f t="shared" si="72"/>
        <v>420</v>
      </c>
      <c r="D522" s="23">
        <f t="shared" si="73"/>
        <v>168</v>
      </c>
      <c r="E522" s="23">
        <f t="shared" si="75"/>
        <v>252</v>
      </c>
      <c r="F522" s="23">
        <f t="shared" si="76"/>
        <v>700</v>
      </c>
      <c r="G522" s="23">
        <f t="shared" ca="1" si="77"/>
        <v>206</v>
      </c>
      <c r="H522" s="23">
        <f t="shared" ca="1" si="78"/>
        <v>649</v>
      </c>
      <c r="I522" s="23">
        <f t="shared" ca="1" si="79"/>
        <v>374</v>
      </c>
      <c r="J522" s="23">
        <f t="shared" ca="1" si="80"/>
        <v>649</v>
      </c>
      <c r="K522" s="23">
        <f t="shared" ca="1" si="81"/>
        <v>1023</v>
      </c>
      <c r="L522" s="23">
        <f t="shared" ca="1" si="74"/>
        <v>65305</v>
      </c>
    </row>
    <row r="523" spans="3:12">
      <c r="C523" s="23">
        <f t="shared" si="72"/>
        <v>420</v>
      </c>
      <c r="D523" s="23">
        <f t="shared" si="73"/>
        <v>168</v>
      </c>
      <c r="E523" s="23">
        <f t="shared" si="75"/>
        <v>252</v>
      </c>
      <c r="F523" s="23">
        <f t="shared" si="76"/>
        <v>700</v>
      </c>
      <c r="G523" s="23">
        <f t="shared" ca="1" si="77"/>
        <v>213</v>
      </c>
      <c r="H523" s="23">
        <f t="shared" ca="1" si="78"/>
        <v>675</v>
      </c>
      <c r="I523" s="23">
        <f t="shared" ca="1" si="79"/>
        <v>381</v>
      </c>
      <c r="J523" s="23">
        <f t="shared" ca="1" si="80"/>
        <v>675</v>
      </c>
      <c r="K523" s="23">
        <f t="shared" ca="1" si="81"/>
        <v>1056</v>
      </c>
      <c r="L523" s="23">
        <f t="shared" ca="1" si="74"/>
        <v>69760</v>
      </c>
    </row>
    <row r="524" spans="3:12">
      <c r="C524" s="23">
        <f t="shared" ref="C524:C587" si="82">$B$4</f>
        <v>420</v>
      </c>
      <c r="D524" s="23">
        <f t="shared" ref="D524:D587" si="83">$B$5</f>
        <v>168</v>
      </c>
      <c r="E524" s="23">
        <f t="shared" si="75"/>
        <v>252</v>
      </c>
      <c r="F524" s="23">
        <f t="shared" si="76"/>
        <v>700</v>
      </c>
      <c r="G524" s="23">
        <f t="shared" ca="1" si="77"/>
        <v>225</v>
      </c>
      <c r="H524" s="23">
        <f t="shared" ca="1" si="78"/>
        <v>737</v>
      </c>
      <c r="I524" s="23">
        <f t="shared" ca="1" si="79"/>
        <v>393</v>
      </c>
      <c r="J524" s="23">
        <f t="shared" ca="1" si="80"/>
        <v>727</v>
      </c>
      <c r="K524" s="23">
        <f t="shared" ca="1" si="81"/>
        <v>1120</v>
      </c>
      <c r="L524" s="23">
        <f t="shared" ref="L524:L587" ca="1" si="84">K524*$B$2-(F524+C524)*$B$1</f>
        <v>78400</v>
      </c>
    </row>
    <row r="525" spans="3:12">
      <c r="C525" s="23">
        <f t="shared" si="82"/>
        <v>420</v>
      </c>
      <c r="D525" s="23">
        <f t="shared" si="83"/>
        <v>168</v>
      </c>
      <c r="E525" s="23">
        <f t="shared" ref="E525:E588" si="85">MAX(0,C525-D525)</f>
        <v>252</v>
      </c>
      <c r="F525" s="23">
        <f t="shared" ref="F525:F588" si="86">$E$8</f>
        <v>700</v>
      </c>
      <c r="G525" s="23">
        <f t="shared" ref="G525:G588" ca="1" si="87">_xlfn.FLOOR.MATH(MAX(0,_xlfn.NORM.INV(RAND(),$B$6*$B$8,$B$3*($B$8+0.0001))))</f>
        <v>206</v>
      </c>
      <c r="H525" s="23">
        <f t="shared" ref="H525:H588" ca="1" si="88">_xlfn.FLOOR.MATH(MAX(0,_xlfn.NORM.INV(RAND(),$B$6*(1-$B$8),$B$3*(1.00001-$B$8))))</f>
        <v>666</v>
      </c>
      <c r="I525" s="23">
        <f t="shared" ref="I525:I588" ca="1" si="89">MIN(C525,D525+G525)</f>
        <v>374</v>
      </c>
      <c r="J525" s="23">
        <f t="shared" ref="J525:J588" ca="1" si="90">MIN(C525-I525+F525,H525)</f>
        <v>666</v>
      </c>
      <c r="K525" s="23">
        <f t="shared" ref="K525:K588" ca="1" si="91">I525+J525</f>
        <v>1040</v>
      </c>
      <c r="L525" s="23">
        <f t="shared" ca="1" si="84"/>
        <v>67600</v>
      </c>
    </row>
    <row r="526" spans="3:12">
      <c r="C526" s="23">
        <f t="shared" si="82"/>
        <v>420</v>
      </c>
      <c r="D526" s="23">
        <f t="shared" si="83"/>
        <v>168</v>
      </c>
      <c r="E526" s="23">
        <f t="shared" si="85"/>
        <v>252</v>
      </c>
      <c r="F526" s="23">
        <f t="shared" si="86"/>
        <v>700</v>
      </c>
      <c r="G526" s="23">
        <f t="shared" ca="1" si="87"/>
        <v>236</v>
      </c>
      <c r="H526" s="23">
        <f t="shared" ca="1" si="88"/>
        <v>565</v>
      </c>
      <c r="I526" s="23">
        <f t="shared" ca="1" si="89"/>
        <v>404</v>
      </c>
      <c r="J526" s="23">
        <f t="shared" ca="1" si="90"/>
        <v>565</v>
      </c>
      <c r="K526" s="23">
        <f t="shared" ca="1" si="91"/>
        <v>969</v>
      </c>
      <c r="L526" s="23">
        <f t="shared" ca="1" si="84"/>
        <v>58015</v>
      </c>
    </row>
    <row r="527" spans="3:12">
      <c r="C527" s="23">
        <f t="shared" si="82"/>
        <v>420</v>
      </c>
      <c r="D527" s="23">
        <f t="shared" si="83"/>
        <v>168</v>
      </c>
      <c r="E527" s="23">
        <f t="shared" si="85"/>
        <v>252</v>
      </c>
      <c r="F527" s="23">
        <f t="shared" si="86"/>
        <v>700</v>
      </c>
      <c r="G527" s="23">
        <f t="shared" ca="1" si="87"/>
        <v>197</v>
      </c>
      <c r="H527" s="23">
        <f t="shared" ca="1" si="88"/>
        <v>694</v>
      </c>
      <c r="I527" s="23">
        <f t="shared" ca="1" si="89"/>
        <v>365</v>
      </c>
      <c r="J527" s="23">
        <f t="shared" ca="1" si="90"/>
        <v>694</v>
      </c>
      <c r="K527" s="23">
        <f t="shared" ca="1" si="91"/>
        <v>1059</v>
      </c>
      <c r="L527" s="23">
        <f t="shared" ca="1" si="84"/>
        <v>70165</v>
      </c>
    </row>
    <row r="528" spans="3:12">
      <c r="C528" s="23">
        <f t="shared" si="82"/>
        <v>420</v>
      </c>
      <c r="D528" s="23">
        <f t="shared" si="83"/>
        <v>168</v>
      </c>
      <c r="E528" s="23">
        <f t="shared" si="85"/>
        <v>252</v>
      </c>
      <c r="F528" s="23">
        <f t="shared" si="86"/>
        <v>700</v>
      </c>
      <c r="G528" s="23">
        <f t="shared" ca="1" si="87"/>
        <v>196</v>
      </c>
      <c r="H528" s="23">
        <f t="shared" ca="1" si="88"/>
        <v>623</v>
      </c>
      <c r="I528" s="23">
        <f t="shared" ca="1" si="89"/>
        <v>364</v>
      </c>
      <c r="J528" s="23">
        <f t="shared" ca="1" si="90"/>
        <v>623</v>
      </c>
      <c r="K528" s="23">
        <f t="shared" ca="1" si="91"/>
        <v>987</v>
      </c>
      <c r="L528" s="23">
        <f t="shared" ca="1" si="84"/>
        <v>60445</v>
      </c>
    </row>
    <row r="529" spans="3:12">
      <c r="C529" s="23">
        <f t="shared" si="82"/>
        <v>420</v>
      </c>
      <c r="D529" s="23">
        <f t="shared" si="83"/>
        <v>168</v>
      </c>
      <c r="E529" s="23">
        <f t="shared" si="85"/>
        <v>252</v>
      </c>
      <c r="F529" s="23">
        <f t="shared" si="86"/>
        <v>700</v>
      </c>
      <c r="G529" s="23">
        <f t="shared" ca="1" si="87"/>
        <v>217</v>
      </c>
      <c r="H529" s="23">
        <f t="shared" ca="1" si="88"/>
        <v>558</v>
      </c>
      <c r="I529" s="23">
        <f t="shared" ca="1" si="89"/>
        <v>385</v>
      </c>
      <c r="J529" s="23">
        <f t="shared" ca="1" si="90"/>
        <v>558</v>
      </c>
      <c r="K529" s="23">
        <f t="shared" ca="1" si="91"/>
        <v>943</v>
      </c>
      <c r="L529" s="23">
        <f t="shared" ca="1" si="84"/>
        <v>54505</v>
      </c>
    </row>
    <row r="530" spans="3:12">
      <c r="C530" s="23">
        <f t="shared" si="82"/>
        <v>420</v>
      </c>
      <c r="D530" s="23">
        <f t="shared" si="83"/>
        <v>168</v>
      </c>
      <c r="E530" s="23">
        <f t="shared" si="85"/>
        <v>252</v>
      </c>
      <c r="F530" s="23">
        <f t="shared" si="86"/>
        <v>700</v>
      </c>
      <c r="G530" s="23">
        <f t="shared" ca="1" si="87"/>
        <v>250</v>
      </c>
      <c r="H530" s="23">
        <f t="shared" ca="1" si="88"/>
        <v>626</v>
      </c>
      <c r="I530" s="23">
        <f t="shared" ca="1" si="89"/>
        <v>418</v>
      </c>
      <c r="J530" s="23">
        <f t="shared" ca="1" si="90"/>
        <v>626</v>
      </c>
      <c r="K530" s="23">
        <f t="shared" ca="1" si="91"/>
        <v>1044</v>
      </c>
      <c r="L530" s="23">
        <f t="shared" ca="1" si="84"/>
        <v>68140</v>
      </c>
    </row>
    <row r="531" spans="3:12">
      <c r="C531" s="23">
        <f t="shared" si="82"/>
        <v>420</v>
      </c>
      <c r="D531" s="23">
        <f t="shared" si="83"/>
        <v>168</v>
      </c>
      <c r="E531" s="23">
        <f t="shared" si="85"/>
        <v>252</v>
      </c>
      <c r="F531" s="23">
        <f t="shared" si="86"/>
        <v>700</v>
      </c>
      <c r="G531" s="23">
        <f t="shared" ca="1" si="87"/>
        <v>228</v>
      </c>
      <c r="H531" s="23">
        <f t="shared" ca="1" si="88"/>
        <v>708</v>
      </c>
      <c r="I531" s="23">
        <f t="shared" ca="1" si="89"/>
        <v>396</v>
      </c>
      <c r="J531" s="23">
        <f t="shared" ca="1" si="90"/>
        <v>708</v>
      </c>
      <c r="K531" s="23">
        <f t="shared" ca="1" si="91"/>
        <v>1104</v>
      </c>
      <c r="L531" s="23">
        <f t="shared" ca="1" si="84"/>
        <v>76240</v>
      </c>
    </row>
    <row r="532" spans="3:12">
      <c r="C532" s="23">
        <f t="shared" si="82"/>
        <v>420</v>
      </c>
      <c r="D532" s="23">
        <f t="shared" si="83"/>
        <v>168</v>
      </c>
      <c r="E532" s="23">
        <f t="shared" si="85"/>
        <v>252</v>
      </c>
      <c r="F532" s="23">
        <f t="shared" si="86"/>
        <v>700</v>
      </c>
      <c r="G532" s="23">
        <f t="shared" ca="1" si="87"/>
        <v>232</v>
      </c>
      <c r="H532" s="23">
        <f t="shared" ca="1" si="88"/>
        <v>581</v>
      </c>
      <c r="I532" s="23">
        <f t="shared" ca="1" si="89"/>
        <v>400</v>
      </c>
      <c r="J532" s="23">
        <f t="shared" ca="1" si="90"/>
        <v>581</v>
      </c>
      <c r="K532" s="23">
        <f t="shared" ca="1" si="91"/>
        <v>981</v>
      </c>
      <c r="L532" s="23">
        <f t="shared" ca="1" si="84"/>
        <v>59635</v>
      </c>
    </row>
    <row r="533" spans="3:12">
      <c r="C533" s="23">
        <f t="shared" si="82"/>
        <v>420</v>
      </c>
      <c r="D533" s="23">
        <f t="shared" si="83"/>
        <v>168</v>
      </c>
      <c r="E533" s="23">
        <f t="shared" si="85"/>
        <v>252</v>
      </c>
      <c r="F533" s="23">
        <f t="shared" si="86"/>
        <v>700</v>
      </c>
      <c r="G533" s="23">
        <f t="shared" ca="1" si="87"/>
        <v>193</v>
      </c>
      <c r="H533" s="23">
        <f t="shared" ca="1" si="88"/>
        <v>663</v>
      </c>
      <c r="I533" s="23">
        <f t="shared" ca="1" si="89"/>
        <v>361</v>
      </c>
      <c r="J533" s="23">
        <f t="shared" ca="1" si="90"/>
        <v>663</v>
      </c>
      <c r="K533" s="23">
        <f t="shared" ca="1" si="91"/>
        <v>1024</v>
      </c>
      <c r="L533" s="23">
        <f t="shared" ca="1" si="84"/>
        <v>65440</v>
      </c>
    </row>
    <row r="534" spans="3:12">
      <c r="C534" s="23">
        <f t="shared" si="82"/>
        <v>420</v>
      </c>
      <c r="D534" s="23">
        <f t="shared" si="83"/>
        <v>168</v>
      </c>
      <c r="E534" s="23">
        <f t="shared" si="85"/>
        <v>252</v>
      </c>
      <c r="F534" s="23">
        <f t="shared" si="86"/>
        <v>700</v>
      </c>
      <c r="G534" s="23">
        <f t="shared" ca="1" si="87"/>
        <v>159</v>
      </c>
      <c r="H534" s="23">
        <f t="shared" ca="1" si="88"/>
        <v>623</v>
      </c>
      <c r="I534" s="23">
        <f t="shared" ca="1" si="89"/>
        <v>327</v>
      </c>
      <c r="J534" s="23">
        <f t="shared" ca="1" si="90"/>
        <v>623</v>
      </c>
      <c r="K534" s="23">
        <f t="shared" ca="1" si="91"/>
        <v>950</v>
      </c>
      <c r="L534" s="23">
        <f t="shared" ca="1" si="84"/>
        <v>55450</v>
      </c>
    </row>
    <row r="535" spans="3:12">
      <c r="C535" s="23">
        <f t="shared" si="82"/>
        <v>420</v>
      </c>
      <c r="D535" s="23">
        <f t="shared" si="83"/>
        <v>168</v>
      </c>
      <c r="E535" s="23">
        <f t="shared" si="85"/>
        <v>252</v>
      </c>
      <c r="F535" s="23">
        <f t="shared" si="86"/>
        <v>700</v>
      </c>
      <c r="G535" s="23">
        <f t="shared" ca="1" si="87"/>
        <v>226</v>
      </c>
      <c r="H535" s="23">
        <f t="shared" ca="1" si="88"/>
        <v>667</v>
      </c>
      <c r="I535" s="23">
        <f t="shared" ca="1" si="89"/>
        <v>394</v>
      </c>
      <c r="J535" s="23">
        <f t="shared" ca="1" si="90"/>
        <v>667</v>
      </c>
      <c r="K535" s="23">
        <f t="shared" ca="1" si="91"/>
        <v>1061</v>
      </c>
      <c r="L535" s="23">
        <f t="shared" ca="1" si="84"/>
        <v>70435</v>
      </c>
    </row>
    <row r="536" spans="3:12">
      <c r="C536" s="23">
        <f t="shared" si="82"/>
        <v>420</v>
      </c>
      <c r="D536" s="23">
        <f t="shared" si="83"/>
        <v>168</v>
      </c>
      <c r="E536" s="23">
        <f t="shared" si="85"/>
        <v>252</v>
      </c>
      <c r="F536" s="23">
        <f t="shared" si="86"/>
        <v>700</v>
      </c>
      <c r="G536" s="23">
        <f t="shared" ca="1" si="87"/>
        <v>205</v>
      </c>
      <c r="H536" s="23">
        <f t="shared" ca="1" si="88"/>
        <v>627</v>
      </c>
      <c r="I536" s="23">
        <f t="shared" ca="1" si="89"/>
        <v>373</v>
      </c>
      <c r="J536" s="23">
        <f t="shared" ca="1" si="90"/>
        <v>627</v>
      </c>
      <c r="K536" s="23">
        <f t="shared" ca="1" si="91"/>
        <v>1000</v>
      </c>
      <c r="L536" s="23">
        <f t="shared" ca="1" si="84"/>
        <v>62200</v>
      </c>
    </row>
    <row r="537" spans="3:12">
      <c r="C537" s="23">
        <f t="shared" si="82"/>
        <v>420</v>
      </c>
      <c r="D537" s="23">
        <f t="shared" si="83"/>
        <v>168</v>
      </c>
      <c r="E537" s="23">
        <f t="shared" si="85"/>
        <v>252</v>
      </c>
      <c r="F537" s="23">
        <f t="shared" si="86"/>
        <v>700</v>
      </c>
      <c r="G537" s="23">
        <f t="shared" ca="1" si="87"/>
        <v>207</v>
      </c>
      <c r="H537" s="23">
        <f t="shared" ca="1" si="88"/>
        <v>679</v>
      </c>
      <c r="I537" s="23">
        <f t="shared" ca="1" si="89"/>
        <v>375</v>
      </c>
      <c r="J537" s="23">
        <f t="shared" ca="1" si="90"/>
        <v>679</v>
      </c>
      <c r="K537" s="23">
        <f t="shared" ca="1" si="91"/>
        <v>1054</v>
      </c>
      <c r="L537" s="23">
        <f t="shared" ca="1" si="84"/>
        <v>69490</v>
      </c>
    </row>
    <row r="538" spans="3:12">
      <c r="C538" s="23">
        <f t="shared" si="82"/>
        <v>420</v>
      </c>
      <c r="D538" s="23">
        <f t="shared" si="83"/>
        <v>168</v>
      </c>
      <c r="E538" s="23">
        <f t="shared" si="85"/>
        <v>252</v>
      </c>
      <c r="F538" s="23">
        <f t="shared" si="86"/>
        <v>700</v>
      </c>
      <c r="G538" s="23">
        <f t="shared" ca="1" si="87"/>
        <v>241</v>
      </c>
      <c r="H538" s="23">
        <f t="shared" ca="1" si="88"/>
        <v>577</v>
      </c>
      <c r="I538" s="23">
        <f t="shared" ca="1" si="89"/>
        <v>409</v>
      </c>
      <c r="J538" s="23">
        <f t="shared" ca="1" si="90"/>
        <v>577</v>
      </c>
      <c r="K538" s="23">
        <f t="shared" ca="1" si="91"/>
        <v>986</v>
      </c>
      <c r="L538" s="23">
        <f t="shared" ca="1" si="84"/>
        <v>60310</v>
      </c>
    </row>
    <row r="539" spans="3:12">
      <c r="C539" s="23">
        <f t="shared" si="82"/>
        <v>420</v>
      </c>
      <c r="D539" s="23">
        <f t="shared" si="83"/>
        <v>168</v>
      </c>
      <c r="E539" s="23">
        <f t="shared" si="85"/>
        <v>252</v>
      </c>
      <c r="F539" s="23">
        <f t="shared" si="86"/>
        <v>700</v>
      </c>
      <c r="G539" s="23">
        <f t="shared" ca="1" si="87"/>
        <v>263</v>
      </c>
      <c r="H539" s="23">
        <f t="shared" ca="1" si="88"/>
        <v>554</v>
      </c>
      <c r="I539" s="23">
        <f t="shared" ca="1" si="89"/>
        <v>420</v>
      </c>
      <c r="J539" s="23">
        <f t="shared" ca="1" si="90"/>
        <v>554</v>
      </c>
      <c r="K539" s="23">
        <f t="shared" ca="1" si="91"/>
        <v>974</v>
      </c>
      <c r="L539" s="23">
        <f t="shared" ca="1" si="84"/>
        <v>58690</v>
      </c>
    </row>
    <row r="540" spans="3:12">
      <c r="C540" s="23">
        <f t="shared" si="82"/>
        <v>420</v>
      </c>
      <c r="D540" s="23">
        <f t="shared" si="83"/>
        <v>168</v>
      </c>
      <c r="E540" s="23">
        <f t="shared" si="85"/>
        <v>252</v>
      </c>
      <c r="F540" s="23">
        <f t="shared" si="86"/>
        <v>700</v>
      </c>
      <c r="G540" s="23">
        <f t="shared" ca="1" si="87"/>
        <v>192</v>
      </c>
      <c r="H540" s="23">
        <f t="shared" ca="1" si="88"/>
        <v>525</v>
      </c>
      <c r="I540" s="23">
        <f t="shared" ca="1" si="89"/>
        <v>360</v>
      </c>
      <c r="J540" s="23">
        <f t="shared" ca="1" si="90"/>
        <v>525</v>
      </c>
      <c r="K540" s="23">
        <f t="shared" ca="1" si="91"/>
        <v>885</v>
      </c>
      <c r="L540" s="23">
        <f t="shared" ca="1" si="84"/>
        <v>46675</v>
      </c>
    </row>
    <row r="541" spans="3:12">
      <c r="C541" s="23">
        <f t="shared" si="82"/>
        <v>420</v>
      </c>
      <c r="D541" s="23">
        <f t="shared" si="83"/>
        <v>168</v>
      </c>
      <c r="E541" s="23">
        <f t="shared" si="85"/>
        <v>252</v>
      </c>
      <c r="F541" s="23">
        <f t="shared" si="86"/>
        <v>700</v>
      </c>
      <c r="G541" s="23">
        <f t="shared" ca="1" si="87"/>
        <v>190</v>
      </c>
      <c r="H541" s="23">
        <f t="shared" ca="1" si="88"/>
        <v>585</v>
      </c>
      <c r="I541" s="23">
        <f t="shared" ca="1" si="89"/>
        <v>358</v>
      </c>
      <c r="J541" s="23">
        <f t="shared" ca="1" si="90"/>
        <v>585</v>
      </c>
      <c r="K541" s="23">
        <f t="shared" ca="1" si="91"/>
        <v>943</v>
      </c>
      <c r="L541" s="23">
        <f t="shared" ca="1" si="84"/>
        <v>54505</v>
      </c>
    </row>
    <row r="542" spans="3:12">
      <c r="C542" s="23">
        <f t="shared" si="82"/>
        <v>420</v>
      </c>
      <c r="D542" s="23">
        <f t="shared" si="83"/>
        <v>168</v>
      </c>
      <c r="E542" s="23">
        <f t="shared" si="85"/>
        <v>252</v>
      </c>
      <c r="F542" s="23">
        <f t="shared" si="86"/>
        <v>700</v>
      </c>
      <c r="G542" s="23">
        <f t="shared" ca="1" si="87"/>
        <v>230</v>
      </c>
      <c r="H542" s="23">
        <f t="shared" ca="1" si="88"/>
        <v>643</v>
      </c>
      <c r="I542" s="23">
        <f t="shared" ca="1" si="89"/>
        <v>398</v>
      </c>
      <c r="J542" s="23">
        <f t="shared" ca="1" si="90"/>
        <v>643</v>
      </c>
      <c r="K542" s="23">
        <f t="shared" ca="1" si="91"/>
        <v>1041</v>
      </c>
      <c r="L542" s="23">
        <f t="shared" ca="1" si="84"/>
        <v>67735</v>
      </c>
    </row>
    <row r="543" spans="3:12">
      <c r="C543" s="23">
        <f t="shared" si="82"/>
        <v>420</v>
      </c>
      <c r="D543" s="23">
        <f t="shared" si="83"/>
        <v>168</v>
      </c>
      <c r="E543" s="23">
        <f t="shared" si="85"/>
        <v>252</v>
      </c>
      <c r="F543" s="23">
        <f t="shared" si="86"/>
        <v>700</v>
      </c>
      <c r="G543" s="23">
        <f t="shared" ca="1" si="87"/>
        <v>225</v>
      </c>
      <c r="H543" s="23">
        <f t="shared" ca="1" si="88"/>
        <v>619</v>
      </c>
      <c r="I543" s="23">
        <f t="shared" ca="1" si="89"/>
        <v>393</v>
      </c>
      <c r="J543" s="23">
        <f t="shared" ca="1" si="90"/>
        <v>619</v>
      </c>
      <c r="K543" s="23">
        <f t="shared" ca="1" si="91"/>
        <v>1012</v>
      </c>
      <c r="L543" s="23">
        <f t="shared" ca="1" si="84"/>
        <v>63820</v>
      </c>
    </row>
    <row r="544" spans="3:12">
      <c r="C544" s="23">
        <f t="shared" si="82"/>
        <v>420</v>
      </c>
      <c r="D544" s="23">
        <f t="shared" si="83"/>
        <v>168</v>
      </c>
      <c r="E544" s="23">
        <f t="shared" si="85"/>
        <v>252</v>
      </c>
      <c r="F544" s="23">
        <f t="shared" si="86"/>
        <v>700</v>
      </c>
      <c r="G544" s="23">
        <f t="shared" ca="1" si="87"/>
        <v>236</v>
      </c>
      <c r="H544" s="23">
        <f t="shared" ca="1" si="88"/>
        <v>674</v>
      </c>
      <c r="I544" s="23">
        <f t="shared" ca="1" si="89"/>
        <v>404</v>
      </c>
      <c r="J544" s="23">
        <f t="shared" ca="1" si="90"/>
        <v>674</v>
      </c>
      <c r="K544" s="23">
        <f t="shared" ca="1" si="91"/>
        <v>1078</v>
      </c>
      <c r="L544" s="23">
        <f t="shared" ca="1" si="84"/>
        <v>72730</v>
      </c>
    </row>
    <row r="545" spans="3:12">
      <c r="C545" s="23">
        <f t="shared" si="82"/>
        <v>420</v>
      </c>
      <c r="D545" s="23">
        <f t="shared" si="83"/>
        <v>168</v>
      </c>
      <c r="E545" s="23">
        <f t="shared" si="85"/>
        <v>252</v>
      </c>
      <c r="F545" s="23">
        <f t="shared" si="86"/>
        <v>700</v>
      </c>
      <c r="G545" s="23">
        <f t="shared" ca="1" si="87"/>
        <v>168</v>
      </c>
      <c r="H545" s="23">
        <f t="shared" ca="1" si="88"/>
        <v>632</v>
      </c>
      <c r="I545" s="23">
        <f t="shared" ca="1" si="89"/>
        <v>336</v>
      </c>
      <c r="J545" s="23">
        <f t="shared" ca="1" si="90"/>
        <v>632</v>
      </c>
      <c r="K545" s="23">
        <f t="shared" ca="1" si="91"/>
        <v>968</v>
      </c>
      <c r="L545" s="23">
        <f t="shared" ca="1" si="84"/>
        <v>57880</v>
      </c>
    </row>
    <row r="546" spans="3:12">
      <c r="C546" s="23">
        <f t="shared" si="82"/>
        <v>420</v>
      </c>
      <c r="D546" s="23">
        <f t="shared" si="83"/>
        <v>168</v>
      </c>
      <c r="E546" s="23">
        <f t="shared" si="85"/>
        <v>252</v>
      </c>
      <c r="F546" s="23">
        <f t="shared" si="86"/>
        <v>700</v>
      </c>
      <c r="G546" s="23">
        <f t="shared" ca="1" si="87"/>
        <v>230</v>
      </c>
      <c r="H546" s="23">
        <f t="shared" ca="1" si="88"/>
        <v>517</v>
      </c>
      <c r="I546" s="23">
        <f t="shared" ca="1" si="89"/>
        <v>398</v>
      </c>
      <c r="J546" s="23">
        <f t="shared" ca="1" si="90"/>
        <v>517</v>
      </c>
      <c r="K546" s="23">
        <f t="shared" ca="1" si="91"/>
        <v>915</v>
      </c>
      <c r="L546" s="23">
        <f t="shared" ca="1" si="84"/>
        <v>50725</v>
      </c>
    </row>
    <row r="547" spans="3:12">
      <c r="C547" s="23">
        <f t="shared" si="82"/>
        <v>420</v>
      </c>
      <c r="D547" s="23">
        <f t="shared" si="83"/>
        <v>168</v>
      </c>
      <c r="E547" s="23">
        <f t="shared" si="85"/>
        <v>252</v>
      </c>
      <c r="F547" s="23">
        <f t="shared" si="86"/>
        <v>700</v>
      </c>
      <c r="G547" s="23">
        <f t="shared" ca="1" si="87"/>
        <v>195</v>
      </c>
      <c r="H547" s="23">
        <f t="shared" ca="1" si="88"/>
        <v>601</v>
      </c>
      <c r="I547" s="23">
        <f t="shared" ca="1" si="89"/>
        <v>363</v>
      </c>
      <c r="J547" s="23">
        <f t="shared" ca="1" si="90"/>
        <v>601</v>
      </c>
      <c r="K547" s="23">
        <f t="shared" ca="1" si="91"/>
        <v>964</v>
      </c>
      <c r="L547" s="23">
        <f t="shared" ca="1" si="84"/>
        <v>57340</v>
      </c>
    </row>
    <row r="548" spans="3:12">
      <c r="C548" s="23">
        <f t="shared" si="82"/>
        <v>420</v>
      </c>
      <c r="D548" s="23">
        <f t="shared" si="83"/>
        <v>168</v>
      </c>
      <c r="E548" s="23">
        <f t="shared" si="85"/>
        <v>252</v>
      </c>
      <c r="F548" s="23">
        <f t="shared" si="86"/>
        <v>700</v>
      </c>
      <c r="G548" s="23">
        <f t="shared" ca="1" si="87"/>
        <v>219</v>
      </c>
      <c r="H548" s="23">
        <f t="shared" ca="1" si="88"/>
        <v>642</v>
      </c>
      <c r="I548" s="23">
        <f t="shared" ca="1" si="89"/>
        <v>387</v>
      </c>
      <c r="J548" s="23">
        <f t="shared" ca="1" si="90"/>
        <v>642</v>
      </c>
      <c r="K548" s="23">
        <f t="shared" ca="1" si="91"/>
        <v>1029</v>
      </c>
      <c r="L548" s="23">
        <f t="shared" ca="1" si="84"/>
        <v>66115</v>
      </c>
    </row>
    <row r="549" spans="3:12">
      <c r="C549" s="23">
        <f t="shared" si="82"/>
        <v>420</v>
      </c>
      <c r="D549" s="23">
        <f t="shared" si="83"/>
        <v>168</v>
      </c>
      <c r="E549" s="23">
        <f t="shared" si="85"/>
        <v>252</v>
      </c>
      <c r="F549" s="23">
        <f t="shared" si="86"/>
        <v>700</v>
      </c>
      <c r="G549" s="23">
        <f t="shared" ca="1" si="87"/>
        <v>206</v>
      </c>
      <c r="H549" s="23">
        <f t="shared" ca="1" si="88"/>
        <v>689</v>
      </c>
      <c r="I549" s="23">
        <f t="shared" ca="1" si="89"/>
        <v>374</v>
      </c>
      <c r="J549" s="23">
        <f t="shared" ca="1" si="90"/>
        <v>689</v>
      </c>
      <c r="K549" s="23">
        <f t="shared" ca="1" si="91"/>
        <v>1063</v>
      </c>
      <c r="L549" s="23">
        <f t="shared" ca="1" si="84"/>
        <v>70705</v>
      </c>
    </row>
    <row r="550" spans="3:12">
      <c r="C550" s="23">
        <f t="shared" si="82"/>
        <v>420</v>
      </c>
      <c r="D550" s="23">
        <f t="shared" si="83"/>
        <v>168</v>
      </c>
      <c r="E550" s="23">
        <f t="shared" si="85"/>
        <v>252</v>
      </c>
      <c r="F550" s="23">
        <f t="shared" si="86"/>
        <v>700</v>
      </c>
      <c r="G550" s="23">
        <f t="shared" ca="1" si="87"/>
        <v>178</v>
      </c>
      <c r="H550" s="23">
        <f t="shared" ca="1" si="88"/>
        <v>533</v>
      </c>
      <c r="I550" s="23">
        <f t="shared" ca="1" si="89"/>
        <v>346</v>
      </c>
      <c r="J550" s="23">
        <f t="shared" ca="1" si="90"/>
        <v>533</v>
      </c>
      <c r="K550" s="23">
        <f t="shared" ca="1" si="91"/>
        <v>879</v>
      </c>
      <c r="L550" s="23">
        <f t="shared" ca="1" si="84"/>
        <v>45865</v>
      </c>
    </row>
    <row r="551" spans="3:12">
      <c r="C551" s="23">
        <f t="shared" si="82"/>
        <v>420</v>
      </c>
      <c r="D551" s="23">
        <f t="shared" si="83"/>
        <v>168</v>
      </c>
      <c r="E551" s="23">
        <f t="shared" si="85"/>
        <v>252</v>
      </c>
      <c r="F551" s="23">
        <f t="shared" si="86"/>
        <v>700</v>
      </c>
      <c r="G551" s="23">
        <f t="shared" ca="1" si="87"/>
        <v>227</v>
      </c>
      <c r="H551" s="23">
        <f t="shared" ca="1" si="88"/>
        <v>719</v>
      </c>
      <c r="I551" s="23">
        <f t="shared" ca="1" si="89"/>
        <v>395</v>
      </c>
      <c r="J551" s="23">
        <f t="shared" ca="1" si="90"/>
        <v>719</v>
      </c>
      <c r="K551" s="23">
        <f t="shared" ca="1" si="91"/>
        <v>1114</v>
      </c>
      <c r="L551" s="23">
        <f t="shared" ca="1" si="84"/>
        <v>77590</v>
      </c>
    </row>
    <row r="552" spans="3:12">
      <c r="C552" s="23">
        <f t="shared" si="82"/>
        <v>420</v>
      </c>
      <c r="D552" s="23">
        <f t="shared" si="83"/>
        <v>168</v>
      </c>
      <c r="E552" s="23">
        <f t="shared" si="85"/>
        <v>252</v>
      </c>
      <c r="F552" s="23">
        <f t="shared" si="86"/>
        <v>700</v>
      </c>
      <c r="G552" s="23">
        <f t="shared" ca="1" si="87"/>
        <v>177</v>
      </c>
      <c r="H552" s="23">
        <f t="shared" ca="1" si="88"/>
        <v>564</v>
      </c>
      <c r="I552" s="23">
        <f t="shared" ca="1" si="89"/>
        <v>345</v>
      </c>
      <c r="J552" s="23">
        <f t="shared" ca="1" si="90"/>
        <v>564</v>
      </c>
      <c r="K552" s="23">
        <f t="shared" ca="1" si="91"/>
        <v>909</v>
      </c>
      <c r="L552" s="23">
        <f t="shared" ca="1" si="84"/>
        <v>49915</v>
      </c>
    </row>
    <row r="553" spans="3:12">
      <c r="C553" s="23">
        <f t="shared" si="82"/>
        <v>420</v>
      </c>
      <c r="D553" s="23">
        <f t="shared" si="83"/>
        <v>168</v>
      </c>
      <c r="E553" s="23">
        <f t="shared" si="85"/>
        <v>252</v>
      </c>
      <c r="F553" s="23">
        <f t="shared" si="86"/>
        <v>700</v>
      </c>
      <c r="G553" s="23">
        <f t="shared" ca="1" si="87"/>
        <v>226</v>
      </c>
      <c r="H553" s="23">
        <f t="shared" ca="1" si="88"/>
        <v>713</v>
      </c>
      <c r="I553" s="23">
        <f t="shared" ca="1" si="89"/>
        <v>394</v>
      </c>
      <c r="J553" s="23">
        <f t="shared" ca="1" si="90"/>
        <v>713</v>
      </c>
      <c r="K553" s="23">
        <f t="shared" ca="1" si="91"/>
        <v>1107</v>
      </c>
      <c r="L553" s="23">
        <f t="shared" ca="1" si="84"/>
        <v>76645</v>
      </c>
    </row>
    <row r="554" spans="3:12">
      <c r="C554" s="23">
        <f t="shared" si="82"/>
        <v>420</v>
      </c>
      <c r="D554" s="23">
        <f t="shared" si="83"/>
        <v>168</v>
      </c>
      <c r="E554" s="23">
        <f t="shared" si="85"/>
        <v>252</v>
      </c>
      <c r="F554" s="23">
        <f t="shared" si="86"/>
        <v>700</v>
      </c>
      <c r="G554" s="23">
        <f t="shared" ca="1" si="87"/>
        <v>206</v>
      </c>
      <c r="H554" s="23">
        <f t="shared" ca="1" si="88"/>
        <v>717</v>
      </c>
      <c r="I554" s="23">
        <f t="shared" ca="1" si="89"/>
        <v>374</v>
      </c>
      <c r="J554" s="23">
        <f t="shared" ca="1" si="90"/>
        <v>717</v>
      </c>
      <c r="K554" s="23">
        <f t="shared" ca="1" si="91"/>
        <v>1091</v>
      </c>
      <c r="L554" s="23">
        <f t="shared" ca="1" si="84"/>
        <v>74485</v>
      </c>
    </row>
    <row r="555" spans="3:12">
      <c r="C555" s="23">
        <f t="shared" si="82"/>
        <v>420</v>
      </c>
      <c r="D555" s="23">
        <f t="shared" si="83"/>
        <v>168</v>
      </c>
      <c r="E555" s="23">
        <f t="shared" si="85"/>
        <v>252</v>
      </c>
      <c r="F555" s="23">
        <f t="shared" si="86"/>
        <v>700</v>
      </c>
      <c r="G555" s="23">
        <f t="shared" ca="1" si="87"/>
        <v>229</v>
      </c>
      <c r="H555" s="23">
        <f t="shared" ca="1" si="88"/>
        <v>531</v>
      </c>
      <c r="I555" s="23">
        <f t="shared" ca="1" si="89"/>
        <v>397</v>
      </c>
      <c r="J555" s="23">
        <f t="shared" ca="1" si="90"/>
        <v>531</v>
      </c>
      <c r="K555" s="23">
        <f t="shared" ca="1" si="91"/>
        <v>928</v>
      </c>
      <c r="L555" s="23">
        <f t="shared" ca="1" si="84"/>
        <v>52480</v>
      </c>
    </row>
    <row r="556" spans="3:12">
      <c r="C556" s="23">
        <f t="shared" si="82"/>
        <v>420</v>
      </c>
      <c r="D556" s="23">
        <f t="shared" si="83"/>
        <v>168</v>
      </c>
      <c r="E556" s="23">
        <f t="shared" si="85"/>
        <v>252</v>
      </c>
      <c r="F556" s="23">
        <f t="shared" si="86"/>
        <v>700</v>
      </c>
      <c r="G556" s="23">
        <f t="shared" ca="1" si="87"/>
        <v>198</v>
      </c>
      <c r="H556" s="23">
        <f t="shared" ca="1" si="88"/>
        <v>650</v>
      </c>
      <c r="I556" s="23">
        <f t="shared" ca="1" si="89"/>
        <v>366</v>
      </c>
      <c r="J556" s="23">
        <f t="shared" ca="1" si="90"/>
        <v>650</v>
      </c>
      <c r="K556" s="23">
        <f t="shared" ca="1" si="91"/>
        <v>1016</v>
      </c>
      <c r="L556" s="23">
        <f t="shared" ca="1" si="84"/>
        <v>64360</v>
      </c>
    </row>
    <row r="557" spans="3:12">
      <c r="C557" s="23">
        <f t="shared" si="82"/>
        <v>420</v>
      </c>
      <c r="D557" s="23">
        <f t="shared" si="83"/>
        <v>168</v>
      </c>
      <c r="E557" s="23">
        <f t="shared" si="85"/>
        <v>252</v>
      </c>
      <c r="F557" s="23">
        <f t="shared" si="86"/>
        <v>700</v>
      </c>
      <c r="G557" s="23">
        <f t="shared" ca="1" si="87"/>
        <v>219</v>
      </c>
      <c r="H557" s="23">
        <f t="shared" ca="1" si="88"/>
        <v>759</v>
      </c>
      <c r="I557" s="23">
        <f t="shared" ca="1" si="89"/>
        <v>387</v>
      </c>
      <c r="J557" s="23">
        <f t="shared" ca="1" si="90"/>
        <v>733</v>
      </c>
      <c r="K557" s="23">
        <f t="shared" ca="1" si="91"/>
        <v>1120</v>
      </c>
      <c r="L557" s="23">
        <f t="shared" ca="1" si="84"/>
        <v>78400</v>
      </c>
    </row>
    <row r="558" spans="3:12">
      <c r="C558" s="23">
        <f t="shared" si="82"/>
        <v>420</v>
      </c>
      <c r="D558" s="23">
        <f t="shared" si="83"/>
        <v>168</v>
      </c>
      <c r="E558" s="23">
        <f t="shared" si="85"/>
        <v>252</v>
      </c>
      <c r="F558" s="23">
        <f t="shared" si="86"/>
        <v>700</v>
      </c>
      <c r="G558" s="23">
        <f t="shared" ca="1" si="87"/>
        <v>206</v>
      </c>
      <c r="H558" s="23">
        <f t="shared" ca="1" si="88"/>
        <v>710</v>
      </c>
      <c r="I558" s="23">
        <f t="shared" ca="1" si="89"/>
        <v>374</v>
      </c>
      <c r="J558" s="23">
        <f t="shared" ca="1" si="90"/>
        <v>710</v>
      </c>
      <c r="K558" s="23">
        <f t="shared" ca="1" si="91"/>
        <v>1084</v>
      </c>
      <c r="L558" s="23">
        <f t="shared" ca="1" si="84"/>
        <v>73540</v>
      </c>
    </row>
    <row r="559" spans="3:12">
      <c r="C559" s="23">
        <f t="shared" si="82"/>
        <v>420</v>
      </c>
      <c r="D559" s="23">
        <f t="shared" si="83"/>
        <v>168</v>
      </c>
      <c r="E559" s="23">
        <f t="shared" si="85"/>
        <v>252</v>
      </c>
      <c r="F559" s="23">
        <f t="shared" si="86"/>
        <v>700</v>
      </c>
      <c r="G559" s="23">
        <f t="shared" ca="1" si="87"/>
        <v>212</v>
      </c>
      <c r="H559" s="23">
        <f t="shared" ca="1" si="88"/>
        <v>749</v>
      </c>
      <c r="I559" s="23">
        <f t="shared" ca="1" si="89"/>
        <v>380</v>
      </c>
      <c r="J559" s="23">
        <f t="shared" ca="1" si="90"/>
        <v>740</v>
      </c>
      <c r="K559" s="23">
        <f t="shared" ca="1" si="91"/>
        <v>1120</v>
      </c>
      <c r="L559" s="23">
        <f t="shared" ca="1" si="84"/>
        <v>78400</v>
      </c>
    </row>
    <row r="560" spans="3:12">
      <c r="C560" s="23">
        <f t="shared" si="82"/>
        <v>420</v>
      </c>
      <c r="D560" s="23">
        <f t="shared" si="83"/>
        <v>168</v>
      </c>
      <c r="E560" s="23">
        <f t="shared" si="85"/>
        <v>252</v>
      </c>
      <c r="F560" s="23">
        <f t="shared" si="86"/>
        <v>700</v>
      </c>
      <c r="G560" s="23">
        <f t="shared" ca="1" si="87"/>
        <v>225</v>
      </c>
      <c r="H560" s="23">
        <f t="shared" ca="1" si="88"/>
        <v>714</v>
      </c>
      <c r="I560" s="23">
        <f t="shared" ca="1" si="89"/>
        <v>393</v>
      </c>
      <c r="J560" s="23">
        <f t="shared" ca="1" si="90"/>
        <v>714</v>
      </c>
      <c r="K560" s="23">
        <f t="shared" ca="1" si="91"/>
        <v>1107</v>
      </c>
      <c r="L560" s="23">
        <f t="shared" ca="1" si="84"/>
        <v>76645</v>
      </c>
    </row>
    <row r="561" spans="3:12">
      <c r="C561" s="23">
        <f t="shared" si="82"/>
        <v>420</v>
      </c>
      <c r="D561" s="23">
        <f t="shared" si="83"/>
        <v>168</v>
      </c>
      <c r="E561" s="23">
        <f t="shared" si="85"/>
        <v>252</v>
      </c>
      <c r="F561" s="23">
        <f t="shared" si="86"/>
        <v>700</v>
      </c>
      <c r="G561" s="23">
        <f t="shared" ca="1" si="87"/>
        <v>228</v>
      </c>
      <c r="H561" s="23">
        <f t="shared" ca="1" si="88"/>
        <v>698</v>
      </c>
      <c r="I561" s="23">
        <f t="shared" ca="1" si="89"/>
        <v>396</v>
      </c>
      <c r="J561" s="23">
        <f t="shared" ca="1" si="90"/>
        <v>698</v>
      </c>
      <c r="K561" s="23">
        <f t="shared" ca="1" si="91"/>
        <v>1094</v>
      </c>
      <c r="L561" s="23">
        <f t="shared" ca="1" si="84"/>
        <v>74890</v>
      </c>
    </row>
    <row r="562" spans="3:12">
      <c r="C562" s="23">
        <f t="shared" si="82"/>
        <v>420</v>
      </c>
      <c r="D562" s="23">
        <f t="shared" si="83"/>
        <v>168</v>
      </c>
      <c r="E562" s="23">
        <f t="shared" si="85"/>
        <v>252</v>
      </c>
      <c r="F562" s="23">
        <f t="shared" si="86"/>
        <v>700</v>
      </c>
      <c r="G562" s="23">
        <f t="shared" ca="1" si="87"/>
        <v>226</v>
      </c>
      <c r="H562" s="23">
        <f t="shared" ca="1" si="88"/>
        <v>604</v>
      </c>
      <c r="I562" s="23">
        <f t="shared" ca="1" si="89"/>
        <v>394</v>
      </c>
      <c r="J562" s="23">
        <f t="shared" ca="1" si="90"/>
        <v>604</v>
      </c>
      <c r="K562" s="23">
        <f t="shared" ca="1" si="91"/>
        <v>998</v>
      </c>
      <c r="L562" s="23">
        <f t="shared" ca="1" si="84"/>
        <v>61930</v>
      </c>
    </row>
    <row r="563" spans="3:12">
      <c r="C563" s="23">
        <f t="shared" si="82"/>
        <v>420</v>
      </c>
      <c r="D563" s="23">
        <f t="shared" si="83"/>
        <v>168</v>
      </c>
      <c r="E563" s="23">
        <f t="shared" si="85"/>
        <v>252</v>
      </c>
      <c r="F563" s="23">
        <f t="shared" si="86"/>
        <v>700</v>
      </c>
      <c r="G563" s="23">
        <f t="shared" ca="1" si="87"/>
        <v>230</v>
      </c>
      <c r="H563" s="23">
        <f t="shared" ca="1" si="88"/>
        <v>635</v>
      </c>
      <c r="I563" s="23">
        <f t="shared" ca="1" si="89"/>
        <v>398</v>
      </c>
      <c r="J563" s="23">
        <f t="shared" ca="1" si="90"/>
        <v>635</v>
      </c>
      <c r="K563" s="23">
        <f t="shared" ca="1" si="91"/>
        <v>1033</v>
      </c>
      <c r="L563" s="23">
        <f t="shared" ca="1" si="84"/>
        <v>66655</v>
      </c>
    </row>
    <row r="564" spans="3:12">
      <c r="C564" s="23">
        <f t="shared" si="82"/>
        <v>420</v>
      </c>
      <c r="D564" s="23">
        <f t="shared" si="83"/>
        <v>168</v>
      </c>
      <c r="E564" s="23">
        <f t="shared" si="85"/>
        <v>252</v>
      </c>
      <c r="F564" s="23">
        <f t="shared" si="86"/>
        <v>700</v>
      </c>
      <c r="G564" s="23">
        <f t="shared" ca="1" si="87"/>
        <v>198</v>
      </c>
      <c r="H564" s="23">
        <f t="shared" ca="1" si="88"/>
        <v>552</v>
      </c>
      <c r="I564" s="23">
        <f t="shared" ca="1" si="89"/>
        <v>366</v>
      </c>
      <c r="J564" s="23">
        <f t="shared" ca="1" si="90"/>
        <v>552</v>
      </c>
      <c r="K564" s="23">
        <f t="shared" ca="1" si="91"/>
        <v>918</v>
      </c>
      <c r="L564" s="23">
        <f t="shared" ca="1" si="84"/>
        <v>51130</v>
      </c>
    </row>
    <row r="565" spans="3:12">
      <c r="C565" s="23">
        <f t="shared" si="82"/>
        <v>420</v>
      </c>
      <c r="D565" s="23">
        <f t="shared" si="83"/>
        <v>168</v>
      </c>
      <c r="E565" s="23">
        <f t="shared" si="85"/>
        <v>252</v>
      </c>
      <c r="F565" s="23">
        <f t="shared" si="86"/>
        <v>700</v>
      </c>
      <c r="G565" s="23">
        <f t="shared" ca="1" si="87"/>
        <v>221</v>
      </c>
      <c r="H565" s="23">
        <f t="shared" ca="1" si="88"/>
        <v>680</v>
      </c>
      <c r="I565" s="23">
        <f t="shared" ca="1" si="89"/>
        <v>389</v>
      </c>
      <c r="J565" s="23">
        <f t="shared" ca="1" si="90"/>
        <v>680</v>
      </c>
      <c r="K565" s="23">
        <f t="shared" ca="1" si="91"/>
        <v>1069</v>
      </c>
      <c r="L565" s="23">
        <f t="shared" ca="1" si="84"/>
        <v>71515</v>
      </c>
    </row>
    <row r="566" spans="3:12">
      <c r="C566" s="23">
        <f t="shared" si="82"/>
        <v>420</v>
      </c>
      <c r="D566" s="23">
        <f t="shared" si="83"/>
        <v>168</v>
      </c>
      <c r="E566" s="23">
        <f t="shared" si="85"/>
        <v>252</v>
      </c>
      <c r="F566" s="23">
        <f t="shared" si="86"/>
        <v>700</v>
      </c>
      <c r="G566" s="23">
        <f t="shared" ca="1" si="87"/>
        <v>218</v>
      </c>
      <c r="H566" s="23">
        <f t="shared" ca="1" si="88"/>
        <v>634</v>
      </c>
      <c r="I566" s="23">
        <f t="shared" ca="1" si="89"/>
        <v>386</v>
      </c>
      <c r="J566" s="23">
        <f t="shared" ca="1" si="90"/>
        <v>634</v>
      </c>
      <c r="K566" s="23">
        <f t="shared" ca="1" si="91"/>
        <v>1020</v>
      </c>
      <c r="L566" s="23">
        <f t="shared" ca="1" si="84"/>
        <v>64900</v>
      </c>
    </row>
    <row r="567" spans="3:12">
      <c r="C567" s="23">
        <f t="shared" si="82"/>
        <v>420</v>
      </c>
      <c r="D567" s="23">
        <f t="shared" si="83"/>
        <v>168</v>
      </c>
      <c r="E567" s="23">
        <f t="shared" si="85"/>
        <v>252</v>
      </c>
      <c r="F567" s="23">
        <f t="shared" si="86"/>
        <v>700</v>
      </c>
      <c r="G567" s="23">
        <f t="shared" ca="1" si="87"/>
        <v>200</v>
      </c>
      <c r="H567" s="23">
        <f t="shared" ca="1" si="88"/>
        <v>627</v>
      </c>
      <c r="I567" s="23">
        <f t="shared" ca="1" si="89"/>
        <v>368</v>
      </c>
      <c r="J567" s="23">
        <f t="shared" ca="1" si="90"/>
        <v>627</v>
      </c>
      <c r="K567" s="23">
        <f t="shared" ca="1" si="91"/>
        <v>995</v>
      </c>
      <c r="L567" s="23">
        <f t="shared" ca="1" si="84"/>
        <v>61525</v>
      </c>
    </row>
    <row r="568" spans="3:12">
      <c r="C568" s="23">
        <f t="shared" si="82"/>
        <v>420</v>
      </c>
      <c r="D568" s="23">
        <f t="shared" si="83"/>
        <v>168</v>
      </c>
      <c r="E568" s="23">
        <f t="shared" si="85"/>
        <v>252</v>
      </c>
      <c r="F568" s="23">
        <f t="shared" si="86"/>
        <v>700</v>
      </c>
      <c r="G568" s="23">
        <f t="shared" ca="1" si="87"/>
        <v>221</v>
      </c>
      <c r="H568" s="23">
        <f t="shared" ca="1" si="88"/>
        <v>556</v>
      </c>
      <c r="I568" s="23">
        <f t="shared" ca="1" si="89"/>
        <v>389</v>
      </c>
      <c r="J568" s="23">
        <f t="shared" ca="1" si="90"/>
        <v>556</v>
      </c>
      <c r="K568" s="23">
        <f t="shared" ca="1" si="91"/>
        <v>945</v>
      </c>
      <c r="L568" s="23">
        <f t="shared" ca="1" si="84"/>
        <v>54775</v>
      </c>
    </row>
    <row r="569" spans="3:12">
      <c r="C569" s="23">
        <f t="shared" si="82"/>
        <v>420</v>
      </c>
      <c r="D569" s="23">
        <f t="shared" si="83"/>
        <v>168</v>
      </c>
      <c r="E569" s="23">
        <f t="shared" si="85"/>
        <v>252</v>
      </c>
      <c r="F569" s="23">
        <f t="shared" si="86"/>
        <v>700</v>
      </c>
      <c r="G569" s="23">
        <f t="shared" ca="1" si="87"/>
        <v>186</v>
      </c>
      <c r="H569" s="23">
        <f t="shared" ca="1" si="88"/>
        <v>659</v>
      </c>
      <c r="I569" s="23">
        <f t="shared" ca="1" si="89"/>
        <v>354</v>
      </c>
      <c r="J569" s="23">
        <f t="shared" ca="1" si="90"/>
        <v>659</v>
      </c>
      <c r="K569" s="23">
        <f t="shared" ca="1" si="91"/>
        <v>1013</v>
      </c>
      <c r="L569" s="23">
        <f t="shared" ca="1" si="84"/>
        <v>63955</v>
      </c>
    </row>
    <row r="570" spans="3:12">
      <c r="C570" s="23">
        <f t="shared" si="82"/>
        <v>420</v>
      </c>
      <c r="D570" s="23">
        <f t="shared" si="83"/>
        <v>168</v>
      </c>
      <c r="E570" s="23">
        <f t="shared" si="85"/>
        <v>252</v>
      </c>
      <c r="F570" s="23">
        <f t="shared" si="86"/>
        <v>700</v>
      </c>
      <c r="G570" s="23">
        <f t="shared" ca="1" si="87"/>
        <v>214</v>
      </c>
      <c r="H570" s="23">
        <f t="shared" ca="1" si="88"/>
        <v>581</v>
      </c>
      <c r="I570" s="23">
        <f t="shared" ca="1" si="89"/>
        <v>382</v>
      </c>
      <c r="J570" s="23">
        <f t="shared" ca="1" si="90"/>
        <v>581</v>
      </c>
      <c r="K570" s="23">
        <f t="shared" ca="1" si="91"/>
        <v>963</v>
      </c>
      <c r="L570" s="23">
        <f t="shared" ca="1" si="84"/>
        <v>57205</v>
      </c>
    </row>
    <row r="571" spans="3:12">
      <c r="C571" s="23">
        <f t="shared" si="82"/>
        <v>420</v>
      </c>
      <c r="D571" s="23">
        <f t="shared" si="83"/>
        <v>168</v>
      </c>
      <c r="E571" s="23">
        <f t="shared" si="85"/>
        <v>252</v>
      </c>
      <c r="F571" s="23">
        <f t="shared" si="86"/>
        <v>700</v>
      </c>
      <c r="G571" s="23">
        <f t="shared" ca="1" si="87"/>
        <v>211</v>
      </c>
      <c r="H571" s="23">
        <f t="shared" ca="1" si="88"/>
        <v>765</v>
      </c>
      <c r="I571" s="23">
        <f t="shared" ca="1" si="89"/>
        <v>379</v>
      </c>
      <c r="J571" s="23">
        <f t="shared" ca="1" si="90"/>
        <v>741</v>
      </c>
      <c r="K571" s="23">
        <f t="shared" ca="1" si="91"/>
        <v>1120</v>
      </c>
      <c r="L571" s="23">
        <f t="shared" ca="1" si="84"/>
        <v>78400</v>
      </c>
    </row>
    <row r="572" spans="3:12">
      <c r="C572" s="23">
        <f t="shared" si="82"/>
        <v>420</v>
      </c>
      <c r="D572" s="23">
        <f t="shared" si="83"/>
        <v>168</v>
      </c>
      <c r="E572" s="23">
        <f t="shared" si="85"/>
        <v>252</v>
      </c>
      <c r="F572" s="23">
        <f t="shared" si="86"/>
        <v>700</v>
      </c>
      <c r="G572" s="23">
        <f t="shared" ca="1" si="87"/>
        <v>161</v>
      </c>
      <c r="H572" s="23">
        <f t="shared" ca="1" si="88"/>
        <v>676</v>
      </c>
      <c r="I572" s="23">
        <f t="shared" ca="1" si="89"/>
        <v>329</v>
      </c>
      <c r="J572" s="23">
        <f t="shared" ca="1" si="90"/>
        <v>676</v>
      </c>
      <c r="K572" s="23">
        <f t="shared" ca="1" si="91"/>
        <v>1005</v>
      </c>
      <c r="L572" s="23">
        <f t="shared" ca="1" si="84"/>
        <v>62875</v>
      </c>
    </row>
    <row r="573" spans="3:12">
      <c r="C573" s="23">
        <f t="shared" si="82"/>
        <v>420</v>
      </c>
      <c r="D573" s="23">
        <f t="shared" si="83"/>
        <v>168</v>
      </c>
      <c r="E573" s="23">
        <f t="shared" si="85"/>
        <v>252</v>
      </c>
      <c r="F573" s="23">
        <f t="shared" si="86"/>
        <v>700</v>
      </c>
      <c r="G573" s="23">
        <f t="shared" ca="1" si="87"/>
        <v>216</v>
      </c>
      <c r="H573" s="23">
        <f t="shared" ca="1" si="88"/>
        <v>694</v>
      </c>
      <c r="I573" s="23">
        <f t="shared" ca="1" si="89"/>
        <v>384</v>
      </c>
      <c r="J573" s="23">
        <f t="shared" ca="1" si="90"/>
        <v>694</v>
      </c>
      <c r="K573" s="23">
        <f t="shared" ca="1" si="91"/>
        <v>1078</v>
      </c>
      <c r="L573" s="23">
        <f t="shared" ca="1" si="84"/>
        <v>72730</v>
      </c>
    </row>
    <row r="574" spans="3:12">
      <c r="C574" s="23">
        <f t="shared" si="82"/>
        <v>420</v>
      </c>
      <c r="D574" s="23">
        <f t="shared" si="83"/>
        <v>168</v>
      </c>
      <c r="E574" s="23">
        <f t="shared" si="85"/>
        <v>252</v>
      </c>
      <c r="F574" s="23">
        <f t="shared" si="86"/>
        <v>700</v>
      </c>
      <c r="G574" s="23">
        <f t="shared" ca="1" si="87"/>
        <v>185</v>
      </c>
      <c r="H574" s="23">
        <f t="shared" ca="1" si="88"/>
        <v>702</v>
      </c>
      <c r="I574" s="23">
        <f t="shared" ca="1" si="89"/>
        <v>353</v>
      </c>
      <c r="J574" s="23">
        <f t="shared" ca="1" si="90"/>
        <v>702</v>
      </c>
      <c r="K574" s="23">
        <f t="shared" ca="1" si="91"/>
        <v>1055</v>
      </c>
      <c r="L574" s="23">
        <f t="shared" ca="1" si="84"/>
        <v>69625</v>
      </c>
    </row>
    <row r="575" spans="3:12">
      <c r="C575" s="23">
        <f t="shared" si="82"/>
        <v>420</v>
      </c>
      <c r="D575" s="23">
        <f t="shared" si="83"/>
        <v>168</v>
      </c>
      <c r="E575" s="23">
        <f t="shared" si="85"/>
        <v>252</v>
      </c>
      <c r="F575" s="23">
        <f t="shared" si="86"/>
        <v>700</v>
      </c>
      <c r="G575" s="23">
        <f t="shared" ca="1" si="87"/>
        <v>209</v>
      </c>
      <c r="H575" s="23">
        <f t="shared" ca="1" si="88"/>
        <v>680</v>
      </c>
      <c r="I575" s="23">
        <f t="shared" ca="1" si="89"/>
        <v>377</v>
      </c>
      <c r="J575" s="23">
        <f t="shared" ca="1" si="90"/>
        <v>680</v>
      </c>
      <c r="K575" s="23">
        <f t="shared" ca="1" si="91"/>
        <v>1057</v>
      </c>
      <c r="L575" s="23">
        <f t="shared" ca="1" si="84"/>
        <v>69895</v>
      </c>
    </row>
    <row r="576" spans="3:12">
      <c r="C576" s="23">
        <f t="shared" si="82"/>
        <v>420</v>
      </c>
      <c r="D576" s="23">
        <f t="shared" si="83"/>
        <v>168</v>
      </c>
      <c r="E576" s="23">
        <f t="shared" si="85"/>
        <v>252</v>
      </c>
      <c r="F576" s="23">
        <f t="shared" si="86"/>
        <v>700</v>
      </c>
      <c r="G576" s="23">
        <f t="shared" ca="1" si="87"/>
        <v>235</v>
      </c>
      <c r="H576" s="23">
        <f t="shared" ca="1" si="88"/>
        <v>708</v>
      </c>
      <c r="I576" s="23">
        <f t="shared" ca="1" si="89"/>
        <v>403</v>
      </c>
      <c r="J576" s="23">
        <f t="shared" ca="1" si="90"/>
        <v>708</v>
      </c>
      <c r="K576" s="23">
        <f t="shared" ca="1" si="91"/>
        <v>1111</v>
      </c>
      <c r="L576" s="23">
        <f t="shared" ca="1" si="84"/>
        <v>77185</v>
      </c>
    </row>
    <row r="577" spans="3:12">
      <c r="C577" s="23">
        <f t="shared" si="82"/>
        <v>420</v>
      </c>
      <c r="D577" s="23">
        <f t="shared" si="83"/>
        <v>168</v>
      </c>
      <c r="E577" s="23">
        <f t="shared" si="85"/>
        <v>252</v>
      </c>
      <c r="F577" s="23">
        <f t="shared" si="86"/>
        <v>700</v>
      </c>
      <c r="G577" s="23">
        <f t="shared" ca="1" si="87"/>
        <v>182</v>
      </c>
      <c r="H577" s="23">
        <f t="shared" ca="1" si="88"/>
        <v>548</v>
      </c>
      <c r="I577" s="23">
        <f t="shared" ca="1" si="89"/>
        <v>350</v>
      </c>
      <c r="J577" s="23">
        <f t="shared" ca="1" si="90"/>
        <v>548</v>
      </c>
      <c r="K577" s="23">
        <f t="shared" ca="1" si="91"/>
        <v>898</v>
      </c>
      <c r="L577" s="23">
        <f t="shared" ca="1" si="84"/>
        <v>48430</v>
      </c>
    </row>
    <row r="578" spans="3:12">
      <c r="C578" s="23">
        <f t="shared" si="82"/>
        <v>420</v>
      </c>
      <c r="D578" s="23">
        <f t="shared" si="83"/>
        <v>168</v>
      </c>
      <c r="E578" s="23">
        <f t="shared" si="85"/>
        <v>252</v>
      </c>
      <c r="F578" s="23">
        <f t="shared" si="86"/>
        <v>700</v>
      </c>
      <c r="G578" s="23">
        <f t="shared" ca="1" si="87"/>
        <v>175</v>
      </c>
      <c r="H578" s="23">
        <f t="shared" ca="1" si="88"/>
        <v>577</v>
      </c>
      <c r="I578" s="23">
        <f t="shared" ca="1" si="89"/>
        <v>343</v>
      </c>
      <c r="J578" s="23">
        <f t="shared" ca="1" si="90"/>
        <v>577</v>
      </c>
      <c r="K578" s="23">
        <f t="shared" ca="1" si="91"/>
        <v>920</v>
      </c>
      <c r="L578" s="23">
        <f t="shared" ca="1" si="84"/>
        <v>51400</v>
      </c>
    </row>
    <row r="579" spans="3:12">
      <c r="C579" s="23">
        <f t="shared" si="82"/>
        <v>420</v>
      </c>
      <c r="D579" s="23">
        <f t="shared" si="83"/>
        <v>168</v>
      </c>
      <c r="E579" s="23">
        <f t="shared" si="85"/>
        <v>252</v>
      </c>
      <c r="F579" s="23">
        <f t="shared" si="86"/>
        <v>700</v>
      </c>
      <c r="G579" s="23">
        <f t="shared" ca="1" si="87"/>
        <v>182</v>
      </c>
      <c r="H579" s="23">
        <f t="shared" ca="1" si="88"/>
        <v>701</v>
      </c>
      <c r="I579" s="23">
        <f t="shared" ca="1" si="89"/>
        <v>350</v>
      </c>
      <c r="J579" s="23">
        <f t="shared" ca="1" si="90"/>
        <v>701</v>
      </c>
      <c r="K579" s="23">
        <f t="shared" ca="1" si="91"/>
        <v>1051</v>
      </c>
      <c r="L579" s="23">
        <f t="shared" ca="1" si="84"/>
        <v>69085</v>
      </c>
    </row>
    <row r="580" spans="3:12">
      <c r="C580" s="23">
        <f t="shared" si="82"/>
        <v>420</v>
      </c>
      <c r="D580" s="23">
        <f t="shared" si="83"/>
        <v>168</v>
      </c>
      <c r="E580" s="23">
        <f t="shared" si="85"/>
        <v>252</v>
      </c>
      <c r="F580" s="23">
        <f t="shared" si="86"/>
        <v>700</v>
      </c>
      <c r="G580" s="23">
        <f t="shared" ca="1" si="87"/>
        <v>212</v>
      </c>
      <c r="H580" s="23">
        <f t="shared" ca="1" si="88"/>
        <v>666</v>
      </c>
      <c r="I580" s="23">
        <f t="shared" ca="1" si="89"/>
        <v>380</v>
      </c>
      <c r="J580" s="23">
        <f t="shared" ca="1" si="90"/>
        <v>666</v>
      </c>
      <c r="K580" s="23">
        <f t="shared" ca="1" si="91"/>
        <v>1046</v>
      </c>
      <c r="L580" s="23">
        <f t="shared" ca="1" si="84"/>
        <v>68410</v>
      </c>
    </row>
    <row r="581" spans="3:12">
      <c r="C581" s="23">
        <f t="shared" si="82"/>
        <v>420</v>
      </c>
      <c r="D581" s="23">
        <f t="shared" si="83"/>
        <v>168</v>
      </c>
      <c r="E581" s="23">
        <f t="shared" si="85"/>
        <v>252</v>
      </c>
      <c r="F581" s="23">
        <f t="shared" si="86"/>
        <v>700</v>
      </c>
      <c r="G581" s="23">
        <f t="shared" ca="1" si="87"/>
        <v>217</v>
      </c>
      <c r="H581" s="23">
        <f t="shared" ca="1" si="88"/>
        <v>592</v>
      </c>
      <c r="I581" s="23">
        <f t="shared" ca="1" si="89"/>
        <v>385</v>
      </c>
      <c r="J581" s="23">
        <f t="shared" ca="1" si="90"/>
        <v>592</v>
      </c>
      <c r="K581" s="23">
        <f t="shared" ca="1" si="91"/>
        <v>977</v>
      </c>
      <c r="L581" s="23">
        <f t="shared" ca="1" si="84"/>
        <v>59095</v>
      </c>
    </row>
    <row r="582" spans="3:12">
      <c r="C582" s="23">
        <f t="shared" si="82"/>
        <v>420</v>
      </c>
      <c r="D582" s="23">
        <f t="shared" si="83"/>
        <v>168</v>
      </c>
      <c r="E582" s="23">
        <f t="shared" si="85"/>
        <v>252</v>
      </c>
      <c r="F582" s="23">
        <f t="shared" si="86"/>
        <v>700</v>
      </c>
      <c r="G582" s="23">
        <f t="shared" ca="1" si="87"/>
        <v>211</v>
      </c>
      <c r="H582" s="23">
        <f t="shared" ca="1" si="88"/>
        <v>685</v>
      </c>
      <c r="I582" s="23">
        <f t="shared" ca="1" si="89"/>
        <v>379</v>
      </c>
      <c r="J582" s="23">
        <f t="shared" ca="1" si="90"/>
        <v>685</v>
      </c>
      <c r="K582" s="23">
        <f t="shared" ca="1" si="91"/>
        <v>1064</v>
      </c>
      <c r="L582" s="23">
        <f t="shared" ca="1" si="84"/>
        <v>70840</v>
      </c>
    </row>
    <row r="583" spans="3:12">
      <c r="C583" s="23">
        <f t="shared" si="82"/>
        <v>420</v>
      </c>
      <c r="D583" s="23">
        <f t="shared" si="83"/>
        <v>168</v>
      </c>
      <c r="E583" s="23">
        <f t="shared" si="85"/>
        <v>252</v>
      </c>
      <c r="F583" s="23">
        <f t="shared" si="86"/>
        <v>700</v>
      </c>
      <c r="G583" s="23">
        <f t="shared" ca="1" si="87"/>
        <v>216</v>
      </c>
      <c r="H583" s="23">
        <f t="shared" ca="1" si="88"/>
        <v>630</v>
      </c>
      <c r="I583" s="23">
        <f t="shared" ca="1" si="89"/>
        <v>384</v>
      </c>
      <c r="J583" s="23">
        <f t="shared" ca="1" si="90"/>
        <v>630</v>
      </c>
      <c r="K583" s="23">
        <f t="shared" ca="1" si="91"/>
        <v>1014</v>
      </c>
      <c r="L583" s="23">
        <f t="shared" ca="1" si="84"/>
        <v>64090</v>
      </c>
    </row>
    <row r="584" spans="3:12">
      <c r="C584" s="23">
        <f t="shared" si="82"/>
        <v>420</v>
      </c>
      <c r="D584" s="23">
        <f t="shared" si="83"/>
        <v>168</v>
      </c>
      <c r="E584" s="23">
        <f t="shared" si="85"/>
        <v>252</v>
      </c>
      <c r="F584" s="23">
        <f t="shared" si="86"/>
        <v>700</v>
      </c>
      <c r="G584" s="23">
        <f t="shared" ca="1" si="87"/>
        <v>202</v>
      </c>
      <c r="H584" s="23">
        <f t="shared" ca="1" si="88"/>
        <v>637</v>
      </c>
      <c r="I584" s="23">
        <f t="shared" ca="1" si="89"/>
        <v>370</v>
      </c>
      <c r="J584" s="23">
        <f t="shared" ca="1" si="90"/>
        <v>637</v>
      </c>
      <c r="K584" s="23">
        <f t="shared" ca="1" si="91"/>
        <v>1007</v>
      </c>
      <c r="L584" s="23">
        <f t="shared" ca="1" si="84"/>
        <v>63145</v>
      </c>
    </row>
    <row r="585" spans="3:12">
      <c r="C585" s="23">
        <f t="shared" si="82"/>
        <v>420</v>
      </c>
      <c r="D585" s="23">
        <f t="shared" si="83"/>
        <v>168</v>
      </c>
      <c r="E585" s="23">
        <f t="shared" si="85"/>
        <v>252</v>
      </c>
      <c r="F585" s="23">
        <f t="shared" si="86"/>
        <v>700</v>
      </c>
      <c r="G585" s="23">
        <f t="shared" ca="1" si="87"/>
        <v>208</v>
      </c>
      <c r="H585" s="23">
        <f t="shared" ca="1" si="88"/>
        <v>637</v>
      </c>
      <c r="I585" s="23">
        <f t="shared" ca="1" si="89"/>
        <v>376</v>
      </c>
      <c r="J585" s="23">
        <f t="shared" ca="1" si="90"/>
        <v>637</v>
      </c>
      <c r="K585" s="23">
        <f t="shared" ca="1" si="91"/>
        <v>1013</v>
      </c>
      <c r="L585" s="23">
        <f t="shared" ca="1" si="84"/>
        <v>63955</v>
      </c>
    </row>
    <row r="586" spans="3:12">
      <c r="C586" s="23">
        <f t="shared" si="82"/>
        <v>420</v>
      </c>
      <c r="D586" s="23">
        <f t="shared" si="83"/>
        <v>168</v>
      </c>
      <c r="E586" s="23">
        <f t="shared" si="85"/>
        <v>252</v>
      </c>
      <c r="F586" s="23">
        <f t="shared" si="86"/>
        <v>700</v>
      </c>
      <c r="G586" s="23">
        <f t="shared" ca="1" si="87"/>
        <v>216</v>
      </c>
      <c r="H586" s="23">
        <f t="shared" ca="1" si="88"/>
        <v>640</v>
      </c>
      <c r="I586" s="23">
        <f t="shared" ca="1" si="89"/>
        <v>384</v>
      </c>
      <c r="J586" s="23">
        <f t="shared" ca="1" si="90"/>
        <v>640</v>
      </c>
      <c r="K586" s="23">
        <f t="shared" ca="1" si="91"/>
        <v>1024</v>
      </c>
      <c r="L586" s="23">
        <f t="shared" ca="1" si="84"/>
        <v>65440</v>
      </c>
    </row>
    <row r="587" spans="3:12">
      <c r="C587" s="23">
        <f t="shared" si="82"/>
        <v>420</v>
      </c>
      <c r="D587" s="23">
        <f t="shared" si="83"/>
        <v>168</v>
      </c>
      <c r="E587" s="23">
        <f t="shared" si="85"/>
        <v>252</v>
      </c>
      <c r="F587" s="23">
        <f t="shared" si="86"/>
        <v>700</v>
      </c>
      <c r="G587" s="23">
        <f t="shared" ca="1" si="87"/>
        <v>196</v>
      </c>
      <c r="H587" s="23">
        <f t="shared" ca="1" si="88"/>
        <v>650</v>
      </c>
      <c r="I587" s="23">
        <f t="shared" ca="1" si="89"/>
        <v>364</v>
      </c>
      <c r="J587" s="23">
        <f t="shared" ca="1" si="90"/>
        <v>650</v>
      </c>
      <c r="K587" s="23">
        <f t="shared" ca="1" si="91"/>
        <v>1014</v>
      </c>
      <c r="L587" s="23">
        <f t="shared" ca="1" si="84"/>
        <v>64090</v>
      </c>
    </row>
    <row r="588" spans="3:12">
      <c r="C588" s="23">
        <f t="shared" ref="C588:C651" si="92">$B$4</f>
        <v>420</v>
      </c>
      <c r="D588" s="23">
        <f t="shared" ref="D588:D651" si="93">$B$5</f>
        <v>168</v>
      </c>
      <c r="E588" s="23">
        <f t="shared" si="85"/>
        <v>252</v>
      </c>
      <c r="F588" s="23">
        <f t="shared" si="86"/>
        <v>700</v>
      </c>
      <c r="G588" s="23">
        <f t="shared" ca="1" si="87"/>
        <v>202</v>
      </c>
      <c r="H588" s="23">
        <f t="shared" ca="1" si="88"/>
        <v>723</v>
      </c>
      <c r="I588" s="23">
        <f t="shared" ca="1" si="89"/>
        <v>370</v>
      </c>
      <c r="J588" s="23">
        <f t="shared" ca="1" si="90"/>
        <v>723</v>
      </c>
      <c r="K588" s="23">
        <f t="shared" ca="1" si="91"/>
        <v>1093</v>
      </c>
      <c r="L588" s="23">
        <f t="shared" ref="L588:L651" ca="1" si="94">K588*$B$2-(F588+C588)*$B$1</f>
        <v>74755</v>
      </c>
    </row>
    <row r="589" spans="3:12">
      <c r="C589" s="23">
        <f t="shared" si="92"/>
        <v>420</v>
      </c>
      <c r="D589" s="23">
        <f t="shared" si="93"/>
        <v>168</v>
      </c>
      <c r="E589" s="23">
        <f t="shared" ref="E589:E652" si="95">MAX(0,C589-D589)</f>
        <v>252</v>
      </c>
      <c r="F589" s="23">
        <f t="shared" ref="F589:F652" si="96">$E$8</f>
        <v>700</v>
      </c>
      <c r="G589" s="23">
        <f t="shared" ref="G589:G652" ca="1" si="97">_xlfn.FLOOR.MATH(MAX(0,_xlfn.NORM.INV(RAND(),$B$6*$B$8,$B$3*($B$8+0.0001))))</f>
        <v>184</v>
      </c>
      <c r="H589" s="23">
        <f t="shared" ref="H589:H652" ca="1" si="98">_xlfn.FLOOR.MATH(MAX(0,_xlfn.NORM.INV(RAND(),$B$6*(1-$B$8),$B$3*(1.00001-$B$8))))</f>
        <v>690</v>
      </c>
      <c r="I589" s="23">
        <f t="shared" ref="I589:I652" ca="1" si="99">MIN(C589,D589+G589)</f>
        <v>352</v>
      </c>
      <c r="J589" s="23">
        <f t="shared" ref="J589:J652" ca="1" si="100">MIN(C589-I589+F589,H589)</f>
        <v>690</v>
      </c>
      <c r="K589" s="23">
        <f t="shared" ref="K589:K652" ca="1" si="101">I589+J589</f>
        <v>1042</v>
      </c>
      <c r="L589" s="23">
        <f t="shared" ca="1" si="94"/>
        <v>67870</v>
      </c>
    </row>
    <row r="590" spans="3:12">
      <c r="C590" s="23">
        <f t="shared" si="92"/>
        <v>420</v>
      </c>
      <c r="D590" s="23">
        <f t="shared" si="93"/>
        <v>168</v>
      </c>
      <c r="E590" s="23">
        <f t="shared" si="95"/>
        <v>252</v>
      </c>
      <c r="F590" s="23">
        <f t="shared" si="96"/>
        <v>700</v>
      </c>
      <c r="G590" s="23">
        <f t="shared" ca="1" si="97"/>
        <v>247</v>
      </c>
      <c r="H590" s="23">
        <f t="shared" ca="1" si="98"/>
        <v>692</v>
      </c>
      <c r="I590" s="23">
        <f t="shared" ca="1" si="99"/>
        <v>415</v>
      </c>
      <c r="J590" s="23">
        <f t="shared" ca="1" si="100"/>
        <v>692</v>
      </c>
      <c r="K590" s="23">
        <f t="shared" ca="1" si="101"/>
        <v>1107</v>
      </c>
      <c r="L590" s="23">
        <f t="shared" ca="1" si="94"/>
        <v>76645</v>
      </c>
    </row>
    <row r="591" spans="3:12">
      <c r="C591" s="23">
        <f t="shared" si="92"/>
        <v>420</v>
      </c>
      <c r="D591" s="23">
        <f t="shared" si="93"/>
        <v>168</v>
      </c>
      <c r="E591" s="23">
        <f t="shared" si="95"/>
        <v>252</v>
      </c>
      <c r="F591" s="23">
        <f t="shared" si="96"/>
        <v>700</v>
      </c>
      <c r="G591" s="23">
        <f t="shared" ca="1" si="97"/>
        <v>222</v>
      </c>
      <c r="H591" s="23">
        <f t="shared" ca="1" si="98"/>
        <v>742</v>
      </c>
      <c r="I591" s="23">
        <f t="shared" ca="1" si="99"/>
        <v>390</v>
      </c>
      <c r="J591" s="23">
        <f t="shared" ca="1" si="100"/>
        <v>730</v>
      </c>
      <c r="K591" s="23">
        <f t="shared" ca="1" si="101"/>
        <v>1120</v>
      </c>
      <c r="L591" s="23">
        <f t="shared" ca="1" si="94"/>
        <v>78400</v>
      </c>
    </row>
    <row r="592" spans="3:12">
      <c r="C592" s="23">
        <f t="shared" si="92"/>
        <v>420</v>
      </c>
      <c r="D592" s="23">
        <f t="shared" si="93"/>
        <v>168</v>
      </c>
      <c r="E592" s="23">
        <f t="shared" si="95"/>
        <v>252</v>
      </c>
      <c r="F592" s="23">
        <f t="shared" si="96"/>
        <v>700</v>
      </c>
      <c r="G592" s="23">
        <f t="shared" ca="1" si="97"/>
        <v>221</v>
      </c>
      <c r="H592" s="23">
        <f t="shared" ca="1" si="98"/>
        <v>798</v>
      </c>
      <c r="I592" s="23">
        <f t="shared" ca="1" si="99"/>
        <v>389</v>
      </c>
      <c r="J592" s="23">
        <f t="shared" ca="1" si="100"/>
        <v>731</v>
      </c>
      <c r="K592" s="23">
        <f t="shared" ca="1" si="101"/>
        <v>1120</v>
      </c>
      <c r="L592" s="23">
        <f t="shared" ca="1" si="94"/>
        <v>78400</v>
      </c>
    </row>
    <row r="593" spans="3:12">
      <c r="C593" s="23">
        <f t="shared" si="92"/>
        <v>420</v>
      </c>
      <c r="D593" s="23">
        <f t="shared" si="93"/>
        <v>168</v>
      </c>
      <c r="E593" s="23">
        <f t="shared" si="95"/>
        <v>252</v>
      </c>
      <c r="F593" s="23">
        <f t="shared" si="96"/>
        <v>700</v>
      </c>
      <c r="G593" s="23">
        <f t="shared" ca="1" si="97"/>
        <v>180</v>
      </c>
      <c r="H593" s="23">
        <f t="shared" ca="1" si="98"/>
        <v>631</v>
      </c>
      <c r="I593" s="23">
        <f t="shared" ca="1" si="99"/>
        <v>348</v>
      </c>
      <c r="J593" s="23">
        <f t="shared" ca="1" si="100"/>
        <v>631</v>
      </c>
      <c r="K593" s="23">
        <f t="shared" ca="1" si="101"/>
        <v>979</v>
      </c>
      <c r="L593" s="23">
        <f t="shared" ca="1" si="94"/>
        <v>59365</v>
      </c>
    </row>
    <row r="594" spans="3:12">
      <c r="C594" s="23">
        <f t="shared" si="92"/>
        <v>420</v>
      </c>
      <c r="D594" s="23">
        <f t="shared" si="93"/>
        <v>168</v>
      </c>
      <c r="E594" s="23">
        <f t="shared" si="95"/>
        <v>252</v>
      </c>
      <c r="F594" s="23">
        <f t="shared" si="96"/>
        <v>700</v>
      </c>
      <c r="G594" s="23">
        <f t="shared" ca="1" si="97"/>
        <v>218</v>
      </c>
      <c r="H594" s="23">
        <f t="shared" ca="1" si="98"/>
        <v>688</v>
      </c>
      <c r="I594" s="23">
        <f t="shared" ca="1" si="99"/>
        <v>386</v>
      </c>
      <c r="J594" s="23">
        <f t="shared" ca="1" si="100"/>
        <v>688</v>
      </c>
      <c r="K594" s="23">
        <f t="shared" ca="1" si="101"/>
        <v>1074</v>
      </c>
      <c r="L594" s="23">
        <f t="shared" ca="1" si="94"/>
        <v>72190</v>
      </c>
    </row>
    <row r="595" spans="3:12">
      <c r="C595" s="23">
        <f t="shared" si="92"/>
        <v>420</v>
      </c>
      <c r="D595" s="23">
        <f t="shared" si="93"/>
        <v>168</v>
      </c>
      <c r="E595" s="23">
        <f t="shared" si="95"/>
        <v>252</v>
      </c>
      <c r="F595" s="23">
        <f t="shared" si="96"/>
        <v>700</v>
      </c>
      <c r="G595" s="23">
        <f t="shared" ca="1" si="97"/>
        <v>223</v>
      </c>
      <c r="H595" s="23">
        <f t="shared" ca="1" si="98"/>
        <v>569</v>
      </c>
      <c r="I595" s="23">
        <f t="shared" ca="1" si="99"/>
        <v>391</v>
      </c>
      <c r="J595" s="23">
        <f t="shared" ca="1" si="100"/>
        <v>569</v>
      </c>
      <c r="K595" s="23">
        <f t="shared" ca="1" si="101"/>
        <v>960</v>
      </c>
      <c r="L595" s="23">
        <f t="shared" ca="1" si="94"/>
        <v>56800</v>
      </c>
    </row>
    <row r="596" spans="3:12">
      <c r="C596" s="23">
        <f t="shared" si="92"/>
        <v>420</v>
      </c>
      <c r="D596" s="23">
        <f t="shared" si="93"/>
        <v>168</v>
      </c>
      <c r="E596" s="23">
        <f t="shared" si="95"/>
        <v>252</v>
      </c>
      <c r="F596" s="23">
        <f t="shared" si="96"/>
        <v>700</v>
      </c>
      <c r="G596" s="23">
        <f t="shared" ca="1" si="97"/>
        <v>212</v>
      </c>
      <c r="H596" s="23">
        <f t="shared" ca="1" si="98"/>
        <v>610</v>
      </c>
      <c r="I596" s="23">
        <f t="shared" ca="1" si="99"/>
        <v>380</v>
      </c>
      <c r="J596" s="23">
        <f t="shared" ca="1" si="100"/>
        <v>610</v>
      </c>
      <c r="K596" s="23">
        <f t="shared" ca="1" si="101"/>
        <v>990</v>
      </c>
      <c r="L596" s="23">
        <f t="shared" ca="1" si="94"/>
        <v>60850</v>
      </c>
    </row>
    <row r="597" spans="3:12">
      <c r="C597" s="23">
        <f t="shared" si="92"/>
        <v>420</v>
      </c>
      <c r="D597" s="23">
        <f t="shared" si="93"/>
        <v>168</v>
      </c>
      <c r="E597" s="23">
        <f t="shared" si="95"/>
        <v>252</v>
      </c>
      <c r="F597" s="23">
        <f t="shared" si="96"/>
        <v>700</v>
      </c>
      <c r="G597" s="23">
        <f t="shared" ca="1" si="97"/>
        <v>221</v>
      </c>
      <c r="H597" s="23">
        <f t="shared" ca="1" si="98"/>
        <v>583</v>
      </c>
      <c r="I597" s="23">
        <f t="shared" ca="1" si="99"/>
        <v>389</v>
      </c>
      <c r="J597" s="23">
        <f t="shared" ca="1" si="100"/>
        <v>583</v>
      </c>
      <c r="K597" s="23">
        <f t="shared" ca="1" si="101"/>
        <v>972</v>
      </c>
      <c r="L597" s="23">
        <f t="shared" ca="1" si="94"/>
        <v>58420</v>
      </c>
    </row>
    <row r="598" spans="3:12">
      <c r="C598" s="23">
        <f t="shared" si="92"/>
        <v>420</v>
      </c>
      <c r="D598" s="23">
        <f t="shared" si="93"/>
        <v>168</v>
      </c>
      <c r="E598" s="23">
        <f t="shared" si="95"/>
        <v>252</v>
      </c>
      <c r="F598" s="23">
        <f t="shared" si="96"/>
        <v>700</v>
      </c>
      <c r="G598" s="23">
        <f t="shared" ca="1" si="97"/>
        <v>241</v>
      </c>
      <c r="H598" s="23">
        <f t="shared" ca="1" si="98"/>
        <v>523</v>
      </c>
      <c r="I598" s="23">
        <f t="shared" ca="1" si="99"/>
        <v>409</v>
      </c>
      <c r="J598" s="23">
        <f t="shared" ca="1" si="100"/>
        <v>523</v>
      </c>
      <c r="K598" s="23">
        <f t="shared" ca="1" si="101"/>
        <v>932</v>
      </c>
      <c r="L598" s="23">
        <f t="shared" ca="1" si="94"/>
        <v>53020</v>
      </c>
    </row>
    <row r="599" spans="3:12">
      <c r="C599" s="23">
        <f t="shared" si="92"/>
        <v>420</v>
      </c>
      <c r="D599" s="23">
        <f t="shared" si="93"/>
        <v>168</v>
      </c>
      <c r="E599" s="23">
        <f t="shared" si="95"/>
        <v>252</v>
      </c>
      <c r="F599" s="23">
        <f t="shared" si="96"/>
        <v>700</v>
      </c>
      <c r="G599" s="23">
        <f t="shared" ca="1" si="97"/>
        <v>216</v>
      </c>
      <c r="H599" s="23">
        <f t="shared" ca="1" si="98"/>
        <v>638</v>
      </c>
      <c r="I599" s="23">
        <f t="shared" ca="1" si="99"/>
        <v>384</v>
      </c>
      <c r="J599" s="23">
        <f t="shared" ca="1" si="100"/>
        <v>638</v>
      </c>
      <c r="K599" s="23">
        <f t="shared" ca="1" si="101"/>
        <v>1022</v>
      </c>
      <c r="L599" s="23">
        <f t="shared" ca="1" si="94"/>
        <v>65170</v>
      </c>
    </row>
    <row r="600" spans="3:12">
      <c r="C600" s="23">
        <f t="shared" si="92"/>
        <v>420</v>
      </c>
      <c r="D600" s="23">
        <f t="shared" si="93"/>
        <v>168</v>
      </c>
      <c r="E600" s="23">
        <f t="shared" si="95"/>
        <v>252</v>
      </c>
      <c r="F600" s="23">
        <f t="shared" si="96"/>
        <v>700</v>
      </c>
      <c r="G600" s="23">
        <f t="shared" ca="1" si="97"/>
        <v>208</v>
      </c>
      <c r="H600" s="23">
        <f t="shared" ca="1" si="98"/>
        <v>643</v>
      </c>
      <c r="I600" s="23">
        <f t="shared" ca="1" si="99"/>
        <v>376</v>
      </c>
      <c r="J600" s="23">
        <f t="shared" ca="1" si="100"/>
        <v>643</v>
      </c>
      <c r="K600" s="23">
        <f t="shared" ca="1" si="101"/>
        <v>1019</v>
      </c>
      <c r="L600" s="23">
        <f t="shared" ca="1" si="94"/>
        <v>64765</v>
      </c>
    </row>
    <row r="601" spans="3:12">
      <c r="C601" s="23">
        <f t="shared" si="92"/>
        <v>420</v>
      </c>
      <c r="D601" s="23">
        <f t="shared" si="93"/>
        <v>168</v>
      </c>
      <c r="E601" s="23">
        <f t="shared" si="95"/>
        <v>252</v>
      </c>
      <c r="F601" s="23">
        <f t="shared" si="96"/>
        <v>700</v>
      </c>
      <c r="G601" s="23">
        <f t="shared" ca="1" si="97"/>
        <v>192</v>
      </c>
      <c r="H601" s="23">
        <f t="shared" ca="1" si="98"/>
        <v>624</v>
      </c>
      <c r="I601" s="23">
        <f t="shared" ca="1" si="99"/>
        <v>360</v>
      </c>
      <c r="J601" s="23">
        <f t="shared" ca="1" si="100"/>
        <v>624</v>
      </c>
      <c r="K601" s="23">
        <f t="shared" ca="1" si="101"/>
        <v>984</v>
      </c>
      <c r="L601" s="23">
        <f t="shared" ca="1" si="94"/>
        <v>60040</v>
      </c>
    </row>
    <row r="602" spans="3:12">
      <c r="C602" s="23">
        <f t="shared" si="92"/>
        <v>420</v>
      </c>
      <c r="D602" s="23">
        <f t="shared" si="93"/>
        <v>168</v>
      </c>
      <c r="E602" s="23">
        <f t="shared" si="95"/>
        <v>252</v>
      </c>
      <c r="F602" s="23">
        <f t="shared" si="96"/>
        <v>700</v>
      </c>
      <c r="G602" s="23">
        <f t="shared" ca="1" si="97"/>
        <v>225</v>
      </c>
      <c r="H602" s="23">
        <f t="shared" ca="1" si="98"/>
        <v>651</v>
      </c>
      <c r="I602" s="23">
        <f t="shared" ca="1" si="99"/>
        <v>393</v>
      </c>
      <c r="J602" s="23">
        <f t="shared" ca="1" si="100"/>
        <v>651</v>
      </c>
      <c r="K602" s="23">
        <f t="shared" ca="1" si="101"/>
        <v>1044</v>
      </c>
      <c r="L602" s="23">
        <f t="shared" ca="1" si="94"/>
        <v>68140</v>
      </c>
    </row>
    <row r="603" spans="3:12">
      <c r="C603" s="23">
        <f t="shared" si="92"/>
        <v>420</v>
      </c>
      <c r="D603" s="23">
        <f t="shared" si="93"/>
        <v>168</v>
      </c>
      <c r="E603" s="23">
        <f t="shared" si="95"/>
        <v>252</v>
      </c>
      <c r="F603" s="23">
        <f t="shared" si="96"/>
        <v>700</v>
      </c>
      <c r="G603" s="23">
        <f t="shared" ca="1" si="97"/>
        <v>201</v>
      </c>
      <c r="H603" s="23">
        <f t="shared" ca="1" si="98"/>
        <v>712</v>
      </c>
      <c r="I603" s="23">
        <f t="shared" ca="1" si="99"/>
        <v>369</v>
      </c>
      <c r="J603" s="23">
        <f t="shared" ca="1" si="100"/>
        <v>712</v>
      </c>
      <c r="K603" s="23">
        <f t="shared" ca="1" si="101"/>
        <v>1081</v>
      </c>
      <c r="L603" s="23">
        <f t="shared" ca="1" si="94"/>
        <v>73135</v>
      </c>
    </row>
    <row r="604" spans="3:12">
      <c r="C604" s="23">
        <f t="shared" si="92"/>
        <v>420</v>
      </c>
      <c r="D604" s="23">
        <f t="shared" si="93"/>
        <v>168</v>
      </c>
      <c r="E604" s="23">
        <f t="shared" si="95"/>
        <v>252</v>
      </c>
      <c r="F604" s="23">
        <f t="shared" si="96"/>
        <v>700</v>
      </c>
      <c r="G604" s="23">
        <f t="shared" ca="1" si="97"/>
        <v>261</v>
      </c>
      <c r="H604" s="23">
        <f t="shared" ca="1" si="98"/>
        <v>572</v>
      </c>
      <c r="I604" s="23">
        <f t="shared" ca="1" si="99"/>
        <v>420</v>
      </c>
      <c r="J604" s="23">
        <f t="shared" ca="1" si="100"/>
        <v>572</v>
      </c>
      <c r="K604" s="23">
        <f t="shared" ca="1" si="101"/>
        <v>992</v>
      </c>
      <c r="L604" s="23">
        <f t="shared" ca="1" si="94"/>
        <v>61120</v>
      </c>
    </row>
    <row r="605" spans="3:12">
      <c r="C605" s="23">
        <f t="shared" si="92"/>
        <v>420</v>
      </c>
      <c r="D605" s="23">
        <f t="shared" si="93"/>
        <v>168</v>
      </c>
      <c r="E605" s="23">
        <f t="shared" si="95"/>
        <v>252</v>
      </c>
      <c r="F605" s="23">
        <f t="shared" si="96"/>
        <v>700</v>
      </c>
      <c r="G605" s="23">
        <f t="shared" ca="1" si="97"/>
        <v>196</v>
      </c>
      <c r="H605" s="23">
        <f t="shared" ca="1" si="98"/>
        <v>604</v>
      </c>
      <c r="I605" s="23">
        <f t="shared" ca="1" si="99"/>
        <v>364</v>
      </c>
      <c r="J605" s="23">
        <f t="shared" ca="1" si="100"/>
        <v>604</v>
      </c>
      <c r="K605" s="23">
        <f t="shared" ca="1" si="101"/>
        <v>968</v>
      </c>
      <c r="L605" s="23">
        <f t="shared" ca="1" si="94"/>
        <v>57880</v>
      </c>
    </row>
    <row r="606" spans="3:12">
      <c r="C606" s="23">
        <f t="shared" si="92"/>
        <v>420</v>
      </c>
      <c r="D606" s="23">
        <f t="shared" si="93"/>
        <v>168</v>
      </c>
      <c r="E606" s="23">
        <f t="shared" si="95"/>
        <v>252</v>
      </c>
      <c r="F606" s="23">
        <f t="shared" si="96"/>
        <v>700</v>
      </c>
      <c r="G606" s="23">
        <f t="shared" ca="1" si="97"/>
        <v>176</v>
      </c>
      <c r="H606" s="23">
        <f t="shared" ca="1" si="98"/>
        <v>625</v>
      </c>
      <c r="I606" s="23">
        <f t="shared" ca="1" si="99"/>
        <v>344</v>
      </c>
      <c r="J606" s="23">
        <f t="shared" ca="1" si="100"/>
        <v>625</v>
      </c>
      <c r="K606" s="23">
        <f t="shared" ca="1" si="101"/>
        <v>969</v>
      </c>
      <c r="L606" s="23">
        <f t="shared" ca="1" si="94"/>
        <v>58015</v>
      </c>
    </row>
    <row r="607" spans="3:12">
      <c r="C607" s="23">
        <f t="shared" si="92"/>
        <v>420</v>
      </c>
      <c r="D607" s="23">
        <f t="shared" si="93"/>
        <v>168</v>
      </c>
      <c r="E607" s="23">
        <f t="shared" si="95"/>
        <v>252</v>
      </c>
      <c r="F607" s="23">
        <f t="shared" si="96"/>
        <v>700</v>
      </c>
      <c r="G607" s="23">
        <f t="shared" ca="1" si="97"/>
        <v>205</v>
      </c>
      <c r="H607" s="23">
        <f t="shared" ca="1" si="98"/>
        <v>636</v>
      </c>
      <c r="I607" s="23">
        <f t="shared" ca="1" si="99"/>
        <v>373</v>
      </c>
      <c r="J607" s="23">
        <f t="shared" ca="1" si="100"/>
        <v>636</v>
      </c>
      <c r="K607" s="23">
        <f t="shared" ca="1" si="101"/>
        <v>1009</v>
      </c>
      <c r="L607" s="23">
        <f t="shared" ca="1" si="94"/>
        <v>63415</v>
      </c>
    </row>
    <row r="608" spans="3:12">
      <c r="C608" s="23">
        <f t="shared" si="92"/>
        <v>420</v>
      </c>
      <c r="D608" s="23">
        <f t="shared" si="93"/>
        <v>168</v>
      </c>
      <c r="E608" s="23">
        <f t="shared" si="95"/>
        <v>252</v>
      </c>
      <c r="F608" s="23">
        <f t="shared" si="96"/>
        <v>700</v>
      </c>
      <c r="G608" s="23">
        <f t="shared" ca="1" si="97"/>
        <v>141</v>
      </c>
      <c r="H608" s="23">
        <f t="shared" ca="1" si="98"/>
        <v>631</v>
      </c>
      <c r="I608" s="23">
        <f t="shared" ca="1" si="99"/>
        <v>309</v>
      </c>
      <c r="J608" s="23">
        <f t="shared" ca="1" si="100"/>
        <v>631</v>
      </c>
      <c r="K608" s="23">
        <f t="shared" ca="1" si="101"/>
        <v>940</v>
      </c>
      <c r="L608" s="23">
        <f t="shared" ca="1" si="94"/>
        <v>54100</v>
      </c>
    </row>
    <row r="609" spans="3:12">
      <c r="C609" s="23">
        <f t="shared" si="92"/>
        <v>420</v>
      </c>
      <c r="D609" s="23">
        <f t="shared" si="93"/>
        <v>168</v>
      </c>
      <c r="E609" s="23">
        <f t="shared" si="95"/>
        <v>252</v>
      </c>
      <c r="F609" s="23">
        <f t="shared" si="96"/>
        <v>700</v>
      </c>
      <c r="G609" s="23">
        <f t="shared" ca="1" si="97"/>
        <v>204</v>
      </c>
      <c r="H609" s="23">
        <f t="shared" ca="1" si="98"/>
        <v>633</v>
      </c>
      <c r="I609" s="23">
        <f t="shared" ca="1" si="99"/>
        <v>372</v>
      </c>
      <c r="J609" s="23">
        <f t="shared" ca="1" si="100"/>
        <v>633</v>
      </c>
      <c r="K609" s="23">
        <f t="shared" ca="1" si="101"/>
        <v>1005</v>
      </c>
      <c r="L609" s="23">
        <f t="shared" ca="1" si="94"/>
        <v>62875</v>
      </c>
    </row>
    <row r="610" spans="3:12">
      <c r="C610" s="23">
        <f t="shared" si="92"/>
        <v>420</v>
      </c>
      <c r="D610" s="23">
        <f t="shared" si="93"/>
        <v>168</v>
      </c>
      <c r="E610" s="23">
        <f t="shared" si="95"/>
        <v>252</v>
      </c>
      <c r="F610" s="23">
        <f t="shared" si="96"/>
        <v>700</v>
      </c>
      <c r="G610" s="23">
        <f t="shared" ca="1" si="97"/>
        <v>234</v>
      </c>
      <c r="H610" s="23">
        <f t="shared" ca="1" si="98"/>
        <v>661</v>
      </c>
      <c r="I610" s="23">
        <f t="shared" ca="1" si="99"/>
        <v>402</v>
      </c>
      <c r="J610" s="23">
        <f t="shared" ca="1" si="100"/>
        <v>661</v>
      </c>
      <c r="K610" s="23">
        <f t="shared" ca="1" si="101"/>
        <v>1063</v>
      </c>
      <c r="L610" s="23">
        <f t="shared" ca="1" si="94"/>
        <v>70705</v>
      </c>
    </row>
    <row r="611" spans="3:12">
      <c r="C611" s="23">
        <f t="shared" si="92"/>
        <v>420</v>
      </c>
      <c r="D611" s="23">
        <f t="shared" si="93"/>
        <v>168</v>
      </c>
      <c r="E611" s="23">
        <f t="shared" si="95"/>
        <v>252</v>
      </c>
      <c r="F611" s="23">
        <f t="shared" si="96"/>
        <v>700</v>
      </c>
      <c r="G611" s="23">
        <f t="shared" ca="1" si="97"/>
        <v>206</v>
      </c>
      <c r="H611" s="23">
        <f t="shared" ca="1" si="98"/>
        <v>573</v>
      </c>
      <c r="I611" s="23">
        <f t="shared" ca="1" si="99"/>
        <v>374</v>
      </c>
      <c r="J611" s="23">
        <f t="shared" ca="1" si="100"/>
        <v>573</v>
      </c>
      <c r="K611" s="23">
        <f t="shared" ca="1" si="101"/>
        <v>947</v>
      </c>
      <c r="L611" s="23">
        <f t="shared" ca="1" si="94"/>
        <v>55045</v>
      </c>
    </row>
    <row r="612" spans="3:12">
      <c r="C612" s="23">
        <f t="shared" si="92"/>
        <v>420</v>
      </c>
      <c r="D612" s="23">
        <f t="shared" si="93"/>
        <v>168</v>
      </c>
      <c r="E612" s="23">
        <f t="shared" si="95"/>
        <v>252</v>
      </c>
      <c r="F612" s="23">
        <f t="shared" si="96"/>
        <v>700</v>
      </c>
      <c r="G612" s="23">
        <f t="shared" ca="1" si="97"/>
        <v>186</v>
      </c>
      <c r="H612" s="23">
        <f t="shared" ca="1" si="98"/>
        <v>703</v>
      </c>
      <c r="I612" s="23">
        <f t="shared" ca="1" si="99"/>
        <v>354</v>
      </c>
      <c r="J612" s="23">
        <f t="shared" ca="1" si="100"/>
        <v>703</v>
      </c>
      <c r="K612" s="23">
        <f t="shared" ca="1" si="101"/>
        <v>1057</v>
      </c>
      <c r="L612" s="23">
        <f t="shared" ca="1" si="94"/>
        <v>69895</v>
      </c>
    </row>
    <row r="613" spans="3:12">
      <c r="C613" s="23">
        <f t="shared" si="92"/>
        <v>420</v>
      </c>
      <c r="D613" s="23">
        <f t="shared" si="93"/>
        <v>168</v>
      </c>
      <c r="E613" s="23">
        <f t="shared" si="95"/>
        <v>252</v>
      </c>
      <c r="F613" s="23">
        <f t="shared" si="96"/>
        <v>700</v>
      </c>
      <c r="G613" s="23">
        <f t="shared" ca="1" si="97"/>
        <v>239</v>
      </c>
      <c r="H613" s="23">
        <f t="shared" ca="1" si="98"/>
        <v>598</v>
      </c>
      <c r="I613" s="23">
        <f t="shared" ca="1" si="99"/>
        <v>407</v>
      </c>
      <c r="J613" s="23">
        <f t="shared" ca="1" si="100"/>
        <v>598</v>
      </c>
      <c r="K613" s="23">
        <f t="shared" ca="1" si="101"/>
        <v>1005</v>
      </c>
      <c r="L613" s="23">
        <f t="shared" ca="1" si="94"/>
        <v>62875</v>
      </c>
    </row>
    <row r="614" spans="3:12">
      <c r="C614" s="23">
        <f t="shared" si="92"/>
        <v>420</v>
      </c>
      <c r="D614" s="23">
        <f t="shared" si="93"/>
        <v>168</v>
      </c>
      <c r="E614" s="23">
        <f t="shared" si="95"/>
        <v>252</v>
      </c>
      <c r="F614" s="23">
        <f t="shared" si="96"/>
        <v>700</v>
      </c>
      <c r="G614" s="23">
        <f t="shared" ca="1" si="97"/>
        <v>231</v>
      </c>
      <c r="H614" s="23">
        <f t="shared" ca="1" si="98"/>
        <v>628</v>
      </c>
      <c r="I614" s="23">
        <f t="shared" ca="1" si="99"/>
        <v>399</v>
      </c>
      <c r="J614" s="23">
        <f t="shared" ca="1" si="100"/>
        <v>628</v>
      </c>
      <c r="K614" s="23">
        <f t="shared" ca="1" si="101"/>
        <v>1027</v>
      </c>
      <c r="L614" s="23">
        <f t="shared" ca="1" si="94"/>
        <v>65845</v>
      </c>
    </row>
    <row r="615" spans="3:12">
      <c r="C615" s="23">
        <f t="shared" si="92"/>
        <v>420</v>
      </c>
      <c r="D615" s="23">
        <f t="shared" si="93"/>
        <v>168</v>
      </c>
      <c r="E615" s="23">
        <f t="shared" si="95"/>
        <v>252</v>
      </c>
      <c r="F615" s="23">
        <f t="shared" si="96"/>
        <v>700</v>
      </c>
      <c r="G615" s="23">
        <f t="shared" ca="1" si="97"/>
        <v>207</v>
      </c>
      <c r="H615" s="23">
        <f t="shared" ca="1" si="98"/>
        <v>612</v>
      </c>
      <c r="I615" s="23">
        <f t="shared" ca="1" si="99"/>
        <v>375</v>
      </c>
      <c r="J615" s="23">
        <f t="shared" ca="1" si="100"/>
        <v>612</v>
      </c>
      <c r="K615" s="23">
        <f t="shared" ca="1" si="101"/>
        <v>987</v>
      </c>
      <c r="L615" s="23">
        <f t="shared" ca="1" si="94"/>
        <v>60445</v>
      </c>
    </row>
    <row r="616" spans="3:12">
      <c r="C616" s="23">
        <f t="shared" si="92"/>
        <v>420</v>
      </c>
      <c r="D616" s="23">
        <f t="shared" si="93"/>
        <v>168</v>
      </c>
      <c r="E616" s="23">
        <f t="shared" si="95"/>
        <v>252</v>
      </c>
      <c r="F616" s="23">
        <f t="shared" si="96"/>
        <v>700</v>
      </c>
      <c r="G616" s="23">
        <f t="shared" ca="1" si="97"/>
        <v>229</v>
      </c>
      <c r="H616" s="23">
        <f t="shared" ca="1" si="98"/>
        <v>632</v>
      </c>
      <c r="I616" s="23">
        <f t="shared" ca="1" si="99"/>
        <v>397</v>
      </c>
      <c r="J616" s="23">
        <f t="shared" ca="1" si="100"/>
        <v>632</v>
      </c>
      <c r="K616" s="23">
        <f t="shared" ca="1" si="101"/>
        <v>1029</v>
      </c>
      <c r="L616" s="23">
        <f t="shared" ca="1" si="94"/>
        <v>66115</v>
      </c>
    </row>
    <row r="617" spans="3:12">
      <c r="C617" s="23">
        <f t="shared" si="92"/>
        <v>420</v>
      </c>
      <c r="D617" s="23">
        <f t="shared" si="93"/>
        <v>168</v>
      </c>
      <c r="E617" s="23">
        <f t="shared" si="95"/>
        <v>252</v>
      </c>
      <c r="F617" s="23">
        <f t="shared" si="96"/>
        <v>700</v>
      </c>
      <c r="G617" s="23">
        <f t="shared" ca="1" si="97"/>
        <v>215</v>
      </c>
      <c r="H617" s="23">
        <f t="shared" ca="1" si="98"/>
        <v>643</v>
      </c>
      <c r="I617" s="23">
        <f t="shared" ca="1" si="99"/>
        <v>383</v>
      </c>
      <c r="J617" s="23">
        <f t="shared" ca="1" si="100"/>
        <v>643</v>
      </c>
      <c r="K617" s="23">
        <f t="shared" ca="1" si="101"/>
        <v>1026</v>
      </c>
      <c r="L617" s="23">
        <f t="shared" ca="1" si="94"/>
        <v>65710</v>
      </c>
    </row>
    <row r="618" spans="3:12">
      <c r="C618" s="23">
        <f t="shared" si="92"/>
        <v>420</v>
      </c>
      <c r="D618" s="23">
        <f t="shared" si="93"/>
        <v>168</v>
      </c>
      <c r="E618" s="23">
        <f t="shared" si="95"/>
        <v>252</v>
      </c>
      <c r="F618" s="23">
        <f t="shared" si="96"/>
        <v>700</v>
      </c>
      <c r="G618" s="23">
        <f t="shared" ca="1" si="97"/>
        <v>191</v>
      </c>
      <c r="H618" s="23">
        <f t="shared" ca="1" si="98"/>
        <v>532</v>
      </c>
      <c r="I618" s="23">
        <f t="shared" ca="1" si="99"/>
        <v>359</v>
      </c>
      <c r="J618" s="23">
        <f t="shared" ca="1" si="100"/>
        <v>532</v>
      </c>
      <c r="K618" s="23">
        <f t="shared" ca="1" si="101"/>
        <v>891</v>
      </c>
      <c r="L618" s="23">
        <f t="shared" ca="1" si="94"/>
        <v>47485</v>
      </c>
    </row>
    <row r="619" spans="3:12">
      <c r="C619" s="23">
        <f t="shared" si="92"/>
        <v>420</v>
      </c>
      <c r="D619" s="23">
        <f t="shared" si="93"/>
        <v>168</v>
      </c>
      <c r="E619" s="23">
        <f t="shared" si="95"/>
        <v>252</v>
      </c>
      <c r="F619" s="23">
        <f t="shared" si="96"/>
        <v>700</v>
      </c>
      <c r="G619" s="23">
        <f t="shared" ca="1" si="97"/>
        <v>272</v>
      </c>
      <c r="H619" s="23">
        <f t="shared" ca="1" si="98"/>
        <v>537</v>
      </c>
      <c r="I619" s="23">
        <f t="shared" ca="1" si="99"/>
        <v>420</v>
      </c>
      <c r="J619" s="23">
        <f t="shared" ca="1" si="100"/>
        <v>537</v>
      </c>
      <c r="K619" s="23">
        <f t="shared" ca="1" si="101"/>
        <v>957</v>
      </c>
      <c r="L619" s="23">
        <f t="shared" ca="1" si="94"/>
        <v>56395</v>
      </c>
    </row>
    <row r="620" spans="3:12">
      <c r="C620" s="23">
        <f t="shared" si="92"/>
        <v>420</v>
      </c>
      <c r="D620" s="23">
        <f t="shared" si="93"/>
        <v>168</v>
      </c>
      <c r="E620" s="23">
        <f t="shared" si="95"/>
        <v>252</v>
      </c>
      <c r="F620" s="23">
        <f t="shared" si="96"/>
        <v>700</v>
      </c>
      <c r="G620" s="23">
        <f t="shared" ca="1" si="97"/>
        <v>195</v>
      </c>
      <c r="H620" s="23">
        <f t="shared" ca="1" si="98"/>
        <v>719</v>
      </c>
      <c r="I620" s="23">
        <f t="shared" ca="1" si="99"/>
        <v>363</v>
      </c>
      <c r="J620" s="23">
        <f t="shared" ca="1" si="100"/>
        <v>719</v>
      </c>
      <c r="K620" s="23">
        <f t="shared" ca="1" si="101"/>
        <v>1082</v>
      </c>
      <c r="L620" s="23">
        <f t="shared" ca="1" si="94"/>
        <v>73270</v>
      </c>
    </row>
    <row r="621" spans="3:12">
      <c r="C621" s="23">
        <f t="shared" si="92"/>
        <v>420</v>
      </c>
      <c r="D621" s="23">
        <f t="shared" si="93"/>
        <v>168</v>
      </c>
      <c r="E621" s="23">
        <f t="shared" si="95"/>
        <v>252</v>
      </c>
      <c r="F621" s="23">
        <f t="shared" si="96"/>
        <v>700</v>
      </c>
      <c r="G621" s="23">
        <f t="shared" ca="1" si="97"/>
        <v>229</v>
      </c>
      <c r="H621" s="23">
        <f t="shared" ca="1" si="98"/>
        <v>622</v>
      </c>
      <c r="I621" s="23">
        <f t="shared" ca="1" si="99"/>
        <v>397</v>
      </c>
      <c r="J621" s="23">
        <f t="shared" ca="1" si="100"/>
        <v>622</v>
      </c>
      <c r="K621" s="23">
        <f t="shared" ca="1" si="101"/>
        <v>1019</v>
      </c>
      <c r="L621" s="23">
        <f t="shared" ca="1" si="94"/>
        <v>64765</v>
      </c>
    </row>
    <row r="622" spans="3:12">
      <c r="C622" s="23">
        <f t="shared" si="92"/>
        <v>420</v>
      </c>
      <c r="D622" s="23">
        <f t="shared" si="93"/>
        <v>168</v>
      </c>
      <c r="E622" s="23">
        <f t="shared" si="95"/>
        <v>252</v>
      </c>
      <c r="F622" s="23">
        <f t="shared" si="96"/>
        <v>700</v>
      </c>
      <c r="G622" s="23">
        <f t="shared" ca="1" si="97"/>
        <v>251</v>
      </c>
      <c r="H622" s="23">
        <f t="shared" ca="1" si="98"/>
        <v>667</v>
      </c>
      <c r="I622" s="23">
        <f t="shared" ca="1" si="99"/>
        <v>419</v>
      </c>
      <c r="J622" s="23">
        <f t="shared" ca="1" si="100"/>
        <v>667</v>
      </c>
      <c r="K622" s="23">
        <f t="shared" ca="1" si="101"/>
        <v>1086</v>
      </c>
      <c r="L622" s="23">
        <f t="shared" ca="1" si="94"/>
        <v>73810</v>
      </c>
    </row>
    <row r="623" spans="3:12">
      <c r="C623" s="23">
        <f t="shared" si="92"/>
        <v>420</v>
      </c>
      <c r="D623" s="23">
        <f t="shared" si="93"/>
        <v>168</v>
      </c>
      <c r="E623" s="23">
        <f t="shared" si="95"/>
        <v>252</v>
      </c>
      <c r="F623" s="23">
        <f t="shared" si="96"/>
        <v>700</v>
      </c>
      <c r="G623" s="23">
        <f t="shared" ca="1" si="97"/>
        <v>234</v>
      </c>
      <c r="H623" s="23">
        <f t="shared" ca="1" si="98"/>
        <v>592</v>
      </c>
      <c r="I623" s="23">
        <f t="shared" ca="1" si="99"/>
        <v>402</v>
      </c>
      <c r="J623" s="23">
        <f t="shared" ca="1" si="100"/>
        <v>592</v>
      </c>
      <c r="K623" s="23">
        <f t="shared" ca="1" si="101"/>
        <v>994</v>
      </c>
      <c r="L623" s="23">
        <f t="shared" ca="1" si="94"/>
        <v>61390</v>
      </c>
    </row>
    <row r="624" spans="3:12">
      <c r="C624" s="23">
        <f t="shared" si="92"/>
        <v>420</v>
      </c>
      <c r="D624" s="23">
        <f t="shared" si="93"/>
        <v>168</v>
      </c>
      <c r="E624" s="23">
        <f t="shared" si="95"/>
        <v>252</v>
      </c>
      <c r="F624" s="23">
        <f t="shared" si="96"/>
        <v>700</v>
      </c>
      <c r="G624" s="23">
        <f t="shared" ca="1" si="97"/>
        <v>220</v>
      </c>
      <c r="H624" s="23">
        <f t="shared" ca="1" si="98"/>
        <v>689</v>
      </c>
      <c r="I624" s="23">
        <f t="shared" ca="1" si="99"/>
        <v>388</v>
      </c>
      <c r="J624" s="23">
        <f t="shared" ca="1" si="100"/>
        <v>689</v>
      </c>
      <c r="K624" s="23">
        <f t="shared" ca="1" si="101"/>
        <v>1077</v>
      </c>
      <c r="L624" s="23">
        <f t="shared" ca="1" si="94"/>
        <v>72595</v>
      </c>
    </row>
    <row r="625" spans="3:12">
      <c r="C625" s="23">
        <f t="shared" si="92"/>
        <v>420</v>
      </c>
      <c r="D625" s="23">
        <f t="shared" si="93"/>
        <v>168</v>
      </c>
      <c r="E625" s="23">
        <f t="shared" si="95"/>
        <v>252</v>
      </c>
      <c r="F625" s="23">
        <f t="shared" si="96"/>
        <v>700</v>
      </c>
      <c r="G625" s="23">
        <f t="shared" ca="1" si="97"/>
        <v>204</v>
      </c>
      <c r="H625" s="23">
        <f t="shared" ca="1" si="98"/>
        <v>570</v>
      </c>
      <c r="I625" s="23">
        <f t="shared" ca="1" si="99"/>
        <v>372</v>
      </c>
      <c r="J625" s="23">
        <f t="shared" ca="1" si="100"/>
        <v>570</v>
      </c>
      <c r="K625" s="23">
        <f t="shared" ca="1" si="101"/>
        <v>942</v>
      </c>
      <c r="L625" s="23">
        <f t="shared" ca="1" si="94"/>
        <v>54370</v>
      </c>
    </row>
    <row r="626" spans="3:12">
      <c r="C626" s="23">
        <f t="shared" si="92"/>
        <v>420</v>
      </c>
      <c r="D626" s="23">
        <f t="shared" si="93"/>
        <v>168</v>
      </c>
      <c r="E626" s="23">
        <f t="shared" si="95"/>
        <v>252</v>
      </c>
      <c r="F626" s="23">
        <f t="shared" si="96"/>
        <v>700</v>
      </c>
      <c r="G626" s="23">
        <f t="shared" ca="1" si="97"/>
        <v>193</v>
      </c>
      <c r="H626" s="23">
        <f t="shared" ca="1" si="98"/>
        <v>650</v>
      </c>
      <c r="I626" s="23">
        <f t="shared" ca="1" si="99"/>
        <v>361</v>
      </c>
      <c r="J626" s="23">
        <f t="shared" ca="1" si="100"/>
        <v>650</v>
      </c>
      <c r="K626" s="23">
        <f t="shared" ca="1" si="101"/>
        <v>1011</v>
      </c>
      <c r="L626" s="23">
        <f t="shared" ca="1" si="94"/>
        <v>63685</v>
      </c>
    </row>
    <row r="627" spans="3:12">
      <c r="C627" s="23">
        <f t="shared" si="92"/>
        <v>420</v>
      </c>
      <c r="D627" s="23">
        <f t="shared" si="93"/>
        <v>168</v>
      </c>
      <c r="E627" s="23">
        <f t="shared" si="95"/>
        <v>252</v>
      </c>
      <c r="F627" s="23">
        <f t="shared" si="96"/>
        <v>700</v>
      </c>
      <c r="G627" s="23">
        <f t="shared" ca="1" si="97"/>
        <v>206</v>
      </c>
      <c r="H627" s="23">
        <f t="shared" ca="1" si="98"/>
        <v>710</v>
      </c>
      <c r="I627" s="23">
        <f t="shared" ca="1" si="99"/>
        <v>374</v>
      </c>
      <c r="J627" s="23">
        <f t="shared" ca="1" si="100"/>
        <v>710</v>
      </c>
      <c r="K627" s="23">
        <f t="shared" ca="1" si="101"/>
        <v>1084</v>
      </c>
      <c r="L627" s="23">
        <f t="shared" ca="1" si="94"/>
        <v>73540</v>
      </c>
    </row>
    <row r="628" spans="3:12">
      <c r="C628" s="23">
        <f t="shared" si="92"/>
        <v>420</v>
      </c>
      <c r="D628" s="23">
        <f t="shared" si="93"/>
        <v>168</v>
      </c>
      <c r="E628" s="23">
        <f t="shared" si="95"/>
        <v>252</v>
      </c>
      <c r="F628" s="23">
        <f t="shared" si="96"/>
        <v>700</v>
      </c>
      <c r="G628" s="23">
        <f t="shared" ca="1" si="97"/>
        <v>226</v>
      </c>
      <c r="H628" s="23">
        <f t="shared" ca="1" si="98"/>
        <v>683</v>
      </c>
      <c r="I628" s="23">
        <f t="shared" ca="1" si="99"/>
        <v>394</v>
      </c>
      <c r="J628" s="23">
        <f t="shared" ca="1" si="100"/>
        <v>683</v>
      </c>
      <c r="K628" s="23">
        <f t="shared" ca="1" si="101"/>
        <v>1077</v>
      </c>
      <c r="L628" s="23">
        <f t="shared" ca="1" si="94"/>
        <v>72595</v>
      </c>
    </row>
    <row r="629" spans="3:12">
      <c r="C629" s="23">
        <f t="shared" si="92"/>
        <v>420</v>
      </c>
      <c r="D629" s="23">
        <f t="shared" si="93"/>
        <v>168</v>
      </c>
      <c r="E629" s="23">
        <f t="shared" si="95"/>
        <v>252</v>
      </c>
      <c r="F629" s="23">
        <f t="shared" si="96"/>
        <v>700</v>
      </c>
      <c r="G629" s="23">
        <f t="shared" ca="1" si="97"/>
        <v>226</v>
      </c>
      <c r="H629" s="23">
        <f t="shared" ca="1" si="98"/>
        <v>783</v>
      </c>
      <c r="I629" s="23">
        <f t="shared" ca="1" si="99"/>
        <v>394</v>
      </c>
      <c r="J629" s="23">
        <f t="shared" ca="1" si="100"/>
        <v>726</v>
      </c>
      <c r="K629" s="23">
        <f t="shared" ca="1" si="101"/>
        <v>1120</v>
      </c>
      <c r="L629" s="23">
        <f t="shared" ca="1" si="94"/>
        <v>78400</v>
      </c>
    </row>
    <row r="630" spans="3:12">
      <c r="C630" s="23">
        <f t="shared" si="92"/>
        <v>420</v>
      </c>
      <c r="D630" s="23">
        <f t="shared" si="93"/>
        <v>168</v>
      </c>
      <c r="E630" s="23">
        <f t="shared" si="95"/>
        <v>252</v>
      </c>
      <c r="F630" s="23">
        <f t="shared" si="96"/>
        <v>700</v>
      </c>
      <c r="G630" s="23">
        <f t="shared" ca="1" si="97"/>
        <v>212</v>
      </c>
      <c r="H630" s="23">
        <f t="shared" ca="1" si="98"/>
        <v>762</v>
      </c>
      <c r="I630" s="23">
        <f t="shared" ca="1" si="99"/>
        <v>380</v>
      </c>
      <c r="J630" s="23">
        <f t="shared" ca="1" si="100"/>
        <v>740</v>
      </c>
      <c r="K630" s="23">
        <f t="shared" ca="1" si="101"/>
        <v>1120</v>
      </c>
      <c r="L630" s="23">
        <f t="shared" ca="1" si="94"/>
        <v>78400</v>
      </c>
    </row>
    <row r="631" spans="3:12">
      <c r="C631" s="23">
        <f t="shared" si="92"/>
        <v>420</v>
      </c>
      <c r="D631" s="23">
        <f t="shared" si="93"/>
        <v>168</v>
      </c>
      <c r="E631" s="23">
        <f t="shared" si="95"/>
        <v>252</v>
      </c>
      <c r="F631" s="23">
        <f t="shared" si="96"/>
        <v>700</v>
      </c>
      <c r="G631" s="23">
        <f t="shared" ca="1" si="97"/>
        <v>241</v>
      </c>
      <c r="H631" s="23">
        <f t="shared" ca="1" si="98"/>
        <v>746</v>
      </c>
      <c r="I631" s="23">
        <f t="shared" ca="1" si="99"/>
        <v>409</v>
      </c>
      <c r="J631" s="23">
        <f t="shared" ca="1" si="100"/>
        <v>711</v>
      </c>
      <c r="K631" s="23">
        <f t="shared" ca="1" si="101"/>
        <v>1120</v>
      </c>
      <c r="L631" s="23">
        <f t="shared" ca="1" si="94"/>
        <v>78400</v>
      </c>
    </row>
    <row r="632" spans="3:12">
      <c r="C632" s="23">
        <f t="shared" si="92"/>
        <v>420</v>
      </c>
      <c r="D632" s="23">
        <f t="shared" si="93"/>
        <v>168</v>
      </c>
      <c r="E632" s="23">
        <f t="shared" si="95"/>
        <v>252</v>
      </c>
      <c r="F632" s="23">
        <f t="shared" si="96"/>
        <v>700</v>
      </c>
      <c r="G632" s="23">
        <f t="shared" ca="1" si="97"/>
        <v>232</v>
      </c>
      <c r="H632" s="23">
        <f t="shared" ca="1" si="98"/>
        <v>508</v>
      </c>
      <c r="I632" s="23">
        <f t="shared" ca="1" si="99"/>
        <v>400</v>
      </c>
      <c r="J632" s="23">
        <f t="shared" ca="1" si="100"/>
        <v>508</v>
      </c>
      <c r="K632" s="23">
        <f t="shared" ca="1" si="101"/>
        <v>908</v>
      </c>
      <c r="L632" s="23">
        <f t="shared" ca="1" si="94"/>
        <v>49780</v>
      </c>
    </row>
    <row r="633" spans="3:12">
      <c r="C633" s="23">
        <f t="shared" si="92"/>
        <v>420</v>
      </c>
      <c r="D633" s="23">
        <f t="shared" si="93"/>
        <v>168</v>
      </c>
      <c r="E633" s="23">
        <f t="shared" si="95"/>
        <v>252</v>
      </c>
      <c r="F633" s="23">
        <f t="shared" si="96"/>
        <v>700</v>
      </c>
      <c r="G633" s="23">
        <f t="shared" ca="1" si="97"/>
        <v>204</v>
      </c>
      <c r="H633" s="23">
        <f t="shared" ca="1" si="98"/>
        <v>632</v>
      </c>
      <c r="I633" s="23">
        <f t="shared" ca="1" si="99"/>
        <v>372</v>
      </c>
      <c r="J633" s="23">
        <f t="shared" ca="1" si="100"/>
        <v>632</v>
      </c>
      <c r="K633" s="23">
        <f t="shared" ca="1" si="101"/>
        <v>1004</v>
      </c>
      <c r="L633" s="23">
        <f t="shared" ca="1" si="94"/>
        <v>62740</v>
      </c>
    </row>
    <row r="634" spans="3:12">
      <c r="C634" s="23">
        <f t="shared" si="92"/>
        <v>420</v>
      </c>
      <c r="D634" s="23">
        <f t="shared" si="93"/>
        <v>168</v>
      </c>
      <c r="E634" s="23">
        <f t="shared" si="95"/>
        <v>252</v>
      </c>
      <c r="F634" s="23">
        <f t="shared" si="96"/>
        <v>700</v>
      </c>
      <c r="G634" s="23">
        <f t="shared" ca="1" si="97"/>
        <v>231</v>
      </c>
      <c r="H634" s="23">
        <f t="shared" ca="1" si="98"/>
        <v>553</v>
      </c>
      <c r="I634" s="23">
        <f t="shared" ca="1" si="99"/>
        <v>399</v>
      </c>
      <c r="J634" s="23">
        <f t="shared" ca="1" si="100"/>
        <v>553</v>
      </c>
      <c r="K634" s="23">
        <f t="shared" ca="1" si="101"/>
        <v>952</v>
      </c>
      <c r="L634" s="23">
        <f t="shared" ca="1" si="94"/>
        <v>55720</v>
      </c>
    </row>
    <row r="635" spans="3:12">
      <c r="C635" s="23">
        <f t="shared" si="92"/>
        <v>420</v>
      </c>
      <c r="D635" s="23">
        <f t="shared" si="93"/>
        <v>168</v>
      </c>
      <c r="E635" s="23">
        <f t="shared" si="95"/>
        <v>252</v>
      </c>
      <c r="F635" s="23">
        <f t="shared" si="96"/>
        <v>700</v>
      </c>
      <c r="G635" s="23">
        <f t="shared" ca="1" si="97"/>
        <v>223</v>
      </c>
      <c r="H635" s="23">
        <f t="shared" ca="1" si="98"/>
        <v>696</v>
      </c>
      <c r="I635" s="23">
        <f t="shared" ca="1" si="99"/>
        <v>391</v>
      </c>
      <c r="J635" s="23">
        <f t="shared" ca="1" si="100"/>
        <v>696</v>
      </c>
      <c r="K635" s="23">
        <f t="shared" ca="1" si="101"/>
        <v>1087</v>
      </c>
      <c r="L635" s="23">
        <f t="shared" ca="1" si="94"/>
        <v>73945</v>
      </c>
    </row>
    <row r="636" spans="3:12">
      <c r="C636" s="23">
        <f t="shared" si="92"/>
        <v>420</v>
      </c>
      <c r="D636" s="23">
        <f t="shared" si="93"/>
        <v>168</v>
      </c>
      <c r="E636" s="23">
        <f t="shared" si="95"/>
        <v>252</v>
      </c>
      <c r="F636" s="23">
        <f t="shared" si="96"/>
        <v>700</v>
      </c>
      <c r="G636" s="23">
        <f t="shared" ca="1" si="97"/>
        <v>199</v>
      </c>
      <c r="H636" s="23">
        <f t="shared" ca="1" si="98"/>
        <v>684</v>
      </c>
      <c r="I636" s="23">
        <f t="shared" ca="1" si="99"/>
        <v>367</v>
      </c>
      <c r="J636" s="23">
        <f t="shared" ca="1" si="100"/>
        <v>684</v>
      </c>
      <c r="K636" s="23">
        <f t="shared" ca="1" si="101"/>
        <v>1051</v>
      </c>
      <c r="L636" s="23">
        <f t="shared" ca="1" si="94"/>
        <v>69085</v>
      </c>
    </row>
    <row r="637" spans="3:12">
      <c r="C637" s="23">
        <f t="shared" si="92"/>
        <v>420</v>
      </c>
      <c r="D637" s="23">
        <f t="shared" si="93"/>
        <v>168</v>
      </c>
      <c r="E637" s="23">
        <f t="shared" si="95"/>
        <v>252</v>
      </c>
      <c r="F637" s="23">
        <f t="shared" si="96"/>
        <v>700</v>
      </c>
      <c r="G637" s="23">
        <f t="shared" ca="1" si="97"/>
        <v>202</v>
      </c>
      <c r="H637" s="23">
        <f t="shared" ca="1" si="98"/>
        <v>757</v>
      </c>
      <c r="I637" s="23">
        <f t="shared" ca="1" si="99"/>
        <v>370</v>
      </c>
      <c r="J637" s="23">
        <f t="shared" ca="1" si="100"/>
        <v>750</v>
      </c>
      <c r="K637" s="23">
        <f t="shared" ca="1" si="101"/>
        <v>1120</v>
      </c>
      <c r="L637" s="23">
        <f t="shared" ca="1" si="94"/>
        <v>78400</v>
      </c>
    </row>
    <row r="638" spans="3:12">
      <c r="C638" s="23">
        <f t="shared" si="92"/>
        <v>420</v>
      </c>
      <c r="D638" s="23">
        <f t="shared" si="93"/>
        <v>168</v>
      </c>
      <c r="E638" s="23">
        <f t="shared" si="95"/>
        <v>252</v>
      </c>
      <c r="F638" s="23">
        <f t="shared" si="96"/>
        <v>700</v>
      </c>
      <c r="G638" s="23">
        <f t="shared" ca="1" si="97"/>
        <v>206</v>
      </c>
      <c r="H638" s="23">
        <f t="shared" ca="1" si="98"/>
        <v>655</v>
      </c>
      <c r="I638" s="23">
        <f t="shared" ca="1" si="99"/>
        <v>374</v>
      </c>
      <c r="J638" s="23">
        <f t="shared" ca="1" si="100"/>
        <v>655</v>
      </c>
      <c r="K638" s="23">
        <f t="shared" ca="1" si="101"/>
        <v>1029</v>
      </c>
      <c r="L638" s="23">
        <f t="shared" ca="1" si="94"/>
        <v>66115</v>
      </c>
    </row>
    <row r="639" spans="3:12">
      <c r="C639" s="23">
        <f t="shared" si="92"/>
        <v>420</v>
      </c>
      <c r="D639" s="23">
        <f t="shared" si="93"/>
        <v>168</v>
      </c>
      <c r="E639" s="23">
        <f t="shared" si="95"/>
        <v>252</v>
      </c>
      <c r="F639" s="23">
        <f t="shared" si="96"/>
        <v>700</v>
      </c>
      <c r="G639" s="23">
        <f t="shared" ca="1" si="97"/>
        <v>238</v>
      </c>
      <c r="H639" s="23">
        <f t="shared" ca="1" si="98"/>
        <v>601</v>
      </c>
      <c r="I639" s="23">
        <f t="shared" ca="1" si="99"/>
        <v>406</v>
      </c>
      <c r="J639" s="23">
        <f t="shared" ca="1" si="100"/>
        <v>601</v>
      </c>
      <c r="K639" s="23">
        <f t="shared" ca="1" si="101"/>
        <v>1007</v>
      </c>
      <c r="L639" s="23">
        <f t="shared" ca="1" si="94"/>
        <v>63145</v>
      </c>
    </row>
    <row r="640" spans="3:12">
      <c r="C640" s="23">
        <f t="shared" si="92"/>
        <v>420</v>
      </c>
      <c r="D640" s="23">
        <f t="shared" si="93"/>
        <v>168</v>
      </c>
      <c r="E640" s="23">
        <f t="shared" si="95"/>
        <v>252</v>
      </c>
      <c r="F640" s="23">
        <f t="shared" si="96"/>
        <v>700</v>
      </c>
      <c r="G640" s="23">
        <f t="shared" ca="1" si="97"/>
        <v>222</v>
      </c>
      <c r="H640" s="23">
        <f t="shared" ca="1" si="98"/>
        <v>492</v>
      </c>
      <c r="I640" s="23">
        <f t="shared" ca="1" si="99"/>
        <v>390</v>
      </c>
      <c r="J640" s="23">
        <f t="shared" ca="1" si="100"/>
        <v>492</v>
      </c>
      <c r="K640" s="23">
        <f t="shared" ca="1" si="101"/>
        <v>882</v>
      </c>
      <c r="L640" s="23">
        <f t="shared" ca="1" si="94"/>
        <v>46270</v>
      </c>
    </row>
    <row r="641" spans="3:12">
      <c r="C641" s="23">
        <f t="shared" si="92"/>
        <v>420</v>
      </c>
      <c r="D641" s="23">
        <f t="shared" si="93"/>
        <v>168</v>
      </c>
      <c r="E641" s="23">
        <f t="shared" si="95"/>
        <v>252</v>
      </c>
      <c r="F641" s="23">
        <f t="shared" si="96"/>
        <v>700</v>
      </c>
      <c r="G641" s="23">
        <f t="shared" ca="1" si="97"/>
        <v>205</v>
      </c>
      <c r="H641" s="23">
        <f t="shared" ca="1" si="98"/>
        <v>604</v>
      </c>
      <c r="I641" s="23">
        <f t="shared" ca="1" si="99"/>
        <v>373</v>
      </c>
      <c r="J641" s="23">
        <f t="shared" ca="1" si="100"/>
        <v>604</v>
      </c>
      <c r="K641" s="23">
        <f t="shared" ca="1" si="101"/>
        <v>977</v>
      </c>
      <c r="L641" s="23">
        <f t="shared" ca="1" si="94"/>
        <v>59095</v>
      </c>
    </row>
    <row r="642" spans="3:12">
      <c r="C642" s="23">
        <f t="shared" si="92"/>
        <v>420</v>
      </c>
      <c r="D642" s="23">
        <f t="shared" si="93"/>
        <v>168</v>
      </c>
      <c r="E642" s="23">
        <f t="shared" si="95"/>
        <v>252</v>
      </c>
      <c r="F642" s="23">
        <f t="shared" si="96"/>
        <v>700</v>
      </c>
      <c r="G642" s="23">
        <f t="shared" ca="1" si="97"/>
        <v>233</v>
      </c>
      <c r="H642" s="23">
        <f t="shared" ca="1" si="98"/>
        <v>615</v>
      </c>
      <c r="I642" s="23">
        <f t="shared" ca="1" si="99"/>
        <v>401</v>
      </c>
      <c r="J642" s="23">
        <f t="shared" ca="1" si="100"/>
        <v>615</v>
      </c>
      <c r="K642" s="23">
        <f t="shared" ca="1" si="101"/>
        <v>1016</v>
      </c>
      <c r="L642" s="23">
        <f t="shared" ca="1" si="94"/>
        <v>64360</v>
      </c>
    </row>
    <row r="643" spans="3:12">
      <c r="C643" s="23">
        <f t="shared" si="92"/>
        <v>420</v>
      </c>
      <c r="D643" s="23">
        <f t="shared" si="93"/>
        <v>168</v>
      </c>
      <c r="E643" s="23">
        <f t="shared" si="95"/>
        <v>252</v>
      </c>
      <c r="F643" s="23">
        <f t="shared" si="96"/>
        <v>700</v>
      </c>
      <c r="G643" s="23">
        <f t="shared" ca="1" si="97"/>
        <v>194</v>
      </c>
      <c r="H643" s="23">
        <f t="shared" ca="1" si="98"/>
        <v>442</v>
      </c>
      <c r="I643" s="23">
        <f t="shared" ca="1" si="99"/>
        <v>362</v>
      </c>
      <c r="J643" s="23">
        <f t="shared" ca="1" si="100"/>
        <v>442</v>
      </c>
      <c r="K643" s="23">
        <f t="shared" ca="1" si="101"/>
        <v>804</v>
      </c>
      <c r="L643" s="23">
        <f t="shared" ca="1" si="94"/>
        <v>35740</v>
      </c>
    </row>
    <row r="644" spans="3:12">
      <c r="C644" s="23">
        <f t="shared" si="92"/>
        <v>420</v>
      </c>
      <c r="D644" s="23">
        <f t="shared" si="93"/>
        <v>168</v>
      </c>
      <c r="E644" s="23">
        <f t="shared" si="95"/>
        <v>252</v>
      </c>
      <c r="F644" s="23">
        <f t="shared" si="96"/>
        <v>700</v>
      </c>
      <c r="G644" s="23">
        <f t="shared" ca="1" si="97"/>
        <v>207</v>
      </c>
      <c r="H644" s="23">
        <f t="shared" ca="1" si="98"/>
        <v>728</v>
      </c>
      <c r="I644" s="23">
        <f t="shared" ca="1" si="99"/>
        <v>375</v>
      </c>
      <c r="J644" s="23">
        <f t="shared" ca="1" si="100"/>
        <v>728</v>
      </c>
      <c r="K644" s="23">
        <f t="shared" ca="1" si="101"/>
        <v>1103</v>
      </c>
      <c r="L644" s="23">
        <f t="shared" ca="1" si="94"/>
        <v>76105</v>
      </c>
    </row>
    <row r="645" spans="3:12">
      <c r="C645" s="23">
        <f t="shared" si="92"/>
        <v>420</v>
      </c>
      <c r="D645" s="23">
        <f t="shared" si="93"/>
        <v>168</v>
      </c>
      <c r="E645" s="23">
        <f t="shared" si="95"/>
        <v>252</v>
      </c>
      <c r="F645" s="23">
        <f t="shared" si="96"/>
        <v>700</v>
      </c>
      <c r="G645" s="23">
        <f t="shared" ca="1" si="97"/>
        <v>216</v>
      </c>
      <c r="H645" s="23">
        <f t="shared" ca="1" si="98"/>
        <v>543</v>
      </c>
      <c r="I645" s="23">
        <f t="shared" ca="1" si="99"/>
        <v>384</v>
      </c>
      <c r="J645" s="23">
        <f t="shared" ca="1" si="100"/>
        <v>543</v>
      </c>
      <c r="K645" s="23">
        <f t="shared" ca="1" si="101"/>
        <v>927</v>
      </c>
      <c r="L645" s="23">
        <f t="shared" ca="1" si="94"/>
        <v>52345</v>
      </c>
    </row>
    <row r="646" spans="3:12">
      <c r="C646" s="23">
        <f t="shared" si="92"/>
        <v>420</v>
      </c>
      <c r="D646" s="23">
        <f t="shared" si="93"/>
        <v>168</v>
      </c>
      <c r="E646" s="23">
        <f t="shared" si="95"/>
        <v>252</v>
      </c>
      <c r="F646" s="23">
        <f t="shared" si="96"/>
        <v>700</v>
      </c>
      <c r="G646" s="23">
        <f t="shared" ca="1" si="97"/>
        <v>213</v>
      </c>
      <c r="H646" s="23">
        <f t="shared" ca="1" si="98"/>
        <v>631</v>
      </c>
      <c r="I646" s="23">
        <f t="shared" ca="1" si="99"/>
        <v>381</v>
      </c>
      <c r="J646" s="23">
        <f t="shared" ca="1" si="100"/>
        <v>631</v>
      </c>
      <c r="K646" s="23">
        <f t="shared" ca="1" si="101"/>
        <v>1012</v>
      </c>
      <c r="L646" s="23">
        <f t="shared" ca="1" si="94"/>
        <v>63820</v>
      </c>
    </row>
    <row r="647" spans="3:12">
      <c r="C647" s="23">
        <f t="shared" si="92"/>
        <v>420</v>
      </c>
      <c r="D647" s="23">
        <f t="shared" si="93"/>
        <v>168</v>
      </c>
      <c r="E647" s="23">
        <f t="shared" si="95"/>
        <v>252</v>
      </c>
      <c r="F647" s="23">
        <f t="shared" si="96"/>
        <v>700</v>
      </c>
      <c r="G647" s="23">
        <f t="shared" ca="1" si="97"/>
        <v>233</v>
      </c>
      <c r="H647" s="23">
        <f t="shared" ca="1" si="98"/>
        <v>538</v>
      </c>
      <c r="I647" s="23">
        <f t="shared" ca="1" si="99"/>
        <v>401</v>
      </c>
      <c r="J647" s="23">
        <f t="shared" ca="1" si="100"/>
        <v>538</v>
      </c>
      <c r="K647" s="23">
        <f t="shared" ca="1" si="101"/>
        <v>939</v>
      </c>
      <c r="L647" s="23">
        <f t="shared" ca="1" si="94"/>
        <v>53965</v>
      </c>
    </row>
    <row r="648" spans="3:12">
      <c r="C648" s="23">
        <f t="shared" si="92"/>
        <v>420</v>
      </c>
      <c r="D648" s="23">
        <f t="shared" si="93"/>
        <v>168</v>
      </c>
      <c r="E648" s="23">
        <f t="shared" si="95"/>
        <v>252</v>
      </c>
      <c r="F648" s="23">
        <f t="shared" si="96"/>
        <v>700</v>
      </c>
      <c r="G648" s="23">
        <f t="shared" ca="1" si="97"/>
        <v>234</v>
      </c>
      <c r="H648" s="23">
        <f t="shared" ca="1" si="98"/>
        <v>702</v>
      </c>
      <c r="I648" s="23">
        <f t="shared" ca="1" si="99"/>
        <v>402</v>
      </c>
      <c r="J648" s="23">
        <f t="shared" ca="1" si="100"/>
        <v>702</v>
      </c>
      <c r="K648" s="23">
        <f t="shared" ca="1" si="101"/>
        <v>1104</v>
      </c>
      <c r="L648" s="23">
        <f t="shared" ca="1" si="94"/>
        <v>76240</v>
      </c>
    </row>
    <row r="649" spans="3:12">
      <c r="C649" s="23">
        <f t="shared" si="92"/>
        <v>420</v>
      </c>
      <c r="D649" s="23">
        <f t="shared" si="93"/>
        <v>168</v>
      </c>
      <c r="E649" s="23">
        <f t="shared" si="95"/>
        <v>252</v>
      </c>
      <c r="F649" s="23">
        <f t="shared" si="96"/>
        <v>700</v>
      </c>
      <c r="G649" s="23">
        <f t="shared" ca="1" si="97"/>
        <v>188</v>
      </c>
      <c r="H649" s="23">
        <f t="shared" ca="1" si="98"/>
        <v>591</v>
      </c>
      <c r="I649" s="23">
        <f t="shared" ca="1" si="99"/>
        <v>356</v>
      </c>
      <c r="J649" s="23">
        <f t="shared" ca="1" si="100"/>
        <v>591</v>
      </c>
      <c r="K649" s="23">
        <f t="shared" ca="1" si="101"/>
        <v>947</v>
      </c>
      <c r="L649" s="23">
        <f t="shared" ca="1" si="94"/>
        <v>55045</v>
      </c>
    </row>
    <row r="650" spans="3:12">
      <c r="C650" s="23">
        <f t="shared" si="92"/>
        <v>420</v>
      </c>
      <c r="D650" s="23">
        <f t="shared" si="93"/>
        <v>168</v>
      </c>
      <c r="E650" s="23">
        <f t="shared" si="95"/>
        <v>252</v>
      </c>
      <c r="F650" s="23">
        <f t="shared" si="96"/>
        <v>700</v>
      </c>
      <c r="G650" s="23">
        <f t="shared" ca="1" si="97"/>
        <v>251</v>
      </c>
      <c r="H650" s="23">
        <f t="shared" ca="1" si="98"/>
        <v>588</v>
      </c>
      <c r="I650" s="23">
        <f t="shared" ca="1" si="99"/>
        <v>419</v>
      </c>
      <c r="J650" s="23">
        <f t="shared" ca="1" si="100"/>
        <v>588</v>
      </c>
      <c r="K650" s="23">
        <f t="shared" ca="1" si="101"/>
        <v>1007</v>
      </c>
      <c r="L650" s="23">
        <f t="shared" ca="1" si="94"/>
        <v>63145</v>
      </c>
    </row>
    <row r="651" spans="3:12">
      <c r="C651" s="23">
        <f t="shared" si="92"/>
        <v>420</v>
      </c>
      <c r="D651" s="23">
        <f t="shared" si="93"/>
        <v>168</v>
      </c>
      <c r="E651" s="23">
        <f t="shared" si="95"/>
        <v>252</v>
      </c>
      <c r="F651" s="23">
        <f t="shared" si="96"/>
        <v>700</v>
      </c>
      <c r="G651" s="23">
        <f t="shared" ca="1" si="97"/>
        <v>227</v>
      </c>
      <c r="H651" s="23">
        <f t="shared" ca="1" si="98"/>
        <v>677</v>
      </c>
      <c r="I651" s="23">
        <f t="shared" ca="1" si="99"/>
        <v>395</v>
      </c>
      <c r="J651" s="23">
        <f t="shared" ca="1" si="100"/>
        <v>677</v>
      </c>
      <c r="K651" s="23">
        <f t="shared" ca="1" si="101"/>
        <v>1072</v>
      </c>
      <c r="L651" s="23">
        <f t="shared" ca="1" si="94"/>
        <v>71920</v>
      </c>
    </row>
    <row r="652" spans="3:12">
      <c r="C652" s="23">
        <f t="shared" ref="C652:C715" si="102">$B$4</f>
        <v>420</v>
      </c>
      <c r="D652" s="23">
        <f t="shared" ref="D652:D715" si="103">$B$5</f>
        <v>168</v>
      </c>
      <c r="E652" s="23">
        <f t="shared" si="95"/>
        <v>252</v>
      </c>
      <c r="F652" s="23">
        <f t="shared" si="96"/>
        <v>700</v>
      </c>
      <c r="G652" s="23">
        <f t="shared" ca="1" si="97"/>
        <v>195</v>
      </c>
      <c r="H652" s="23">
        <f t="shared" ca="1" si="98"/>
        <v>717</v>
      </c>
      <c r="I652" s="23">
        <f t="shared" ca="1" si="99"/>
        <v>363</v>
      </c>
      <c r="J652" s="23">
        <f t="shared" ca="1" si="100"/>
        <v>717</v>
      </c>
      <c r="K652" s="23">
        <f t="shared" ca="1" si="101"/>
        <v>1080</v>
      </c>
      <c r="L652" s="23">
        <f t="shared" ref="L652:L715" ca="1" si="104">K652*$B$2-(F652+C652)*$B$1</f>
        <v>73000</v>
      </c>
    </row>
    <row r="653" spans="3:12">
      <c r="C653" s="23">
        <f t="shared" si="102"/>
        <v>420</v>
      </c>
      <c r="D653" s="23">
        <f t="shared" si="103"/>
        <v>168</v>
      </c>
      <c r="E653" s="23">
        <f t="shared" ref="E653:E716" si="105">MAX(0,C653-D653)</f>
        <v>252</v>
      </c>
      <c r="F653" s="23">
        <f t="shared" ref="F653:F716" si="106">$E$8</f>
        <v>700</v>
      </c>
      <c r="G653" s="23">
        <f t="shared" ref="G653:G716" ca="1" si="107">_xlfn.FLOOR.MATH(MAX(0,_xlfn.NORM.INV(RAND(),$B$6*$B$8,$B$3*($B$8+0.0001))))</f>
        <v>219</v>
      </c>
      <c r="H653" s="23">
        <f t="shared" ref="H653:H716" ca="1" si="108">_xlfn.FLOOR.MATH(MAX(0,_xlfn.NORM.INV(RAND(),$B$6*(1-$B$8),$B$3*(1.00001-$B$8))))</f>
        <v>598</v>
      </c>
      <c r="I653" s="23">
        <f t="shared" ref="I653:I716" ca="1" si="109">MIN(C653,D653+G653)</f>
        <v>387</v>
      </c>
      <c r="J653" s="23">
        <f t="shared" ref="J653:J716" ca="1" si="110">MIN(C653-I653+F653,H653)</f>
        <v>598</v>
      </c>
      <c r="K653" s="23">
        <f t="shared" ref="K653:K716" ca="1" si="111">I653+J653</f>
        <v>985</v>
      </c>
      <c r="L653" s="23">
        <f t="shared" ca="1" si="104"/>
        <v>60175</v>
      </c>
    </row>
    <row r="654" spans="3:12">
      <c r="C654" s="23">
        <f t="shared" si="102"/>
        <v>420</v>
      </c>
      <c r="D654" s="23">
        <f t="shared" si="103"/>
        <v>168</v>
      </c>
      <c r="E654" s="23">
        <f t="shared" si="105"/>
        <v>252</v>
      </c>
      <c r="F654" s="23">
        <f t="shared" si="106"/>
        <v>700</v>
      </c>
      <c r="G654" s="23">
        <f t="shared" ca="1" si="107"/>
        <v>229</v>
      </c>
      <c r="H654" s="23">
        <f t="shared" ca="1" si="108"/>
        <v>555</v>
      </c>
      <c r="I654" s="23">
        <f t="shared" ca="1" si="109"/>
        <v>397</v>
      </c>
      <c r="J654" s="23">
        <f t="shared" ca="1" si="110"/>
        <v>555</v>
      </c>
      <c r="K654" s="23">
        <f t="shared" ca="1" si="111"/>
        <v>952</v>
      </c>
      <c r="L654" s="23">
        <f t="shared" ca="1" si="104"/>
        <v>55720</v>
      </c>
    </row>
    <row r="655" spans="3:12">
      <c r="C655" s="23">
        <f t="shared" si="102"/>
        <v>420</v>
      </c>
      <c r="D655" s="23">
        <f t="shared" si="103"/>
        <v>168</v>
      </c>
      <c r="E655" s="23">
        <f t="shared" si="105"/>
        <v>252</v>
      </c>
      <c r="F655" s="23">
        <f t="shared" si="106"/>
        <v>700</v>
      </c>
      <c r="G655" s="23">
        <f t="shared" ca="1" si="107"/>
        <v>222</v>
      </c>
      <c r="H655" s="23">
        <f t="shared" ca="1" si="108"/>
        <v>559</v>
      </c>
      <c r="I655" s="23">
        <f t="shared" ca="1" si="109"/>
        <v>390</v>
      </c>
      <c r="J655" s="23">
        <f t="shared" ca="1" si="110"/>
        <v>559</v>
      </c>
      <c r="K655" s="23">
        <f t="shared" ca="1" si="111"/>
        <v>949</v>
      </c>
      <c r="L655" s="23">
        <f t="shared" ca="1" si="104"/>
        <v>55315</v>
      </c>
    </row>
    <row r="656" spans="3:12">
      <c r="C656" s="23">
        <f t="shared" si="102"/>
        <v>420</v>
      </c>
      <c r="D656" s="23">
        <f t="shared" si="103"/>
        <v>168</v>
      </c>
      <c r="E656" s="23">
        <f t="shared" si="105"/>
        <v>252</v>
      </c>
      <c r="F656" s="23">
        <f t="shared" si="106"/>
        <v>700</v>
      </c>
      <c r="G656" s="23">
        <f t="shared" ca="1" si="107"/>
        <v>208</v>
      </c>
      <c r="H656" s="23">
        <f t="shared" ca="1" si="108"/>
        <v>624</v>
      </c>
      <c r="I656" s="23">
        <f t="shared" ca="1" si="109"/>
        <v>376</v>
      </c>
      <c r="J656" s="23">
        <f t="shared" ca="1" si="110"/>
        <v>624</v>
      </c>
      <c r="K656" s="23">
        <f t="shared" ca="1" si="111"/>
        <v>1000</v>
      </c>
      <c r="L656" s="23">
        <f t="shared" ca="1" si="104"/>
        <v>62200</v>
      </c>
    </row>
    <row r="657" spans="3:12">
      <c r="C657" s="23">
        <f t="shared" si="102"/>
        <v>420</v>
      </c>
      <c r="D657" s="23">
        <f t="shared" si="103"/>
        <v>168</v>
      </c>
      <c r="E657" s="23">
        <f t="shared" si="105"/>
        <v>252</v>
      </c>
      <c r="F657" s="23">
        <f t="shared" si="106"/>
        <v>700</v>
      </c>
      <c r="G657" s="23">
        <f t="shared" ca="1" si="107"/>
        <v>220</v>
      </c>
      <c r="H657" s="23">
        <f t="shared" ca="1" si="108"/>
        <v>695</v>
      </c>
      <c r="I657" s="23">
        <f t="shared" ca="1" si="109"/>
        <v>388</v>
      </c>
      <c r="J657" s="23">
        <f t="shared" ca="1" si="110"/>
        <v>695</v>
      </c>
      <c r="K657" s="23">
        <f t="shared" ca="1" si="111"/>
        <v>1083</v>
      </c>
      <c r="L657" s="23">
        <f t="shared" ca="1" si="104"/>
        <v>73405</v>
      </c>
    </row>
    <row r="658" spans="3:12">
      <c r="C658" s="23">
        <f t="shared" si="102"/>
        <v>420</v>
      </c>
      <c r="D658" s="23">
        <f t="shared" si="103"/>
        <v>168</v>
      </c>
      <c r="E658" s="23">
        <f t="shared" si="105"/>
        <v>252</v>
      </c>
      <c r="F658" s="23">
        <f t="shared" si="106"/>
        <v>700</v>
      </c>
      <c r="G658" s="23">
        <f t="shared" ca="1" si="107"/>
        <v>222</v>
      </c>
      <c r="H658" s="23">
        <f t="shared" ca="1" si="108"/>
        <v>620</v>
      </c>
      <c r="I658" s="23">
        <f t="shared" ca="1" si="109"/>
        <v>390</v>
      </c>
      <c r="J658" s="23">
        <f t="shared" ca="1" si="110"/>
        <v>620</v>
      </c>
      <c r="K658" s="23">
        <f t="shared" ca="1" si="111"/>
        <v>1010</v>
      </c>
      <c r="L658" s="23">
        <f t="shared" ca="1" si="104"/>
        <v>63550</v>
      </c>
    </row>
    <row r="659" spans="3:12">
      <c r="C659" s="23">
        <f t="shared" si="102"/>
        <v>420</v>
      </c>
      <c r="D659" s="23">
        <f t="shared" si="103"/>
        <v>168</v>
      </c>
      <c r="E659" s="23">
        <f t="shared" si="105"/>
        <v>252</v>
      </c>
      <c r="F659" s="23">
        <f t="shared" si="106"/>
        <v>700</v>
      </c>
      <c r="G659" s="23">
        <f t="shared" ca="1" si="107"/>
        <v>215</v>
      </c>
      <c r="H659" s="23">
        <f t="shared" ca="1" si="108"/>
        <v>728</v>
      </c>
      <c r="I659" s="23">
        <f t="shared" ca="1" si="109"/>
        <v>383</v>
      </c>
      <c r="J659" s="23">
        <f t="shared" ca="1" si="110"/>
        <v>728</v>
      </c>
      <c r="K659" s="23">
        <f t="shared" ca="1" si="111"/>
        <v>1111</v>
      </c>
      <c r="L659" s="23">
        <f t="shared" ca="1" si="104"/>
        <v>77185</v>
      </c>
    </row>
    <row r="660" spans="3:12">
      <c r="C660" s="23">
        <f t="shared" si="102"/>
        <v>420</v>
      </c>
      <c r="D660" s="23">
        <f t="shared" si="103"/>
        <v>168</v>
      </c>
      <c r="E660" s="23">
        <f t="shared" si="105"/>
        <v>252</v>
      </c>
      <c r="F660" s="23">
        <f t="shared" si="106"/>
        <v>700</v>
      </c>
      <c r="G660" s="23">
        <f t="shared" ca="1" si="107"/>
        <v>233</v>
      </c>
      <c r="H660" s="23">
        <f t="shared" ca="1" si="108"/>
        <v>571</v>
      </c>
      <c r="I660" s="23">
        <f t="shared" ca="1" si="109"/>
        <v>401</v>
      </c>
      <c r="J660" s="23">
        <f t="shared" ca="1" si="110"/>
        <v>571</v>
      </c>
      <c r="K660" s="23">
        <f t="shared" ca="1" si="111"/>
        <v>972</v>
      </c>
      <c r="L660" s="23">
        <f t="shared" ca="1" si="104"/>
        <v>58420</v>
      </c>
    </row>
    <row r="661" spans="3:12">
      <c r="C661" s="23">
        <f t="shared" si="102"/>
        <v>420</v>
      </c>
      <c r="D661" s="23">
        <f t="shared" si="103"/>
        <v>168</v>
      </c>
      <c r="E661" s="23">
        <f t="shared" si="105"/>
        <v>252</v>
      </c>
      <c r="F661" s="23">
        <f t="shared" si="106"/>
        <v>700</v>
      </c>
      <c r="G661" s="23">
        <f t="shared" ca="1" si="107"/>
        <v>273</v>
      </c>
      <c r="H661" s="23">
        <f t="shared" ca="1" si="108"/>
        <v>642</v>
      </c>
      <c r="I661" s="23">
        <f t="shared" ca="1" si="109"/>
        <v>420</v>
      </c>
      <c r="J661" s="23">
        <f t="shared" ca="1" si="110"/>
        <v>642</v>
      </c>
      <c r="K661" s="23">
        <f t="shared" ca="1" si="111"/>
        <v>1062</v>
      </c>
      <c r="L661" s="23">
        <f t="shared" ca="1" si="104"/>
        <v>70570</v>
      </c>
    </row>
    <row r="662" spans="3:12">
      <c r="C662" s="23">
        <f t="shared" si="102"/>
        <v>420</v>
      </c>
      <c r="D662" s="23">
        <f t="shared" si="103"/>
        <v>168</v>
      </c>
      <c r="E662" s="23">
        <f t="shared" si="105"/>
        <v>252</v>
      </c>
      <c r="F662" s="23">
        <f t="shared" si="106"/>
        <v>700</v>
      </c>
      <c r="G662" s="23">
        <f t="shared" ca="1" si="107"/>
        <v>203</v>
      </c>
      <c r="H662" s="23">
        <f t="shared" ca="1" si="108"/>
        <v>730</v>
      </c>
      <c r="I662" s="23">
        <f t="shared" ca="1" si="109"/>
        <v>371</v>
      </c>
      <c r="J662" s="23">
        <f t="shared" ca="1" si="110"/>
        <v>730</v>
      </c>
      <c r="K662" s="23">
        <f t="shared" ca="1" si="111"/>
        <v>1101</v>
      </c>
      <c r="L662" s="23">
        <f t="shared" ca="1" si="104"/>
        <v>75835</v>
      </c>
    </row>
    <row r="663" spans="3:12">
      <c r="C663" s="23">
        <f t="shared" si="102"/>
        <v>420</v>
      </c>
      <c r="D663" s="23">
        <f t="shared" si="103"/>
        <v>168</v>
      </c>
      <c r="E663" s="23">
        <f t="shared" si="105"/>
        <v>252</v>
      </c>
      <c r="F663" s="23">
        <f t="shared" si="106"/>
        <v>700</v>
      </c>
      <c r="G663" s="23">
        <f t="shared" ca="1" si="107"/>
        <v>209</v>
      </c>
      <c r="H663" s="23">
        <f t="shared" ca="1" si="108"/>
        <v>534</v>
      </c>
      <c r="I663" s="23">
        <f t="shared" ca="1" si="109"/>
        <v>377</v>
      </c>
      <c r="J663" s="23">
        <f t="shared" ca="1" si="110"/>
        <v>534</v>
      </c>
      <c r="K663" s="23">
        <f t="shared" ca="1" si="111"/>
        <v>911</v>
      </c>
      <c r="L663" s="23">
        <f t="shared" ca="1" si="104"/>
        <v>50185</v>
      </c>
    </row>
    <row r="664" spans="3:12">
      <c r="C664" s="23">
        <f t="shared" si="102"/>
        <v>420</v>
      </c>
      <c r="D664" s="23">
        <f t="shared" si="103"/>
        <v>168</v>
      </c>
      <c r="E664" s="23">
        <f t="shared" si="105"/>
        <v>252</v>
      </c>
      <c r="F664" s="23">
        <f t="shared" si="106"/>
        <v>700</v>
      </c>
      <c r="G664" s="23">
        <f t="shared" ca="1" si="107"/>
        <v>232</v>
      </c>
      <c r="H664" s="23">
        <f t="shared" ca="1" si="108"/>
        <v>647</v>
      </c>
      <c r="I664" s="23">
        <f t="shared" ca="1" si="109"/>
        <v>400</v>
      </c>
      <c r="J664" s="23">
        <f t="shared" ca="1" si="110"/>
        <v>647</v>
      </c>
      <c r="K664" s="23">
        <f t="shared" ca="1" si="111"/>
        <v>1047</v>
      </c>
      <c r="L664" s="23">
        <f t="shared" ca="1" si="104"/>
        <v>68545</v>
      </c>
    </row>
    <row r="665" spans="3:12">
      <c r="C665" s="23">
        <f t="shared" si="102"/>
        <v>420</v>
      </c>
      <c r="D665" s="23">
        <f t="shared" si="103"/>
        <v>168</v>
      </c>
      <c r="E665" s="23">
        <f t="shared" si="105"/>
        <v>252</v>
      </c>
      <c r="F665" s="23">
        <f t="shared" si="106"/>
        <v>700</v>
      </c>
      <c r="G665" s="23">
        <f t="shared" ca="1" si="107"/>
        <v>229</v>
      </c>
      <c r="H665" s="23">
        <f t="shared" ca="1" si="108"/>
        <v>560</v>
      </c>
      <c r="I665" s="23">
        <f t="shared" ca="1" si="109"/>
        <v>397</v>
      </c>
      <c r="J665" s="23">
        <f t="shared" ca="1" si="110"/>
        <v>560</v>
      </c>
      <c r="K665" s="23">
        <f t="shared" ca="1" si="111"/>
        <v>957</v>
      </c>
      <c r="L665" s="23">
        <f t="shared" ca="1" si="104"/>
        <v>56395</v>
      </c>
    </row>
    <row r="666" spans="3:12">
      <c r="C666" s="23">
        <f t="shared" si="102"/>
        <v>420</v>
      </c>
      <c r="D666" s="23">
        <f t="shared" si="103"/>
        <v>168</v>
      </c>
      <c r="E666" s="23">
        <f t="shared" si="105"/>
        <v>252</v>
      </c>
      <c r="F666" s="23">
        <f t="shared" si="106"/>
        <v>700</v>
      </c>
      <c r="G666" s="23">
        <f t="shared" ca="1" si="107"/>
        <v>247</v>
      </c>
      <c r="H666" s="23">
        <f t="shared" ca="1" si="108"/>
        <v>684</v>
      </c>
      <c r="I666" s="23">
        <f t="shared" ca="1" si="109"/>
        <v>415</v>
      </c>
      <c r="J666" s="23">
        <f t="shared" ca="1" si="110"/>
        <v>684</v>
      </c>
      <c r="K666" s="23">
        <f t="shared" ca="1" si="111"/>
        <v>1099</v>
      </c>
      <c r="L666" s="23">
        <f t="shared" ca="1" si="104"/>
        <v>75565</v>
      </c>
    </row>
    <row r="667" spans="3:12">
      <c r="C667" s="23">
        <f t="shared" si="102"/>
        <v>420</v>
      </c>
      <c r="D667" s="23">
        <f t="shared" si="103"/>
        <v>168</v>
      </c>
      <c r="E667" s="23">
        <f t="shared" si="105"/>
        <v>252</v>
      </c>
      <c r="F667" s="23">
        <f t="shared" si="106"/>
        <v>700</v>
      </c>
      <c r="G667" s="23">
        <f t="shared" ca="1" si="107"/>
        <v>231</v>
      </c>
      <c r="H667" s="23">
        <f t="shared" ca="1" si="108"/>
        <v>619</v>
      </c>
      <c r="I667" s="23">
        <f t="shared" ca="1" si="109"/>
        <v>399</v>
      </c>
      <c r="J667" s="23">
        <f t="shared" ca="1" si="110"/>
        <v>619</v>
      </c>
      <c r="K667" s="23">
        <f t="shared" ca="1" si="111"/>
        <v>1018</v>
      </c>
      <c r="L667" s="23">
        <f t="shared" ca="1" si="104"/>
        <v>64630</v>
      </c>
    </row>
    <row r="668" spans="3:12">
      <c r="C668" s="23">
        <f t="shared" si="102"/>
        <v>420</v>
      </c>
      <c r="D668" s="23">
        <f t="shared" si="103"/>
        <v>168</v>
      </c>
      <c r="E668" s="23">
        <f t="shared" si="105"/>
        <v>252</v>
      </c>
      <c r="F668" s="23">
        <f t="shared" si="106"/>
        <v>700</v>
      </c>
      <c r="G668" s="23">
        <f t="shared" ca="1" si="107"/>
        <v>213</v>
      </c>
      <c r="H668" s="23">
        <f t="shared" ca="1" si="108"/>
        <v>594</v>
      </c>
      <c r="I668" s="23">
        <f t="shared" ca="1" si="109"/>
        <v>381</v>
      </c>
      <c r="J668" s="23">
        <f t="shared" ca="1" si="110"/>
        <v>594</v>
      </c>
      <c r="K668" s="23">
        <f t="shared" ca="1" si="111"/>
        <v>975</v>
      </c>
      <c r="L668" s="23">
        <f t="shared" ca="1" si="104"/>
        <v>58825</v>
      </c>
    </row>
    <row r="669" spans="3:12">
      <c r="C669" s="23">
        <f t="shared" si="102"/>
        <v>420</v>
      </c>
      <c r="D669" s="23">
        <f t="shared" si="103"/>
        <v>168</v>
      </c>
      <c r="E669" s="23">
        <f t="shared" si="105"/>
        <v>252</v>
      </c>
      <c r="F669" s="23">
        <f t="shared" si="106"/>
        <v>700</v>
      </c>
      <c r="G669" s="23">
        <f t="shared" ca="1" si="107"/>
        <v>180</v>
      </c>
      <c r="H669" s="23">
        <f t="shared" ca="1" si="108"/>
        <v>630</v>
      </c>
      <c r="I669" s="23">
        <f t="shared" ca="1" si="109"/>
        <v>348</v>
      </c>
      <c r="J669" s="23">
        <f t="shared" ca="1" si="110"/>
        <v>630</v>
      </c>
      <c r="K669" s="23">
        <f t="shared" ca="1" si="111"/>
        <v>978</v>
      </c>
      <c r="L669" s="23">
        <f t="shared" ca="1" si="104"/>
        <v>59230</v>
      </c>
    </row>
    <row r="670" spans="3:12">
      <c r="C670" s="23">
        <f t="shared" si="102"/>
        <v>420</v>
      </c>
      <c r="D670" s="23">
        <f t="shared" si="103"/>
        <v>168</v>
      </c>
      <c r="E670" s="23">
        <f t="shared" si="105"/>
        <v>252</v>
      </c>
      <c r="F670" s="23">
        <f t="shared" si="106"/>
        <v>700</v>
      </c>
      <c r="G670" s="23">
        <f t="shared" ca="1" si="107"/>
        <v>190</v>
      </c>
      <c r="H670" s="23">
        <f t="shared" ca="1" si="108"/>
        <v>627</v>
      </c>
      <c r="I670" s="23">
        <f t="shared" ca="1" si="109"/>
        <v>358</v>
      </c>
      <c r="J670" s="23">
        <f t="shared" ca="1" si="110"/>
        <v>627</v>
      </c>
      <c r="K670" s="23">
        <f t="shared" ca="1" si="111"/>
        <v>985</v>
      </c>
      <c r="L670" s="23">
        <f t="shared" ca="1" si="104"/>
        <v>60175</v>
      </c>
    </row>
    <row r="671" spans="3:12">
      <c r="C671" s="23">
        <f t="shared" si="102"/>
        <v>420</v>
      </c>
      <c r="D671" s="23">
        <f t="shared" si="103"/>
        <v>168</v>
      </c>
      <c r="E671" s="23">
        <f t="shared" si="105"/>
        <v>252</v>
      </c>
      <c r="F671" s="23">
        <f t="shared" si="106"/>
        <v>700</v>
      </c>
      <c r="G671" s="23">
        <f t="shared" ca="1" si="107"/>
        <v>242</v>
      </c>
      <c r="H671" s="23">
        <f t="shared" ca="1" si="108"/>
        <v>665</v>
      </c>
      <c r="I671" s="23">
        <f t="shared" ca="1" si="109"/>
        <v>410</v>
      </c>
      <c r="J671" s="23">
        <f t="shared" ca="1" si="110"/>
        <v>665</v>
      </c>
      <c r="K671" s="23">
        <f t="shared" ca="1" si="111"/>
        <v>1075</v>
      </c>
      <c r="L671" s="23">
        <f t="shared" ca="1" si="104"/>
        <v>72325</v>
      </c>
    </row>
    <row r="672" spans="3:12">
      <c r="C672" s="23">
        <f t="shared" si="102"/>
        <v>420</v>
      </c>
      <c r="D672" s="23">
        <f t="shared" si="103"/>
        <v>168</v>
      </c>
      <c r="E672" s="23">
        <f t="shared" si="105"/>
        <v>252</v>
      </c>
      <c r="F672" s="23">
        <f t="shared" si="106"/>
        <v>700</v>
      </c>
      <c r="G672" s="23">
        <f t="shared" ca="1" si="107"/>
        <v>214</v>
      </c>
      <c r="H672" s="23">
        <f t="shared" ca="1" si="108"/>
        <v>607</v>
      </c>
      <c r="I672" s="23">
        <f t="shared" ca="1" si="109"/>
        <v>382</v>
      </c>
      <c r="J672" s="23">
        <f t="shared" ca="1" si="110"/>
        <v>607</v>
      </c>
      <c r="K672" s="23">
        <f t="shared" ca="1" si="111"/>
        <v>989</v>
      </c>
      <c r="L672" s="23">
        <f t="shared" ca="1" si="104"/>
        <v>60715</v>
      </c>
    </row>
    <row r="673" spans="3:12">
      <c r="C673" s="23">
        <f t="shared" si="102"/>
        <v>420</v>
      </c>
      <c r="D673" s="23">
        <f t="shared" si="103"/>
        <v>168</v>
      </c>
      <c r="E673" s="23">
        <f t="shared" si="105"/>
        <v>252</v>
      </c>
      <c r="F673" s="23">
        <f t="shared" si="106"/>
        <v>700</v>
      </c>
      <c r="G673" s="23">
        <f t="shared" ca="1" si="107"/>
        <v>248</v>
      </c>
      <c r="H673" s="23">
        <f t="shared" ca="1" si="108"/>
        <v>725</v>
      </c>
      <c r="I673" s="23">
        <f t="shared" ca="1" si="109"/>
        <v>416</v>
      </c>
      <c r="J673" s="23">
        <f t="shared" ca="1" si="110"/>
        <v>704</v>
      </c>
      <c r="K673" s="23">
        <f t="shared" ca="1" si="111"/>
        <v>1120</v>
      </c>
      <c r="L673" s="23">
        <f t="shared" ca="1" si="104"/>
        <v>78400</v>
      </c>
    </row>
    <row r="674" spans="3:12">
      <c r="C674" s="23">
        <f t="shared" si="102"/>
        <v>420</v>
      </c>
      <c r="D674" s="23">
        <f t="shared" si="103"/>
        <v>168</v>
      </c>
      <c r="E674" s="23">
        <f t="shared" si="105"/>
        <v>252</v>
      </c>
      <c r="F674" s="23">
        <f t="shared" si="106"/>
        <v>700</v>
      </c>
      <c r="G674" s="23">
        <f t="shared" ca="1" si="107"/>
        <v>175</v>
      </c>
      <c r="H674" s="23">
        <f t="shared" ca="1" si="108"/>
        <v>565</v>
      </c>
      <c r="I674" s="23">
        <f t="shared" ca="1" si="109"/>
        <v>343</v>
      </c>
      <c r="J674" s="23">
        <f t="shared" ca="1" si="110"/>
        <v>565</v>
      </c>
      <c r="K674" s="23">
        <f t="shared" ca="1" si="111"/>
        <v>908</v>
      </c>
      <c r="L674" s="23">
        <f t="shared" ca="1" si="104"/>
        <v>49780</v>
      </c>
    </row>
    <row r="675" spans="3:12">
      <c r="C675" s="23">
        <f t="shared" si="102"/>
        <v>420</v>
      </c>
      <c r="D675" s="23">
        <f t="shared" si="103"/>
        <v>168</v>
      </c>
      <c r="E675" s="23">
        <f t="shared" si="105"/>
        <v>252</v>
      </c>
      <c r="F675" s="23">
        <f t="shared" si="106"/>
        <v>700</v>
      </c>
      <c r="G675" s="23">
        <f t="shared" ca="1" si="107"/>
        <v>227</v>
      </c>
      <c r="H675" s="23">
        <f t="shared" ca="1" si="108"/>
        <v>631</v>
      </c>
      <c r="I675" s="23">
        <f t="shared" ca="1" si="109"/>
        <v>395</v>
      </c>
      <c r="J675" s="23">
        <f t="shared" ca="1" si="110"/>
        <v>631</v>
      </c>
      <c r="K675" s="23">
        <f t="shared" ca="1" si="111"/>
        <v>1026</v>
      </c>
      <c r="L675" s="23">
        <f t="shared" ca="1" si="104"/>
        <v>65710</v>
      </c>
    </row>
    <row r="676" spans="3:12">
      <c r="C676" s="23">
        <f t="shared" si="102"/>
        <v>420</v>
      </c>
      <c r="D676" s="23">
        <f t="shared" si="103"/>
        <v>168</v>
      </c>
      <c r="E676" s="23">
        <f t="shared" si="105"/>
        <v>252</v>
      </c>
      <c r="F676" s="23">
        <f t="shared" si="106"/>
        <v>700</v>
      </c>
      <c r="G676" s="23">
        <f t="shared" ca="1" si="107"/>
        <v>273</v>
      </c>
      <c r="H676" s="23">
        <f t="shared" ca="1" si="108"/>
        <v>575</v>
      </c>
      <c r="I676" s="23">
        <f t="shared" ca="1" si="109"/>
        <v>420</v>
      </c>
      <c r="J676" s="23">
        <f t="shared" ca="1" si="110"/>
        <v>575</v>
      </c>
      <c r="K676" s="23">
        <f t="shared" ca="1" si="111"/>
        <v>995</v>
      </c>
      <c r="L676" s="23">
        <f t="shared" ca="1" si="104"/>
        <v>61525</v>
      </c>
    </row>
    <row r="677" spans="3:12">
      <c r="C677" s="23">
        <f t="shared" si="102"/>
        <v>420</v>
      </c>
      <c r="D677" s="23">
        <f t="shared" si="103"/>
        <v>168</v>
      </c>
      <c r="E677" s="23">
        <f t="shared" si="105"/>
        <v>252</v>
      </c>
      <c r="F677" s="23">
        <f t="shared" si="106"/>
        <v>700</v>
      </c>
      <c r="G677" s="23">
        <f t="shared" ca="1" si="107"/>
        <v>216</v>
      </c>
      <c r="H677" s="23">
        <f t="shared" ca="1" si="108"/>
        <v>730</v>
      </c>
      <c r="I677" s="23">
        <f t="shared" ca="1" si="109"/>
        <v>384</v>
      </c>
      <c r="J677" s="23">
        <f t="shared" ca="1" si="110"/>
        <v>730</v>
      </c>
      <c r="K677" s="23">
        <f t="shared" ca="1" si="111"/>
        <v>1114</v>
      </c>
      <c r="L677" s="23">
        <f t="shared" ca="1" si="104"/>
        <v>77590</v>
      </c>
    </row>
    <row r="678" spans="3:12">
      <c r="C678" s="23">
        <f t="shared" si="102"/>
        <v>420</v>
      </c>
      <c r="D678" s="23">
        <f t="shared" si="103"/>
        <v>168</v>
      </c>
      <c r="E678" s="23">
        <f t="shared" si="105"/>
        <v>252</v>
      </c>
      <c r="F678" s="23">
        <f t="shared" si="106"/>
        <v>700</v>
      </c>
      <c r="G678" s="23">
        <f t="shared" ca="1" si="107"/>
        <v>212</v>
      </c>
      <c r="H678" s="23">
        <f t="shared" ca="1" si="108"/>
        <v>700</v>
      </c>
      <c r="I678" s="23">
        <f t="shared" ca="1" si="109"/>
        <v>380</v>
      </c>
      <c r="J678" s="23">
        <f t="shared" ca="1" si="110"/>
        <v>700</v>
      </c>
      <c r="K678" s="23">
        <f t="shared" ca="1" si="111"/>
        <v>1080</v>
      </c>
      <c r="L678" s="23">
        <f t="shared" ca="1" si="104"/>
        <v>73000</v>
      </c>
    </row>
    <row r="679" spans="3:12">
      <c r="C679" s="23">
        <f t="shared" si="102"/>
        <v>420</v>
      </c>
      <c r="D679" s="23">
        <f t="shared" si="103"/>
        <v>168</v>
      </c>
      <c r="E679" s="23">
        <f t="shared" si="105"/>
        <v>252</v>
      </c>
      <c r="F679" s="23">
        <f t="shared" si="106"/>
        <v>700</v>
      </c>
      <c r="G679" s="23">
        <f t="shared" ca="1" si="107"/>
        <v>213</v>
      </c>
      <c r="H679" s="23">
        <f t="shared" ca="1" si="108"/>
        <v>679</v>
      </c>
      <c r="I679" s="23">
        <f t="shared" ca="1" si="109"/>
        <v>381</v>
      </c>
      <c r="J679" s="23">
        <f t="shared" ca="1" si="110"/>
        <v>679</v>
      </c>
      <c r="K679" s="23">
        <f t="shared" ca="1" si="111"/>
        <v>1060</v>
      </c>
      <c r="L679" s="23">
        <f t="shared" ca="1" si="104"/>
        <v>70300</v>
      </c>
    </row>
    <row r="680" spans="3:12">
      <c r="C680" s="23">
        <f t="shared" si="102"/>
        <v>420</v>
      </c>
      <c r="D680" s="23">
        <f t="shared" si="103"/>
        <v>168</v>
      </c>
      <c r="E680" s="23">
        <f t="shared" si="105"/>
        <v>252</v>
      </c>
      <c r="F680" s="23">
        <f t="shared" si="106"/>
        <v>700</v>
      </c>
      <c r="G680" s="23">
        <f t="shared" ca="1" si="107"/>
        <v>220</v>
      </c>
      <c r="H680" s="23">
        <f t="shared" ca="1" si="108"/>
        <v>537</v>
      </c>
      <c r="I680" s="23">
        <f t="shared" ca="1" si="109"/>
        <v>388</v>
      </c>
      <c r="J680" s="23">
        <f t="shared" ca="1" si="110"/>
        <v>537</v>
      </c>
      <c r="K680" s="23">
        <f t="shared" ca="1" si="111"/>
        <v>925</v>
      </c>
      <c r="L680" s="23">
        <f t="shared" ca="1" si="104"/>
        <v>52075</v>
      </c>
    </row>
    <row r="681" spans="3:12">
      <c r="C681" s="23">
        <f t="shared" si="102"/>
        <v>420</v>
      </c>
      <c r="D681" s="23">
        <f t="shared" si="103"/>
        <v>168</v>
      </c>
      <c r="E681" s="23">
        <f t="shared" si="105"/>
        <v>252</v>
      </c>
      <c r="F681" s="23">
        <f t="shared" si="106"/>
        <v>700</v>
      </c>
      <c r="G681" s="23">
        <f t="shared" ca="1" si="107"/>
        <v>210</v>
      </c>
      <c r="H681" s="23">
        <f t="shared" ca="1" si="108"/>
        <v>624</v>
      </c>
      <c r="I681" s="23">
        <f t="shared" ca="1" si="109"/>
        <v>378</v>
      </c>
      <c r="J681" s="23">
        <f t="shared" ca="1" si="110"/>
        <v>624</v>
      </c>
      <c r="K681" s="23">
        <f t="shared" ca="1" si="111"/>
        <v>1002</v>
      </c>
      <c r="L681" s="23">
        <f t="shared" ca="1" si="104"/>
        <v>62470</v>
      </c>
    </row>
    <row r="682" spans="3:12">
      <c r="C682" s="23">
        <f t="shared" si="102"/>
        <v>420</v>
      </c>
      <c r="D682" s="23">
        <f t="shared" si="103"/>
        <v>168</v>
      </c>
      <c r="E682" s="23">
        <f t="shared" si="105"/>
        <v>252</v>
      </c>
      <c r="F682" s="23">
        <f t="shared" si="106"/>
        <v>700</v>
      </c>
      <c r="G682" s="23">
        <f t="shared" ca="1" si="107"/>
        <v>206</v>
      </c>
      <c r="H682" s="23">
        <f t="shared" ca="1" si="108"/>
        <v>703</v>
      </c>
      <c r="I682" s="23">
        <f t="shared" ca="1" si="109"/>
        <v>374</v>
      </c>
      <c r="J682" s="23">
        <f t="shared" ca="1" si="110"/>
        <v>703</v>
      </c>
      <c r="K682" s="23">
        <f t="shared" ca="1" si="111"/>
        <v>1077</v>
      </c>
      <c r="L682" s="23">
        <f t="shared" ca="1" si="104"/>
        <v>72595</v>
      </c>
    </row>
    <row r="683" spans="3:12">
      <c r="C683" s="23">
        <f t="shared" si="102"/>
        <v>420</v>
      </c>
      <c r="D683" s="23">
        <f t="shared" si="103"/>
        <v>168</v>
      </c>
      <c r="E683" s="23">
        <f t="shared" si="105"/>
        <v>252</v>
      </c>
      <c r="F683" s="23">
        <f t="shared" si="106"/>
        <v>700</v>
      </c>
      <c r="G683" s="23">
        <f t="shared" ca="1" si="107"/>
        <v>269</v>
      </c>
      <c r="H683" s="23">
        <f t="shared" ca="1" si="108"/>
        <v>729</v>
      </c>
      <c r="I683" s="23">
        <f t="shared" ca="1" si="109"/>
        <v>420</v>
      </c>
      <c r="J683" s="23">
        <f t="shared" ca="1" si="110"/>
        <v>700</v>
      </c>
      <c r="K683" s="23">
        <f t="shared" ca="1" si="111"/>
        <v>1120</v>
      </c>
      <c r="L683" s="23">
        <f t="shared" ca="1" si="104"/>
        <v>78400</v>
      </c>
    </row>
    <row r="684" spans="3:12">
      <c r="C684" s="23">
        <f t="shared" si="102"/>
        <v>420</v>
      </c>
      <c r="D684" s="23">
        <f t="shared" si="103"/>
        <v>168</v>
      </c>
      <c r="E684" s="23">
        <f t="shared" si="105"/>
        <v>252</v>
      </c>
      <c r="F684" s="23">
        <f t="shared" si="106"/>
        <v>700</v>
      </c>
      <c r="G684" s="23">
        <f t="shared" ca="1" si="107"/>
        <v>206</v>
      </c>
      <c r="H684" s="23">
        <f t="shared" ca="1" si="108"/>
        <v>698</v>
      </c>
      <c r="I684" s="23">
        <f t="shared" ca="1" si="109"/>
        <v>374</v>
      </c>
      <c r="J684" s="23">
        <f t="shared" ca="1" si="110"/>
        <v>698</v>
      </c>
      <c r="K684" s="23">
        <f t="shared" ca="1" si="111"/>
        <v>1072</v>
      </c>
      <c r="L684" s="23">
        <f t="shared" ca="1" si="104"/>
        <v>71920</v>
      </c>
    </row>
    <row r="685" spans="3:12">
      <c r="C685" s="23">
        <f t="shared" si="102"/>
        <v>420</v>
      </c>
      <c r="D685" s="23">
        <f t="shared" si="103"/>
        <v>168</v>
      </c>
      <c r="E685" s="23">
        <f t="shared" si="105"/>
        <v>252</v>
      </c>
      <c r="F685" s="23">
        <f t="shared" si="106"/>
        <v>700</v>
      </c>
      <c r="G685" s="23">
        <f t="shared" ca="1" si="107"/>
        <v>211</v>
      </c>
      <c r="H685" s="23">
        <f t="shared" ca="1" si="108"/>
        <v>675</v>
      </c>
      <c r="I685" s="23">
        <f t="shared" ca="1" si="109"/>
        <v>379</v>
      </c>
      <c r="J685" s="23">
        <f t="shared" ca="1" si="110"/>
        <v>675</v>
      </c>
      <c r="K685" s="23">
        <f t="shared" ca="1" si="111"/>
        <v>1054</v>
      </c>
      <c r="L685" s="23">
        <f t="shared" ca="1" si="104"/>
        <v>69490</v>
      </c>
    </row>
    <row r="686" spans="3:12">
      <c r="C686" s="23">
        <f t="shared" si="102"/>
        <v>420</v>
      </c>
      <c r="D686" s="23">
        <f t="shared" si="103"/>
        <v>168</v>
      </c>
      <c r="E686" s="23">
        <f t="shared" si="105"/>
        <v>252</v>
      </c>
      <c r="F686" s="23">
        <f t="shared" si="106"/>
        <v>700</v>
      </c>
      <c r="G686" s="23">
        <f t="shared" ca="1" si="107"/>
        <v>230</v>
      </c>
      <c r="H686" s="23">
        <f t="shared" ca="1" si="108"/>
        <v>659</v>
      </c>
      <c r="I686" s="23">
        <f t="shared" ca="1" si="109"/>
        <v>398</v>
      </c>
      <c r="J686" s="23">
        <f t="shared" ca="1" si="110"/>
        <v>659</v>
      </c>
      <c r="K686" s="23">
        <f t="shared" ca="1" si="111"/>
        <v>1057</v>
      </c>
      <c r="L686" s="23">
        <f t="shared" ca="1" si="104"/>
        <v>69895</v>
      </c>
    </row>
    <row r="687" spans="3:12">
      <c r="C687" s="23">
        <f t="shared" si="102"/>
        <v>420</v>
      </c>
      <c r="D687" s="23">
        <f t="shared" si="103"/>
        <v>168</v>
      </c>
      <c r="E687" s="23">
        <f t="shared" si="105"/>
        <v>252</v>
      </c>
      <c r="F687" s="23">
        <f t="shared" si="106"/>
        <v>700</v>
      </c>
      <c r="G687" s="23">
        <f t="shared" ca="1" si="107"/>
        <v>195</v>
      </c>
      <c r="H687" s="23">
        <f t="shared" ca="1" si="108"/>
        <v>561</v>
      </c>
      <c r="I687" s="23">
        <f t="shared" ca="1" si="109"/>
        <v>363</v>
      </c>
      <c r="J687" s="23">
        <f t="shared" ca="1" si="110"/>
        <v>561</v>
      </c>
      <c r="K687" s="23">
        <f t="shared" ca="1" si="111"/>
        <v>924</v>
      </c>
      <c r="L687" s="23">
        <f t="shared" ca="1" si="104"/>
        <v>51940</v>
      </c>
    </row>
    <row r="688" spans="3:12">
      <c r="C688" s="23">
        <f t="shared" si="102"/>
        <v>420</v>
      </c>
      <c r="D688" s="23">
        <f t="shared" si="103"/>
        <v>168</v>
      </c>
      <c r="E688" s="23">
        <f t="shared" si="105"/>
        <v>252</v>
      </c>
      <c r="F688" s="23">
        <f t="shared" si="106"/>
        <v>700</v>
      </c>
      <c r="G688" s="23">
        <f t="shared" ca="1" si="107"/>
        <v>206</v>
      </c>
      <c r="H688" s="23">
        <f t="shared" ca="1" si="108"/>
        <v>760</v>
      </c>
      <c r="I688" s="23">
        <f t="shared" ca="1" si="109"/>
        <v>374</v>
      </c>
      <c r="J688" s="23">
        <f t="shared" ca="1" si="110"/>
        <v>746</v>
      </c>
      <c r="K688" s="23">
        <f t="shared" ca="1" si="111"/>
        <v>1120</v>
      </c>
      <c r="L688" s="23">
        <f t="shared" ca="1" si="104"/>
        <v>78400</v>
      </c>
    </row>
    <row r="689" spans="3:12">
      <c r="C689" s="23">
        <f t="shared" si="102"/>
        <v>420</v>
      </c>
      <c r="D689" s="23">
        <f t="shared" si="103"/>
        <v>168</v>
      </c>
      <c r="E689" s="23">
        <f t="shared" si="105"/>
        <v>252</v>
      </c>
      <c r="F689" s="23">
        <f t="shared" si="106"/>
        <v>700</v>
      </c>
      <c r="G689" s="23">
        <f t="shared" ca="1" si="107"/>
        <v>200</v>
      </c>
      <c r="H689" s="23">
        <f t="shared" ca="1" si="108"/>
        <v>694</v>
      </c>
      <c r="I689" s="23">
        <f t="shared" ca="1" si="109"/>
        <v>368</v>
      </c>
      <c r="J689" s="23">
        <f t="shared" ca="1" si="110"/>
        <v>694</v>
      </c>
      <c r="K689" s="23">
        <f t="shared" ca="1" si="111"/>
        <v>1062</v>
      </c>
      <c r="L689" s="23">
        <f t="shared" ca="1" si="104"/>
        <v>70570</v>
      </c>
    </row>
    <row r="690" spans="3:12">
      <c r="C690" s="23">
        <f t="shared" si="102"/>
        <v>420</v>
      </c>
      <c r="D690" s="23">
        <f t="shared" si="103"/>
        <v>168</v>
      </c>
      <c r="E690" s="23">
        <f t="shared" si="105"/>
        <v>252</v>
      </c>
      <c r="F690" s="23">
        <f t="shared" si="106"/>
        <v>700</v>
      </c>
      <c r="G690" s="23">
        <f t="shared" ca="1" si="107"/>
        <v>188</v>
      </c>
      <c r="H690" s="23">
        <f t="shared" ca="1" si="108"/>
        <v>682</v>
      </c>
      <c r="I690" s="23">
        <f t="shared" ca="1" si="109"/>
        <v>356</v>
      </c>
      <c r="J690" s="23">
        <f t="shared" ca="1" si="110"/>
        <v>682</v>
      </c>
      <c r="K690" s="23">
        <f t="shared" ca="1" si="111"/>
        <v>1038</v>
      </c>
      <c r="L690" s="23">
        <f t="shared" ca="1" si="104"/>
        <v>67330</v>
      </c>
    </row>
    <row r="691" spans="3:12">
      <c r="C691" s="23">
        <f t="shared" si="102"/>
        <v>420</v>
      </c>
      <c r="D691" s="23">
        <f t="shared" si="103"/>
        <v>168</v>
      </c>
      <c r="E691" s="23">
        <f t="shared" si="105"/>
        <v>252</v>
      </c>
      <c r="F691" s="23">
        <f t="shared" si="106"/>
        <v>700</v>
      </c>
      <c r="G691" s="23">
        <f t="shared" ca="1" si="107"/>
        <v>218</v>
      </c>
      <c r="H691" s="23">
        <f t="shared" ca="1" si="108"/>
        <v>585</v>
      </c>
      <c r="I691" s="23">
        <f t="shared" ca="1" si="109"/>
        <v>386</v>
      </c>
      <c r="J691" s="23">
        <f t="shared" ca="1" si="110"/>
        <v>585</v>
      </c>
      <c r="K691" s="23">
        <f t="shared" ca="1" si="111"/>
        <v>971</v>
      </c>
      <c r="L691" s="23">
        <f t="shared" ca="1" si="104"/>
        <v>58285</v>
      </c>
    </row>
    <row r="692" spans="3:12">
      <c r="C692" s="23">
        <f t="shared" si="102"/>
        <v>420</v>
      </c>
      <c r="D692" s="23">
        <f t="shared" si="103"/>
        <v>168</v>
      </c>
      <c r="E692" s="23">
        <f t="shared" si="105"/>
        <v>252</v>
      </c>
      <c r="F692" s="23">
        <f t="shared" si="106"/>
        <v>700</v>
      </c>
      <c r="G692" s="23">
        <f t="shared" ca="1" si="107"/>
        <v>222</v>
      </c>
      <c r="H692" s="23">
        <f t="shared" ca="1" si="108"/>
        <v>579</v>
      </c>
      <c r="I692" s="23">
        <f t="shared" ca="1" si="109"/>
        <v>390</v>
      </c>
      <c r="J692" s="23">
        <f t="shared" ca="1" si="110"/>
        <v>579</v>
      </c>
      <c r="K692" s="23">
        <f t="shared" ca="1" si="111"/>
        <v>969</v>
      </c>
      <c r="L692" s="23">
        <f t="shared" ca="1" si="104"/>
        <v>58015</v>
      </c>
    </row>
    <row r="693" spans="3:12">
      <c r="C693" s="23">
        <f t="shared" si="102"/>
        <v>420</v>
      </c>
      <c r="D693" s="23">
        <f t="shared" si="103"/>
        <v>168</v>
      </c>
      <c r="E693" s="23">
        <f t="shared" si="105"/>
        <v>252</v>
      </c>
      <c r="F693" s="23">
        <f t="shared" si="106"/>
        <v>700</v>
      </c>
      <c r="G693" s="23">
        <f t="shared" ca="1" si="107"/>
        <v>216</v>
      </c>
      <c r="H693" s="23">
        <f t="shared" ca="1" si="108"/>
        <v>633</v>
      </c>
      <c r="I693" s="23">
        <f t="shared" ca="1" si="109"/>
        <v>384</v>
      </c>
      <c r="J693" s="23">
        <f t="shared" ca="1" si="110"/>
        <v>633</v>
      </c>
      <c r="K693" s="23">
        <f t="shared" ca="1" si="111"/>
        <v>1017</v>
      </c>
      <c r="L693" s="23">
        <f t="shared" ca="1" si="104"/>
        <v>64495</v>
      </c>
    </row>
    <row r="694" spans="3:12">
      <c r="C694" s="23">
        <f t="shared" si="102"/>
        <v>420</v>
      </c>
      <c r="D694" s="23">
        <f t="shared" si="103"/>
        <v>168</v>
      </c>
      <c r="E694" s="23">
        <f t="shared" si="105"/>
        <v>252</v>
      </c>
      <c r="F694" s="23">
        <f t="shared" si="106"/>
        <v>700</v>
      </c>
      <c r="G694" s="23">
        <f t="shared" ca="1" si="107"/>
        <v>203</v>
      </c>
      <c r="H694" s="23">
        <f t="shared" ca="1" si="108"/>
        <v>668</v>
      </c>
      <c r="I694" s="23">
        <f t="shared" ca="1" si="109"/>
        <v>371</v>
      </c>
      <c r="J694" s="23">
        <f t="shared" ca="1" si="110"/>
        <v>668</v>
      </c>
      <c r="K694" s="23">
        <f t="shared" ca="1" si="111"/>
        <v>1039</v>
      </c>
      <c r="L694" s="23">
        <f t="shared" ca="1" si="104"/>
        <v>67465</v>
      </c>
    </row>
    <row r="695" spans="3:12">
      <c r="C695" s="23">
        <f t="shared" si="102"/>
        <v>420</v>
      </c>
      <c r="D695" s="23">
        <f t="shared" si="103"/>
        <v>168</v>
      </c>
      <c r="E695" s="23">
        <f t="shared" si="105"/>
        <v>252</v>
      </c>
      <c r="F695" s="23">
        <f t="shared" si="106"/>
        <v>700</v>
      </c>
      <c r="G695" s="23">
        <f t="shared" ca="1" si="107"/>
        <v>207</v>
      </c>
      <c r="H695" s="23">
        <f t="shared" ca="1" si="108"/>
        <v>652</v>
      </c>
      <c r="I695" s="23">
        <f t="shared" ca="1" si="109"/>
        <v>375</v>
      </c>
      <c r="J695" s="23">
        <f t="shared" ca="1" si="110"/>
        <v>652</v>
      </c>
      <c r="K695" s="23">
        <f t="shared" ca="1" si="111"/>
        <v>1027</v>
      </c>
      <c r="L695" s="23">
        <f t="shared" ca="1" si="104"/>
        <v>65845</v>
      </c>
    </row>
    <row r="696" spans="3:12">
      <c r="C696" s="23">
        <f t="shared" si="102"/>
        <v>420</v>
      </c>
      <c r="D696" s="23">
        <f t="shared" si="103"/>
        <v>168</v>
      </c>
      <c r="E696" s="23">
        <f t="shared" si="105"/>
        <v>252</v>
      </c>
      <c r="F696" s="23">
        <f t="shared" si="106"/>
        <v>700</v>
      </c>
      <c r="G696" s="23">
        <f t="shared" ca="1" si="107"/>
        <v>198</v>
      </c>
      <c r="H696" s="23">
        <f t="shared" ca="1" si="108"/>
        <v>683</v>
      </c>
      <c r="I696" s="23">
        <f t="shared" ca="1" si="109"/>
        <v>366</v>
      </c>
      <c r="J696" s="23">
        <f t="shared" ca="1" si="110"/>
        <v>683</v>
      </c>
      <c r="K696" s="23">
        <f t="shared" ca="1" si="111"/>
        <v>1049</v>
      </c>
      <c r="L696" s="23">
        <f t="shared" ca="1" si="104"/>
        <v>68815</v>
      </c>
    </row>
    <row r="697" spans="3:12">
      <c r="C697" s="23">
        <f t="shared" si="102"/>
        <v>420</v>
      </c>
      <c r="D697" s="23">
        <f t="shared" si="103"/>
        <v>168</v>
      </c>
      <c r="E697" s="23">
        <f t="shared" si="105"/>
        <v>252</v>
      </c>
      <c r="F697" s="23">
        <f t="shared" si="106"/>
        <v>700</v>
      </c>
      <c r="G697" s="23">
        <f t="shared" ca="1" si="107"/>
        <v>208</v>
      </c>
      <c r="H697" s="23">
        <f t="shared" ca="1" si="108"/>
        <v>760</v>
      </c>
      <c r="I697" s="23">
        <f t="shared" ca="1" si="109"/>
        <v>376</v>
      </c>
      <c r="J697" s="23">
        <f t="shared" ca="1" si="110"/>
        <v>744</v>
      </c>
      <c r="K697" s="23">
        <f t="shared" ca="1" si="111"/>
        <v>1120</v>
      </c>
      <c r="L697" s="23">
        <f t="shared" ca="1" si="104"/>
        <v>78400</v>
      </c>
    </row>
    <row r="698" spans="3:12">
      <c r="C698" s="23">
        <f t="shared" si="102"/>
        <v>420</v>
      </c>
      <c r="D698" s="23">
        <f t="shared" si="103"/>
        <v>168</v>
      </c>
      <c r="E698" s="23">
        <f t="shared" si="105"/>
        <v>252</v>
      </c>
      <c r="F698" s="23">
        <f t="shared" si="106"/>
        <v>700</v>
      </c>
      <c r="G698" s="23">
        <f t="shared" ca="1" si="107"/>
        <v>257</v>
      </c>
      <c r="H698" s="23">
        <f t="shared" ca="1" si="108"/>
        <v>692</v>
      </c>
      <c r="I698" s="23">
        <f t="shared" ca="1" si="109"/>
        <v>420</v>
      </c>
      <c r="J698" s="23">
        <f t="shared" ca="1" si="110"/>
        <v>692</v>
      </c>
      <c r="K698" s="23">
        <f t="shared" ca="1" si="111"/>
        <v>1112</v>
      </c>
      <c r="L698" s="23">
        <f t="shared" ca="1" si="104"/>
        <v>77320</v>
      </c>
    </row>
    <row r="699" spans="3:12">
      <c r="C699" s="23">
        <f t="shared" si="102"/>
        <v>420</v>
      </c>
      <c r="D699" s="23">
        <f t="shared" si="103"/>
        <v>168</v>
      </c>
      <c r="E699" s="23">
        <f t="shared" si="105"/>
        <v>252</v>
      </c>
      <c r="F699" s="23">
        <f t="shared" si="106"/>
        <v>700</v>
      </c>
      <c r="G699" s="23">
        <f t="shared" ca="1" si="107"/>
        <v>229</v>
      </c>
      <c r="H699" s="23">
        <f t="shared" ca="1" si="108"/>
        <v>517</v>
      </c>
      <c r="I699" s="23">
        <f t="shared" ca="1" si="109"/>
        <v>397</v>
      </c>
      <c r="J699" s="23">
        <f t="shared" ca="1" si="110"/>
        <v>517</v>
      </c>
      <c r="K699" s="23">
        <f t="shared" ca="1" si="111"/>
        <v>914</v>
      </c>
      <c r="L699" s="23">
        <f t="shared" ca="1" si="104"/>
        <v>50590</v>
      </c>
    </row>
    <row r="700" spans="3:12">
      <c r="C700" s="23">
        <f t="shared" si="102"/>
        <v>420</v>
      </c>
      <c r="D700" s="23">
        <f t="shared" si="103"/>
        <v>168</v>
      </c>
      <c r="E700" s="23">
        <f t="shared" si="105"/>
        <v>252</v>
      </c>
      <c r="F700" s="23">
        <f t="shared" si="106"/>
        <v>700</v>
      </c>
      <c r="G700" s="23">
        <f t="shared" ca="1" si="107"/>
        <v>205</v>
      </c>
      <c r="H700" s="23">
        <f t="shared" ca="1" si="108"/>
        <v>511</v>
      </c>
      <c r="I700" s="23">
        <f t="shared" ca="1" si="109"/>
        <v>373</v>
      </c>
      <c r="J700" s="23">
        <f t="shared" ca="1" si="110"/>
        <v>511</v>
      </c>
      <c r="K700" s="23">
        <f t="shared" ca="1" si="111"/>
        <v>884</v>
      </c>
      <c r="L700" s="23">
        <f t="shared" ca="1" si="104"/>
        <v>46540</v>
      </c>
    </row>
    <row r="701" spans="3:12">
      <c r="C701" s="23">
        <f t="shared" si="102"/>
        <v>420</v>
      </c>
      <c r="D701" s="23">
        <f t="shared" si="103"/>
        <v>168</v>
      </c>
      <c r="E701" s="23">
        <f t="shared" si="105"/>
        <v>252</v>
      </c>
      <c r="F701" s="23">
        <f t="shared" si="106"/>
        <v>700</v>
      </c>
      <c r="G701" s="23">
        <f t="shared" ca="1" si="107"/>
        <v>180</v>
      </c>
      <c r="H701" s="23">
        <f t="shared" ca="1" si="108"/>
        <v>619</v>
      </c>
      <c r="I701" s="23">
        <f t="shared" ca="1" si="109"/>
        <v>348</v>
      </c>
      <c r="J701" s="23">
        <f t="shared" ca="1" si="110"/>
        <v>619</v>
      </c>
      <c r="K701" s="23">
        <f t="shared" ca="1" si="111"/>
        <v>967</v>
      </c>
      <c r="L701" s="23">
        <f t="shared" ca="1" si="104"/>
        <v>57745</v>
      </c>
    </row>
    <row r="702" spans="3:12">
      <c r="C702" s="23">
        <f t="shared" si="102"/>
        <v>420</v>
      </c>
      <c r="D702" s="23">
        <f t="shared" si="103"/>
        <v>168</v>
      </c>
      <c r="E702" s="23">
        <f t="shared" si="105"/>
        <v>252</v>
      </c>
      <c r="F702" s="23">
        <f t="shared" si="106"/>
        <v>700</v>
      </c>
      <c r="G702" s="23">
        <f t="shared" ca="1" si="107"/>
        <v>196</v>
      </c>
      <c r="H702" s="23">
        <f t="shared" ca="1" si="108"/>
        <v>661</v>
      </c>
      <c r="I702" s="23">
        <f t="shared" ca="1" si="109"/>
        <v>364</v>
      </c>
      <c r="J702" s="23">
        <f t="shared" ca="1" si="110"/>
        <v>661</v>
      </c>
      <c r="K702" s="23">
        <f t="shared" ca="1" si="111"/>
        <v>1025</v>
      </c>
      <c r="L702" s="23">
        <f t="shared" ca="1" si="104"/>
        <v>65575</v>
      </c>
    </row>
    <row r="703" spans="3:12">
      <c r="C703" s="23">
        <f t="shared" si="102"/>
        <v>420</v>
      </c>
      <c r="D703" s="23">
        <f t="shared" si="103"/>
        <v>168</v>
      </c>
      <c r="E703" s="23">
        <f t="shared" si="105"/>
        <v>252</v>
      </c>
      <c r="F703" s="23">
        <f t="shared" si="106"/>
        <v>700</v>
      </c>
      <c r="G703" s="23">
        <f t="shared" ca="1" si="107"/>
        <v>257</v>
      </c>
      <c r="H703" s="23">
        <f t="shared" ca="1" si="108"/>
        <v>619</v>
      </c>
      <c r="I703" s="23">
        <f t="shared" ca="1" si="109"/>
        <v>420</v>
      </c>
      <c r="J703" s="23">
        <f t="shared" ca="1" si="110"/>
        <v>619</v>
      </c>
      <c r="K703" s="23">
        <f t="shared" ca="1" si="111"/>
        <v>1039</v>
      </c>
      <c r="L703" s="23">
        <f t="shared" ca="1" si="104"/>
        <v>67465</v>
      </c>
    </row>
    <row r="704" spans="3:12">
      <c r="C704" s="23">
        <f t="shared" si="102"/>
        <v>420</v>
      </c>
      <c r="D704" s="23">
        <f t="shared" si="103"/>
        <v>168</v>
      </c>
      <c r="E704" s="23">
        <f t="shared" si="105"/>
        <v>252</v>
      </c>
      <c r="F704" s="23">
        <f t="shared" si="106"/>
        <v>700</v>
      </c>
      <c r="G704" s="23">
        <f t="shared" ca="1" si="107"/>
        <v>181</v>
      </c>
      <c r="H704" s="23">
        <f t="shared" ca="1" si="108"/>
        <v>592</v>
      </c>
      <c r="I704" s="23">
        <f t="shared" ca="1" si="109"/>
        <v>349</v>
      </c>
      <c r="J704" s="23">
        <f t="shared" ca="1" si="110"/>
        <v>592</v>
      </c>
      <c r="K704" s="23">
        <f t="shared" ca="1" si="111"/>
        <v>941</v>
      </c>
      <c r="L704" s="23">
        <f t="shared" ca="1" si="104"/>
        <v>54235</v>
      </c>
    </row>
    <row r="705" spans="3:12">
      <c r="C705" s="23">
        <f t="shared" si="102"/>
        <v>420</v>
      </c>
      <c r="D705" s="23">
        <f t="shared" si="103"/>
        <v>168</v>
      </c>
      <c r="E705" s="23">
        <f t="shared" si="105"/>
        <v>252</v>
      </c>
      <c r="F705" s="23">
        <f t="shared" si="106"/>
        <v>700</v>
      </c>
      <c r="G705" s="23">
        <f t="shared" ca="1" si="107"/>
        <v>202</v>
      </c>
      <c r="H705" s="23">
        <f t="shared" ca="1" si="108"/>
        <v>591</v>
      </c>
      <c r="I705" s="23">
        <f t="shared" ca="1" si="109"/>
        <v>370</v>
      </c>
      <c r="J705" s="23">
        <f t="shared" ca="1" si="110"/>
        <v>591</v>
      </c>
      <c r="K705" s="23">
        <f t="shared" ca="1" si="111"/>
        <v>961</v>
      </c>
      <c r="L705" s="23">
        <f t="shared" ca="1" si="104"/>
        <v>56935</v>
      </c>
    </row>
    <row r="706" spans="3:12">
      <c r="C706" s="23">
        <f t="shared" si="102"/>
        <v>420</v>
      </c>
      <c r="D706" s="23">
        <f t="shared" si="103"/>
        <v>168</v>
      </c>
      <c r="E706" s="23">
        <f t="shared" si="105"/>
        <v>252</v>
      </c>
      <c r="F706" s="23">
        <f t="shared" si="106"/>
        <v>700</v>
      </c>
      <c r="G706" s="23">
        <f t="shared" ca="1" si="107"/>
        <v>266</v>
      </c>
      <c r="H706" s="23">
        <f t="shared" ca="1" si="108"/>
        <v>745</v>
      </c>
      <c r="I706" s="23">
        <f t="shared" ca="1" si="109"/>
        <v>420</v>
      </c>
      <c r="J706" s="23">
        <f t="shared" ca="1" si="110"/>
        <v>700</v>
      </c>
      <c r="K706" s="23">
        <f t="shared" ca="1" si="111"/>
        <v>1120</v>
      </c>
      <c r="L706" s="23">
        <f t="shared" ca="1" si="104"/>
        <v>78400</v>
      </c>
    </row>
    <row r="707" spans="3:12">
      <c r="C707" s="23">
        <f t="shared" si="102"/>
        <v>420</v>
      </c>
      <c r="D707" s="23">
        <f t="shared" si="103"/>
        <v>168</v>
      </c>
      <c r="E707" s="23">
        <f t="shared" si="105"/>
        <v>252</v>
      </c>
      <c r="F707" s="23">
        <f t="shared" si="106"/>
        <v>700</v>
      </c>
      <c r="G707" s="23">
        <f t="shared" ca="1" si="107"/>
        <v>225</v>
      </c>
      <c r="H707" s="23">
        <f t="shared" ca="1" si="108"/>
        <v>629</v>
      </c>
      <c r="I707" s="23">
        <f t="shared" ca="1" si="109"/>
        <v>393</v>
      </c>
      <c r="J707" s="23">
        <f t="shared" ca="1" si="110"/>
        <v>629</v>
      </c>
      <c r="K707" s="23">
        <f t="shared" ca="1" si="111"/>
        <v>1022</v>
      </c>
      <c r="L707" s="23">
        <f t="shared" ca="1" si="104"/>
        <v>65170</v>
      </c>
    </row>
    <row r="708" spans="3:12">
      <c r="C708" s="23">
        <f t="shared" si="102"/>
        <v>420</v>
      </c>
      <c r="D708" s="23">
        <f t="shared" si="103"/>
        <v>168</v>
      </c>
      <c r="E708" s="23">
        <f t="shared" si="105"/>
        <v>252</v>
      </c>
      <c r="F708" s="23">
        <f t="shared" si="106"/>
        <v>700</v>
      </c>
      <c r="G708" s="23">
        <f t="shared" ca="1" si="107"/>
        <v>232</v>
      </c>
      <c r="H708" s="23">
        <f t="shared" ca="1" si="108"/>
        <v>721</v>
      </c>
      <c r="I708" s="23">
        <f t="shared" ca="1" si="109"/>
        <v>400</v>
      </c>
      <c r="J708" s="23">
        <f t="shared" ca="1" si="110"/>
        <v>720</v>
      </c>
      <c r="K708" s="23">
        <f t="shared" ca="1" si="111"/>
        <v>1120</v>
      </c>
      <c r="L708" s="23">
        <f t="shared" ca="1" si="104"/>
        <v>78400</v>
      </c>
    </row>
    <row r="709" spans="3:12">
      <c r="C709" s="23">
        <f t="shared" si="102"/>
        <v>420</v>
      </c>
      <c r="D709" s="23">
        <f t="shared" si="103"/>
        <v>168</v>
      </c>
      <c r="E709" s="23">
        <f t="shared" si="105"/>
        <v>252</v>
      </c>
      <c r="F709" s="23">
        <f t="shared" si="106"/>
        <v>700</v>
      </c>
      <c r="G709" s="23">
        <f t="shared" ca="1" si="107"/>
        <v>188</v>
      </c>
      <c r="H709" s="23">
        <f t="shared" ca="1" si="108"/>
        <v>651</v>
      </c>
      <c r="I709" s="23">
        <f t="shared" ca="1" si="109"/>
        <v>356</v>
      </c>
      <c r="J709" s="23">
        <f t="shared" ca="1" si="110"/>
        <v>651</v>
      </c>
      <c r="K709" s="23">
        <f t="shared" ca="1" si="111"/>
        <v>1007</v>
      </c>
      <c r="L709" s="23">
        <f t="shared" ca="1" si="104"/>
        <v>63145</v>
      </c>
    </row>
    <row r="710" spans="3:12">
      <c r="C710" s="23">
        <f t="shared" si="102"/>
        <v>420</v>
      </c>
      <c r="D710" s="23">
        <f t="shared" si="103"/>
        <v>168</v>
      </c>
      <c r="E710" s="23">
        <f t="shared" si="105"/>
        <v>252</v>
      </c>
      <c r="F710" s="23">
        <f t="shared" si="106"/>
        <v>700</v>
      </c>
      <c r="G710" s="23">
        <f t="shared" ca="1" si="107"/>
        <v>264</v>
      </c>
      <c r="H710" s="23">
        <f t="shared" ca="1" si="108"/>
        <v>620</v>
      </c>
      <c r="I710" s="23">
        <f t="shared" ca="1" si="109"/>
        <v>420</v>
      </c>
      <c r="J710" s="23">
        <f t="shared" ca="1" si="110"/>
        <v>620</v>
      </c>
      <c r="K710" s="23">
        <f t="shared" ca="1" si="111"/>
        <v>1040</v>
      </c>
      <c r="L710" s="23">
        <f t="shared" ca="1" si="104"/>
        <v>67600</v>
      </c>
    </row>
    <row r="711" spans="3:12">
      <c r="C711" s="23">
        <f t="shared" si="102"/>
        <v>420</v>
      </c>
      <c r="D711" s="23">
        <f t="shared" si="103"/>
        <v>168</v>
      </c>
      <c r="E711" s="23">
        <f t="shared" si="105"/>
        <v>252</v>
      </c>
      <c r="F711" s="23">
        <f t="shared" si="106"/>
        <v>700</v>
      </c>
      <c r="G711" s="23">
        <f t="shared" ca="1" si="107"/>
        <v>191</v>
      </c>
      <c r="H711" s="23">
        <f t="shared" ca="1" si="108"/>
        <v>763</v>
      </c>
      <c r="I711" s="23">
        <f t="shared" ca="1" si="109"/>
        <v>359</v>
      </c>
      <c r="J711" s="23">
        <f t="shared" ca="1" si="110"/>
        <v>761</v>
      </c>
      <c r="K711" s="23">
        <f t="shared" ca="1" si="111"/>
        <v>1120</v>
      </c>
      <c r="L711" s="23">
        <f t="shared" ca="1" si="104"/>
        <v>78400</v>
      </c>
    </row>
    <row r="712" spans="3:12">
      <c r="C712" s="23">
        <f t="shared" si="102"/>
        <v>420</v>
      </c>
      <c r="D712" s="23">
        <f t="shared" si="103"/>
        <v>168</v>
      </c>
      <c r="E712" s="23">
        <f t="shared" si="105"/>
        <v>252</v>
      </c>
      <c r="F712" s="23">
        <f t="shared" si="106"/>
        <v>700</v>
      </c>
      <c r="G712" s="23">
        <f t="shared" ca="1" si="107"/>
        <v>252</v>
      </c>
      <c r="H712" s="23">
        <f t="shared" ca="1" si="108"/>
        <v>704</v>
      </c>
      <c r="I712" s="23">
        <f t="shared" ca="1" si="109"/>
        <v>420</v>
      </c>
      <c r="J712" s="23">
        <f t="shared" ca="1" si="110"/>
        <v>700</v>
      </c>
      <c r="K712" s="23">
        <f t="shared" ca="1" si="111"/>
        <v>1120</v>
      </c>
      <c r="L712" s="23">
        <f t="shared" ca="1" si="104"/>
        <v>78400</v>
      </c>
    </row>
    <row r="713" spans="3:12">
      <c r="C713" s="23">
        <f t="shared" si="102"/>
        <v>420</v>
      </c>
      <c r="D713" s="23">
        <f t="shared" si="103"/>
        <v>168</v>
      </c>
      <c r="E713" s="23">
        <f t="shared" si="105"/>
        <v>252</v>
      </c>
      <c r="F713" s="23">
        <f t="shared" si="106"/>
        <v>700</v>
      </c>
      <c r="G713" s="23">
        <f t="shared" ca="1" si="107"/>
        <v>216</v>
      </c>
      <c r="H713" s="23">
        <f t="shared" ca="1" si="108"/>
        <v>644</v>
      </c>
      <c r="I713" s="23">
        <f t="shared" ca="1" si="109"/>
        <v>384</v>
      </c>
      <c r="J713" s="23">
        <f t="shared" ca="1" si="110"/>
        <v>644</v>
      </c>
      <c r="K713" s="23">
        <f t="shared" ca="1" si="111"/>
        <v>1028</v>
      </c>
      <c r="L713" s="23">
        <f t="shared" ca="1" si="104"/>
        <v>65980</v>
      </c>
    </row>
    <row r="714" spans="3:12">
      <c r="C714" s="23">
        <f t="shared" si="102"/>
        <v>420</v>
      </c>
      <c r="D714" s="23">
        <f t="shared" si="103"/>
        <v>168</v>
      </c>
      <c r="E714" s="23">
        <f t="shared" si="105"/>
        <v>252</v>
      </c>
      <c r="F714" s="23">
        <f t="shared" si="106"/>
        <v>700</v>
      </c>
      <c r="G714" s="23">
        <f t="shared" ca="1" si="107"/>
        <v>232</v>
      </c>
      <c r="H714" s="23">
        <f t="shared" ca="1" si="108"/>
        <v>616</v>
      </c>
      <c r="I714" s="23">
        <f t="shared" ca="1" si="109"/>
        <v>400</v>
      </c>
      <c r="J714" s="23">
        <f t="shared" ca="1" si="110"/>
        <v>616</v>
      </c>
      <c r="K714" s="23">
        <f t="shared" ca="1" si="111"/>
        <v>1016</v>
      </c>
      <c r="L714" s="23">
        <f t="shared" ca="1" si="104"/>
        <v>64360</v>
      </c>
    </row>
    <row r="715" spans="3:12">
      <c r="C715" s="23">
        <f t="shared" si="102"/>
        <v>420</v>
      </c>
      <c r="D715" s="23">
        <f t="shared" si="103"/>
        <v>168</v>
      </c>
      <c r="E715" s="23">
        <f t="shared" si="105"/>
        <v>252</v>
      </c>
      <c r="F715" s="23">
        <f t="shared" si="106"/>
        <v>700</v>
      </c>
      <c r="G715" s="23">
        <f t="shared" ca="1" si="107"/>
        <v>187</v>
      </c>
      <c r="H715" s="23">
        <f t="shared" ca="1" si="108"/>
        <v>634</v>
      </c>
      <c r="I715" s="23">
        <f t="shared" ca="1" si="109"/>
        <v>355</v>
      </c>
      <c r="J715" s="23">
        <f t="shared" ca="1" si="110"/>
        <v>634</v>
      </c>
      <c r="K715" s="23">
        <f t="shared" ca="1" si="111"/>
        <v>989</v>
      </c>
      <c r="L715" s="23">
        <f t="shared" ca="1" si="104"/>
        <v>60715</v>
      </c>
    </row>
    <row r="716" spans="3:12">
      <c r="C716" s="23">
        <f t="shared" ref="C716:C779" si="112">$B$4</f>
        <v>420</v>
      </c>
      <c r="D716" s="23">
        <f t="shared" ref="D716:D779" si="113">$B$5</f>
        <v>168</v>
      </c>
      <c r="E716" s="23">
        <f t="shared" si="105"/>
        <v>252</v>
      </c>
      <c r="F716" s="23">
        <f t="shared" si="106"/>
        <v>700</v>
      </c>
      <c r="G716" s="23">
        <f t="shared" ca="1" si="107"/>
        <v>200</v>
      </c>
      <c r="H716" s="23">
        <f t="shared" ca="1" si="108"/>
        <v>661</v>
      </c>
      <c r="I716" s="23">
        <f t="shared" ca="1" si="109"/>
        <v>368</v>
      </c>
      <c r="J716" s="23">
        <f t="shared" ca="1" si="110"/>
        <v>661</v>
      </c>
      <c r="K716" s="23">
        <f t="shared" ca="1" si="111"/>
        <v>1029</v>
      </c>
      <c r="L716" s="23">
        <f t="shared" ref="L716:L779" ca="1" si="114">K716*$B$2-(F716+C716)*$B$1</f>
        <v>66115</v>
      </c>
    </row>
    <row r="717" spans="3:12">
      <c r="C717" s="23">
        <f t="shared" si="112"/>
        <v>420</v>
      </c>
      <c r="D717" s="23">
        <f t="shared" si="113"/>
        <v>168</v>
      </c>
      <c r="E717" s="23">
        <f t="shared" ref="E717:E780" si="115">MAX(0,C717-D717)</f>
        <v>252</v>
      </c>
      <c r="F717" s="23">
        <f t="shared" ref="F717:F780" si="116">$E$8</f>
        <v>700</v>
      </c>
      <c r="G717" s="23">
        <f t="shared" ref="G717:G780" ca="1" si="117">_xlfn.FLOOR.MATH(MAX(0,_xlfn.NORM.INV(RAND(),$B$6*$B$8,$B$3*($B$8+0.0001))))</f>
        <v>199</v>
      </c>
      <c r="H717" s="23">
        <f t="shared" ref="H717:H780" ca="1" si="118">_xlfn.FLOOR.MATH(MAX(0,_xlfn.NORM.INV(RAND(),$B$6*(1-$B$8),$B$3*(1.00001-$B$8))))</f>
        <v>582</v>
      </c>
      <c r="I717" s="23">
        <f t="shared" ref="I717:I780" ca="1" si="119">MIN(C717,D717+G717)</f>
        <v>367</v>
      </c>
      <c r="J717" s="23">
        <f t="shared" ref="J717:J780" ca="1" si="120">MIN(C717-I717+F717,H717)</f>
        <v>582</v>
      </c>
      <c r="K717" s="23">
        <f t="shared" ref="K717:K780" ca="1" si="121">I717+J717</f>
        <v>949</v>
      </c>
      <c r="L717" s="23">
        <f t="shared" ca="1" si="114"/>
        <v>55315</v>
      </c>
    </row>
    <row r="718" spans="3:12">
      <c r="C718" s="23">
        <f t="shared" si="112"/>
        <v>420</v>
      </c>
      <c r="D718" s="23">
        <f t="shared" si="113"/>
        <v>168</v>
      </c>
      <c r="E718" s="23">
        <f t="shared" si="115"/>
        <v>252</v>
      </c>
      <c r="F718" s="23">
        <f t="shared" si="116"/>
        <v>700</v>
      </c>
      <c r="G718" s="23">
        <f t="shared" ca="1" si="117"/>
        <v>175</v>
      </c>
      <c r="H718" s="23">
        <f t="shared" ca="1" si="118"/>
        <v>682</v>
      </c>
      <c r="I718" s="23">
        <f t="shared" ca="1" si="119"/>
        <v>343</v>
      </c>
      <c r="J718" s="23">
        <f t="shared" ca="1" si="120"/>
        <v>682</v>
      </c>
      <c r="K718" s="23">
        <f t="shared" ca="1" si="121"/>
        <v>1025</v>
      </c>
      <c r="L718" s="23">
        <f t="shared" ca="1" si="114"/>
        <v>65575</v>
      </c>
    </row>
    <row r="719" spans="3:12">
      <c r="C719" s="23">
        <f t="shared" si="112"/>
        <v>420</v>
      </c>
      <c r="D719" s="23">
        <f t="shared" si="113"/>
        <v>168</v>
      </c>
      <c r="E719" s="23">
        <f t="shared" si="115"/>
        <v>252</v>
      </c>
      <c r="F719" s="23">
        <f t="shared" si="116"/>
        <v>700</v>
      </c>
      <c r="G719" s="23">
        <f t="shared" ca="1" si="117"/>
        <v>207</v>
      </c>
      <c r="H719" s="23">
        <f t="shared" ca="1" si="118"/>
        <v>554</v>
      </c>
      <c r="I719" s="23">
        <f t="shared" ca="1" si="119"/>
        <v>375</v>
      </c>
      <c r="J719" s="23">
        <f t="shared" ca="1" si="120"/>
        <v>554</v>
      </c>
      <c r="K719" s="23">
        <f t="shared" ca="1" si="121"/>
        <v>929</v>
      </c>
      <c r="L719" s="23">
        <f t="shared" ca="1" si="114"/>
        <v>52615</v>
      </c>
    </row>
    <row r="720" spans="3:12">
      <c r="C720" s="23">
        <f t="shared" si="112"/>
        <v>420</v>
      </c>
      <c r="D720" s="23">
        <f t="shared" si="113"/>
        <v>168</v>
      </c>
      <c r="E720" s="23">
        <f t="shared" si="115"/>
        <v>252</v>
      </c>
      <c r="F720" s="23">
        <f t="shared" si="116"/>
        <v>700</v>
      </c>
      <c r="G720" s="23">
        <f t="shared" ca="1" si="117"/>
        <v>195</v>
      </c>
      <c r="H720" s="23">
        <f t="shared" ca="1" si="118"/>
        <v>559</v>
      </c>
      <c r="I720" s="23">
        <f t="shared" ca="1" si="119"/>
        <v>363</v>
      </c>
      <c r="J720" s="23">
        <f t="shared" ca="1" si="120"/>
        <v>559</v>
      </c>
      <c r="K720" s="23">
        <f t="shared" ca="1" si="121"/>
        <v>922</v>
      </c>
      <c r="L720" s="23">
        <f t="shared" ca="1" si="114"/>
        <v>51670</v>
      </c>
    </row>
    <row r="721" spans="3:12">
      <c r="C721" s="23">
        <f t="shared" si="112"/>
        <v>420</v>
      </c>
      <c r="D721" s="23">
        <f t="shared" si="113"/>
        <v>168</v>
      </c>
      <c r="E721" s="23">
        <f t="shared" si="115"/>
        <v>252</v>
      </c>
      <c r="F721" s="23">
        <f t="shared" si="116"/>
        <v>700</v>
      </c>
      <c r="G721" s="23">
        <f t="shared" ca="1" si="117"/>
        <v>251</v>
      </c>
      <c r="H721" s="23">
        <f t="shared" ca="1" si="118"/>
        <v>568</v>
      </c>
      <c r="I721" s="23">
        <f t="shared" ca="1" si="119"/>
        <v>419</v>
      </c>
      <c r="J721" s="23">
        <f t="shared" ca="1" si="120"/>
        <v>568</v>
      </c>
      <c r="K721" s="23">
        <f t="shared" ca="1" si="121"/>
        <v>987</v>
      </c>
      <c r="L721" s="23">
        <f t="shared" ca="1" si="114"/>
        <v>60445</v>
      </c>
    </row>
    <row r="722" spans="3:12">
      <c r="C722" s="23">
        <f t="shared" si="112"/>
        <v>420</v>
      </c>
      <c r="D722" s="23">
        <f t="shared" si="113"/>
        <v>168</v>
      </c>
      <c r="E722" s="23">
        <f t="shared" si="115"/>
        <v>252</v>
      </c>
      <c r="F722" s="23">
        <f t="shared" si="116"/>
        <v>700</v>
      </c>
      <c r="G722" s="23">
        <f t="shared" ca="1" si="117"/>
        <v>204</v>
      </c>
      <c r="H722" s="23">
        <f t="shared" ca="1" si="118"/>
        <v>641</v>
      </c>
      <c r="I722" s="23">
        <f t="shared" ca="1" si="119"/>
        <v>372</v>
      </c>
      <c r="J722" s="23">
        <f t="shared" ca="1" si="120"/>
        <v>641</v>
      </c>
      <c r="K722" s="23">
        <f t="shared" ca="1" si="121"/>
        <v>1013</v>
      </c>
      <c r="L722" s="23">
        <f t="shared" ca="1" si="114"/>
        <v>63955</v>
      </c>
    </row>
    <row r="723" spans="3:12">
      <c r="C723" s="23">
        <f t="shared" si="112"/>
        <v>420</v>
      </c>
      <c r="D723" s="23">
        <f t="shared" si="113"/>
        <v>168</v>
      </c>
      <c r="E723" s="23">
        <f t="shared" si="115"/>
        <v>252</v>
      </c>
      <c r="F723" s="23">
        <f t="shared" si="116"/>
        <v>700</v>
      </c>
      <c r="G723" s="23">
        <f t="shared" ca="1" si="117"/>
        <v>224</v>
      </c>
      <c r="H723" s="23">
        <f t="shared" ca="1" si="118"/>
        <v>655</v>
      </c>
      <c r="I723" s="23">
        <f t="shared" ca="1" si="119"/>
        <v>392</v>
      </c>
      <c r="J723" s="23">
        <f t="shared" ca="1" si="120"/>
        <v>655</v>
      </c>
      <c r="K723" s="23">
        <f t="shared" ca="1" si="121"/>
        <v>1047</v>
      </c>
      <c r="L723" s="23">
        <f t="shared" ca="1" si="114"/>
        <v>68545</v>
      </c>
    </row>
    <row r="724" spans="3:12">
      <c r="C724" s="23">
        <f t="shared" si="112"/>
        <v>420</v>
      </c>
      <c r="D724" s="23">
        <f t="shared" si="113"/>
        <v>168</v>
      </c>
      <c r="E724" s="23">
        <f t="shared" si="115"/>
        <v>252</v>
      </c>
      <c r="F724" s="23">
        <f t="shared" si="116"/>
        <v>700</v>
      </c>
      <c r="G724" s="23">
        <f t="shared" ca="1" si="117"/>
        <v>213</v>
      </c>
      <c r="H724" s="23">
        <f t="shared" ca="1" si="118"/>
        <v>617</v>
      </c>
      <c r="I724" s="23">
        <f t="shared" ca="1" si="119"/>
        <v>381</v>
      </c>
      <c r="J724" s="23">
        <f t="shared" ca="1" si="120"/>
        <v>617</v>
      </c>
      <c r="K724" s="23">
        <f t="shared" ca="1" si="121"/>
        <v>998</v>
      </c>
      <c r="L724" s="23">
        <f t="shared" ca="1" si="114"/>
        <v>61930</v>
      </c>
    </row>
    <row r="725" spans="3:12">
      <c r="C725" s="23">
        <f t="shared" si="112"/>
        <v>420</v>
      </c>
      <c r="D725" s="23">
        <f t="shared" si="113"/>
        <v>168</v>
      </c>
      <c r="E725" s="23">
        <f t="shared" si="115"/>
        <v>252</v>
      </c>
      <c r="F725" s="23">
        <f t="shared" si="116"/>
        <v>700</v>
      </c>
      <c r="G725" s="23">
        <f t="shared" ca="1" si="117"/>
        <v>186</v>
      </c>
      <c r="H725" s="23">
        <f t="shared" ca="1" si="118"/>
        <v>643</v>
      </c>
      <c r="I725" s="23">
        <f t="shared" ca="1" si="119"/>
        <v>354</v>
      </c>
      <c r="J725" s="23">
        <f t="shared" ca="1" si="120"/>
        <v>643</v>
      </c>
      <c r="K725" s="23">
        <f t="shared" ca="1" si="121"/>
        <v>997</v>
      </c>
      <c r="L725" s="23">
        <f t="shared" ca="1" si="114"/>
        <v>61795</v>
      </c>
    </row>
    <row r="726" spans="3:12">
      <c r="C726" s="23">
        <f t="shared" si="112"/>
        <v>420</v>
      </c>
      <c r="D726" s="23">
        <f t="shared" si="113"/>
        <v>168</v>
      </c>
      <c r="E726" s="23">
        <f t="shared" si="115"/>
        <v>252</v>
      </c>
      <c r="F726" s="23">
        <f t="shared" si="116"/>
        <v>700</v>
      </c>
      <c r="G726" s="23">
        <f t="shared" ca="1" si="117"/>
        <v>201</v>
      </c>
      <c r="H726" s="23">
        <f t="shared" ca="1" si="118"/>
        <v>650</v>
      </c>
      <c r="I726" s="23">
        <f t="shared" ca="1" si="119"/>
        <v>369</v>
      </c>
      <c r="J726" s="23">
        <f t="shared" ca="1" si="120"/>
        <v>650</v>
      </c>
      <c r="K726" s="23">
        <f t="shared" ca="1" si="121"/>
        <v>1019</v>
      </c>
      <c r="L726" s="23">
        <f t="shared" ca="1" si="114"/>
        <v>64765</v>
      </c>
    </row>
    <row r="727" spans="3:12">
      <c r="C727" s="23">
        <f t="shared" si="112"/>
        <v>420</v>
      </c>
      <c r="D727" s="23">
        <f t="shared" si="113"/>
        <v>168</v>
      </c>
      <c r="E727" s="23">
        <f t="shared" si="115"/>
        <v>252</v>
      </c>
      <c r="F727" s="23">
        <f t="shared" si="116"/>
        <v>700</v>
      </c>
      <c r="G727" s="23">
        <f t="shared" ca="1" si="117"/>
        <v>192</v>
      </c>
      <c r="H727" s="23">
        <f t="shared" ca="1" si="118"/>
        <v>592</v>
      </c>
      <c r="I727" s="23">
        <f t="shared" ca="1" si="119"/>
        <v>360</v>
      </c>
      <c r="J727" s="23">
        <f t="shared" ca="1" si="120"/>
        <v>592</v>
      </c>
      <c r="K727" s="23">
        <f t="shared" ca="1" si="121"/>
        <v>952</v>
      </c>
      <c r="L727" s="23">
        <f t="shared" ca="1" si="114"/>
        <v>55720</v>
      </c>
    </row>
    <row r="728" spans="3:12">
      <c r="C728" s="23">
        <f t="shared" si="112"/>
        <v>420</v>
      </c>
      <c r="D728" s="23">
        <f t="shared" si="113"/>
        <v>168</v>
      </c>
      <c r="E728" s="23">
        <f t="shared" si="115"/>
        <v>252</v>
      </c>
      <c r="F728" s="23">
        <f t="shared" si="116"/>
        <v>700</v>
      </c>
      <c r="G728" s="23">
        <f t="shared" ca="1" si="117"/>
        <v>229</v>
      </c>
      <c r="H728" s="23">
        <f t="shared" ca="1" si="118"/>
        <v>637</v>
      </c>
      <c r="I728" s="23">
        <f t="shared" ca="1" si="119"/>
        <v>397</v>
      </c>
      <c r="J728" s="23">
        <f t="shared" ca="1" si="120"/>
        <v>637</v>
      </c>
      <c r="K728" s="23">
        <f t="shared" ca="1" si="121"/>
        <v>1034</v>
      </c>
      <c r="L728" s="23">
        <f t="shared" ca="1" si="114"/>
        <v>66790</v>
      </c>
    </row>
    <row r="729" spans="3:12">
      <c r="C729" s="23">
        <f t="shared" si="112"/>
        <v>420</v>
      </c>
      <c r="D729" s="23">
        <f t="shared" si="113"/>
        <v>168</v>
      </c>
      <c r="E729" s="23">
        <f t="shared" si="115"/>
        <v>252</v>
      </c>
      <c r="F729" s="23">
        <f t="shared" si="116"/>
        <v>700</v>
      </c>
      <c r="G729" s="23">
        <f t="shared" ca="1" si="117"/>
        <v>268</v>
      </c>
      <c r="H729" s="23">
        <f t="shared" ca="1" si="118"/>
        <v>787</v>
      </c>
      <c r="I729" s="23">
        <f t="shared" ca="1" si="119"/>
        <v>420</v>
      </c>
      <c r="J729" s="23">
        <f t="shared" ca="1" si="120"/>
        <v>700</v>
      </c>
      <c r="K729" s="23">
        <f t="shared" ca="1" si="121"/>
        <v>1120</v>
      </c>
      <c r="L729" s="23">
        <f t="shared" ca="1" si="114"/>
        <v>78400</v>
      </c>
    </row>
    <row r="730" spans="3:12">
      <c r="C730" s="23">
        <f t="shared" si="112"/>
        <v>420</v>
      </c>
      <c r="D730" s="23">
        <f t="shared" si="113"/>
        <v>168</v>
      </c>
      <c r="E730" s="23">
        <f t="shared" si="115"/>
        <v>252</v>
      </c>
      <c r="F730" s="23">
        <f t="shared" si="116"/>
        <v>700</v>
      </c>
      <c r="G730" s="23">
        <f t="shared" ca="1" si="117"/>
        <v>206</v>
      </c>
      <c r="H730" s="23">
        <f t="shared" ca="1" si="118"/>
        <v>580</v>
      </c>
      <c r="I730" s="23">
        <f t="shared" ca="1" si="119"/>
        <v>374</v>
      </c>
      <c r="J730" s="23">
        <f t="shared" ca="1" si="120"/>
        <v>580</v>
      </c>
      <c r="K730" s="23">
        <f t="shared" ca="1" si="121"/>
        <v>954</v>
      </c>
      <c r="L730" s="23">
        <f t="shared" ca="1" si="114"/>
        <v>55990</v>
      </c>
    </row>
    <row r="731" spans="3:12">
      <c r="C731" s="23">
        <f t="shared" si="112"/>
        <v>420</v>
      </c>
      <c r="D731" s="23">
        <f t="shared" si="113"/>
        <v>168</v>
      </c>
      <c r="E731" s="23">
        <f t="shared" si="115"/>
        <v>252</v>
      </c>
      <c r="F731" s="23">
        <f t="shared" si="116"/>
        <v>700</v>
      </c>
      <c r="G731" s="23">
        <f t="shared" ca="1" si="117"/>
        <v>241</v>
      </c>
      <c r="H731" s="23">
        <f t="shared" ca="1" si="118"/>
        <v>562</v>
      </c>
      <c r="I731" s="23">
        <f t="shared" ca="1" si="119"/>
        <v>409</v>
      </c>
      <c r="J731" s="23">
        <f t="shared" ca="1" si="120"/>
        <v>562</v>
      </c>
      <c r="K731" s="23">
        <f t="shared" ca="1" si="121"/>
        <v>971</v>
      </c>
      <c r="L731" s="23">
        <f t="shared" ca="1" si="114"/>
        <v>58285</v>
      </c>
    </row>
    <row r="732" spans="3:12">
      <c r="C732" s="23">
        <f t="shared" si="112"/>
        <v>420</v>
      </c>
      <c r="D732" s="23">
        <f t="shared" si="113"/>
        <v>168</v>
      </c>
      <c r="E732" s="23">
        <f t="shared" si="115"/>
        <v>252</v>
      </c>
      <c r="F732" s="23">
        <f t="shared" si="116"/>
        <v>700</v>
      </c>
      <c r="G732" s="23">
        <f t="shared" ca="1" si="117"/>
        <v>194</v>
      </c>
      <c r="H732" s="23">
        <f t="shared" ca="1" si="118"/>
        <v>567</v>
      </c>
      <c r="I732" s="23">
        <f t="shared" ca="1" si="119"/>
        <v>362</v>
      </c>
      <c r="J732" s="23">
        <f t="shared" ca="1" si="120"/>
        <v>567</v>
      </c>
      <c r="K732" s="23">
        <f t="shared" ca="1" si="121"/>
        <v>929</v>
      </c>
      <c r="L732" s="23">
        <f t="shared" ca="1" si="114"/>
        <v>52615</v>
      </c>
    </row>
    <row r="733" spans="3:12">
      <c r="C733" s="23">
        <f t="shared" si="112"/>
        <v>420</v>
      </c>
      <c r="D733" s="23">
        <f t="shared" si="113"/>
        <v>168</v>
      </c>
      <c r="E733" s="23">
        <f t="shared" si="115"/>
        <v>252</v>
      </c>
      <c r="F733" s="23">
        <f t="shared" si="116"/>
        <v>700</v>
      </c>
      <c r="G733" s="23">
        <f t="shared" ca="1" si="117"/>
        <v>229</v>
      </c>
      <c r="H733" s="23">
        <f t="shared" ca="1" si="118"/>
        <v>720</v>
      </c>
      <c r="I733" s="23">
        <f t="shared" ca="1" si="119"/>
        <v>397</v>
      </c>
      <c r="J733" s="23">
        <f t="shared" ca="1" si="120"/>
        <v>720</v>
      </c>
      <c r="K733" s="23">
        <f t="shared" ca="1" si="121"/>
        <v>1117</v>
      </c>
      <c r="L733" s="23">
        <f t="shared" ca="1" si="114"/>
        <v>77995</v>
      </c>
    </row>
    <row r="734" spans="3:12">
      <c r="C734" s="23">
        <f t="shared" si="112"/>
        <v>420</v>
      </c>
      <c r="D734" s="23">
        <f t="shared" si="113"/>
        <v>168</v>
      </c>
      <c r="E734" s="23">
        <f t="shared" si="115"/>
        <v>252</v>
      </c>
      <c r="F734" s="23">
        <f t="shared" si="116"/>
        <v>700</v>
      </c>
      <c r="G734" s="23">
        <f t="shared" ca="1" si="117"/>
        <v>196</v>
      </c>
      <c r="H734" s="23">
        <f t="shared" ca="1" si="118"/>
        <v>544</v>
      </c>
      <c r="I734" s="23">
        <f t="shared" ca="1" si="119"/>
        <v>364</v>
      </c>
      <c r="J734" s="23">
        <f t="shared" ca="1" si="120"/>
        <v>544</v>
      </c>
      <c r="K734" s="23">
        <f t="shared" ca="1" si="121"/>
        <v>908</v>
      </c>
      <c r="L734" s="23">
        <f t="shared" ca="1" si="114"/>
        <v>49780</v>
      </c>
    </row>
    <row r="735" spans="3:12">
      <c r="C735" s="23">
        <f t="shared" si="112"/>
        <v>420</v>
      </c>
      <c r="D735" s="23">
        <f t="shared" si="113"/>
        <v>168</v>
      </c>
      <c r="E735" s="23">
        <f t="shared" si="115"/>
        <v>252</v>
      </c>
      <c r="F735" s="23">
        <f t="shared" si="116"/>
        <v>700</v>
      </c>
      <c r="G735" s="23">
        <f t="shared" ca="1" si="117"/>
        <v>219</v>
      </c>
      <c r="H735" s="23">
        <f t="shared" ca="1" si="118"/>
        <v>646</v>
      </c>
      <c r="I735" s="23">
        <f t="shared" ca="1" si="119"/>
        <v>387</v>
      </c>
      <c r="J735" s="23">
        <f t="shared" ca="1" si="120"/>
        <v>646</v>
      </c>
      <c r="K735" s="23">
        <f t="shared" ca="1" si="121"/>
        <v>1033</v>
      </c>
      <c r="L735" s="23">
        <f t="shared" ca="1" si="114"/>
        <v>66655</v>
      </c>
    </row>
    <row r="736" spans="3:12">
      <c r="C736" s="23">
        <f t="shared" si="112"/>
        <v>420</v>
      </c>
      <c r="D736" s="23">
        <f t="shared" si="113"/>
        <v>168</v>
      </c>
      <c r="E736" s="23">
        <f t="shared" si="115"/>
        <v>252</v>
      </c>
      <c r="F736" s="23">
        <f t="shared" si="116"/>
        <v>700</v>
      </c>
      <c r="G736" s="23">
        <f t="shared" ca="1" si="117"/>
        <v>252</v>
      </c>
      <c r="H736" s="23">
        <f t="shared" ca="1" si="118"/>
        <v>735</v>
      </c>
      <c r="I736" s="23">
        <f t="shared" ca="1" si="119"/>
        <v>420</v>
      </c>
      <c r="J736" s="23">
        <f t="shared" ca="1" si="120"/>
        <v>700</v>
      </c>
      <c r="K736" s="23">
        <f t="shared" ca="1" si="121"/>
        <v>1120</v>
      </c>
      <c r="L736" s="23">
        <f t="shared" ca="1" si="114"/>
        <v>78400</v>
      </c>
    </row>
    <row r="737" spans="3:12">
      <c r="C737" s="23">
        <f t="shared" si="112"/>
        <v>420</v>
      </c>
      <c r="D737" s="23">
        <f t="shared" si="113"/>
        <v>168</v>
      </c>
      <c r="E737" s="23">
        <f t="shared" si="115"/>
        <v>252</v>
      </c>
      <c r="F737" s="23">
        <f t="shared" si="116"/>
        <v>700</v>
      </c>
      <c r="G737" s="23">
        <f t="shared" ca="1" si="117"/>
        <v>242</v>
      </c>
      <c r="H737" s="23">
        <f t="shared" ca="1" si="118"/>
        <v>590</v>
      </c>
      <c r="I737" s="23">
        <f t="shared" ca="1" si="119"/>
        <v>410</v>
      </c>
      <c r="J737" s="23">
        <f t="shared" ca="1" si="120"/>
        <v>590</v>
      </c>
      <c r="K737" s="23">
        <f t="shared" ca="1" si="121"/>
        <v>1000</v>
      </c>
      <c r="L737" s="23">
        <f t="shared" ca="1" si="114"/>
        <v>62200</v>
      </c>
    </row>
    <row r="738" spans="3:12">
      <c r="C738" s="23">
        <f t="shared" si="112"/>
        <v>420</v>
      </c>
      <c r="D738" s="23">
        <f t="shared" si="113"/>
        <v>168</v>
      </c>
      <c r="E738" s="23">
        <f t="shared" si="115"/>
        <v>252</v>
      </c>
      <c r="F738" s="23">
        <f t="shared" si="116"/>
        <v>700</v>
      </c>
      <c r="G738" s="23">
        <f t="shared" ca="1" si="117"/>
        <v>205</v>
      </c>
      <c r="H738" s="23">
        <f t="shared" ca="1" si="118"/>
        <v>664</v>
      </c>
      <c r="I738" s="23">
        <f t="shared" ca="1" si="119"/>
        <v>373</v>
      </c>
      <c r="J738" s="23">
        <f t="shared" ca="1" si="120"/>
        <v>664</v>
      </c>
      <c r="K738" s="23">
        <f t="shared" ca="1" si="121"/>
        <v>1037</v>
      </c>
      <c r="L738" s="23">
        <f t="shared" ca="1" si="114"/>
        <v>67195</v>
      </c>
    </row>
    <row r="739" spans="3:12">
      <c r="C739" s="23">
        <f t="shared" si="112"/>
        <v>420</v>
      </c>
      <c r="D739" s="23">
        <f t="shared" si="113"/>
        <v>168</v>
      </c>
      <c r="E739" s="23">
        <f t="shared" si="115"/>
        <v>252</v>
      </c>
      <c r="F739" s="23">
        <f t="shared" si="116"/>
        <v>700</v>
      </c>
      <c r="G739" s="23">
        <f t="shared" ca="1" si="117"/>
        <v>192</v>
      </c>
      <c r="H739" s="23">
        <f t="shared" ca="1" si="118"/>
        <v>661</v>
      </c>
      <c r="I739" s="23">
        <f t="shared" ca="1" si="119"/>
        <v>360</v>
      </c>
      <c r="J739" s="23">
        <f t="shared" ca="1" si="120"/>
        <v>661</v>
      </c>
      <c r="K739" s="23">
        <f t="shared" ca="1" si="121"/>
        <v>1021</v>
      </c>
      <c r="L739" s="23">
        <f t="shared" ca="1" si="114"/>
        <v>65035</v>
      </c>
    </row>
    <row r="740" spans="3:12">
      <c r="C740" s="23">
        <f t="shared" si="112"/>
        <v>420</v>
      </c>
      <c r="D740" s="23">
        <f t="shared" si="113"/>
        <v>168</v>
      </c>
      <c r="E740" s="23">
        <f t="shared" si="115"/>
        <v>252</v>
      </c>
      <c r="F740" s="23">
        <f t="shared" si="116"/>
        <v>700</v>
      </c>
      <c r="G740" s="23">
        <f t="shared" ca="1" si="117"/>
        <v>235</v>
      </c>
      <c r="H740" s="23">
        <f t="shared" ca="1" si="118"/>
        <v>738</v>
      </c>
      <c r="I740" s="23">
        <f t="shared" ca="1" si="119"/>
        <v>403</v>
      </c>
      <c r="J740" s="23">
        <f t="shared" ca="1" si="120"/>
        <v>717</v>
      </c>
      <c r="K740" s="23">
        <f t="shared" ca="1" si="121"/>
        <v>1120</v>
      </c>
      <c r="L740" s="23">
        <f t="shared" ca="1" si="114"/>
        <v>78400</v>
      </c>
    </row>
    <row r="741" spans="3:12">
      <c r="C741" s="23">
        <f t="shared" si="112"/>
        <v>420</v>
      </c>
      <c r="D741" s="23">
        <f t="shared" si="113"/>
        <v>168</v>
      </c>
      <c r="E741" s="23">
        <f t="shared" si="115"/>
        <v>252</v>
      </c>
      <c r="F741" s="23">
        <f t="shared" si="116"/>
        <v>700</v>
      </c>
      <c r="G741" s="23">
        <f t="shared" ca="1" si="117"/>
        <v>237</v>
      </c>
      <c r="H741" s="23">
        <f t="shared" ca="1" si="118"/>
        <v>720</v>
      </c>
      <c r="I741" s="23">
        <f t="shared" ca="1" si="119"/>
        <v>405</v>
      </c>
      <c r="J741" s="23">
        <f t="shared" ca="1" si="120"/>
        <v>715</v>
      </c>
      <c r="K741" s="23">
        <f t="shared" ca="1" si="121"/>
        <v>1120</v>
      </c>
      <c r="L741" s="23">
        <f t="shared" ca="1" si="114"/>
        <v>78400</v>
      </c>
    </row>
    <row r="742" spans="3:12">
      <c r="C742" s="23">
        <f t="shared" si="112"/>
        <v>420</v>
      </c>
      <c r="D742" s="23">
        <f t="shared" si="113"/>
        <v>168</v>
      </c>
      <c r="E742" s="23">
        <f t="shared" si="115"/>
        <v>252</v>
      </c>
      <c r="F742" s="23">
        <f t="shared" si="116"/>
        <v>700</v>
      </c>
      <c r="G742" s="23">
        <f t="shared" ca="1" si="117"/>
        <v>235</v>
      </c>
      <c r="H742" s="23">
        <f t="shared" ca="1" si="118"/>
        <v>726</v>
      </c>
      <c r="I742" s="23">
        <f t="shared" ca="1" si="119"/>
        <v>403</v>
      </c>
      <c r="J742" s="23">
        <f t="shared" ca="1" si="120"/>
        <v>717</v>
      </c>
      <c r="K742" s="23">
        <f t="shared" ca="1" si="121"/>
        <v>1120</v>
      </c>
      <c r="L742" s="23">
        <f t="shared" ca="1" si="114"/>
        <v>78400</v>
      </c>
    </row>
    <row r="743" spans="3:12">
      <c r="C743" s="23">
        <f t="shared" si="112"/>
        <v>420</v>
      </c>
      <c r="D743" s="23">
        <f t="shared" si="113"/>
        <v>168</v>
      </c>
      <c r="E743" s="23">
        <f t="shared" si="115"/>
        <v>252</v>
      </c>
      <c r="F743" s="23">
        <f t="shared" si="116"/>
        <v>700</v>
      </c>
      <c r="G743" s="23">
        <f t="shared" ca="1" si="117"/>
        <v>196</v>
      </c>
      <c r="H743" s="23">
        <f t="shared" ca="1" si="118"/>
        <v>688</v>
      </c>
      <c r="I743" s="23">
        <f t="shared" ca="1" si="119"/>
        <v>364</v>
      </c>
      <c r="J743" s="23">
        <f t="shared" ca="1" si="120"/>
        <v>688</v>
      </c>
      <c r="K743" s="23">
        <f t="shared" ca="1" si="121"/>
        <v>1052</v>
      </c>
      <c r="L743" s="23">
        <f t="shared" ca="1" si="114"/>
        <v>69220</v>
      </c>
    </row>
    <row r="744" spans="3:12">
      <c r="C744" s="23">
        <f t="shared" si="112"/>
        <v>420</v>
      </c>
      <c r="D744" s="23">
        <f t="shared" si="113"/>
        <v>168</v>
      </c>
      <c r="E744" s="23">
        <f t="shared" si="115"/>
        <v>252</v>
      </c>
      <c r="F744" s="23">
        <f t="shared" si="116"/>
        <v>700</v>
      </c>
      <c r="G744" s="23">
        <f t="shared" ca="1" si="117"/>
        <v>232</v>
      </c>
      <c r="H744" s="23">
        <f t="shared" ca="1" si="118"/>
        <v>581</v>
      </c>
      <c r="I744" s="23">
        <f t="shared" ca="1" si="119"/>
        <v>400</v>
      </c>
      <c r="J744" s="23">
        <f t="shared" ca="1" si="120"/>
        <v>581</v>
      </c>
      <c r="K744" s="23">
        <f t="shared" ca="1" si="121"/>
        <v>981</v>
      </c>
      <c r="L744" s="23">
        <f t="shared" ca="1" si="114"/>
        <v>59635</v>
      </c>
    </row>
    <row r="745" spans="3:12">
      <c r="C745" s="23">
        <f t="shared" si="112"/>
        <v>420</v>
      </c>
      <c r="D745" s="23">
        <f t="shared" si="113"/>
        <v>168</v>
      </c>
      <c r="E745" s="23">
        <f t="shared" si="115"/>
        <v>252</v>
      </c>
      <c r="F745" s="23">
        <f t="shared" si="116"/>
        <v>700</v>
      </c>
      <c r="G745" s="23">
        <f t="shared" ca="1" si="117"/>
        <v>211</v>
      </c>
      <c r="H745" s="23">
        <f t="shared" ca="1" si="118"/>
        <v>674</v>
      </c>
      <c r="I745" s="23">
        <f t="shared" ca="1" si="119"/>
        <v>379</v>
      </c>
      <c r="J745" s="23">
        <f t="shared" ca="1" si="120"/>
        <v>674</v>
      </c>
      <c r="K745" s="23">
        <f t="shared" ca="1" si="121"/>
        <v>1053</v>
      </c>
      <c r="L745" s="23">
        <f t="shared" ca="1" si="114"/>
        <v>69355</v>
      </c>
    </row>
    <row r="746" spans="3:12">
      <c r="C746" s="23">
        <f t="shared" si="112"/>
        <v>420</v>
      </c>
      <c r="D746" s="23">
        <f t="shared" si="113"/>
        <v>168</v>
      </c>
      <c r="E746" s="23">
        <f t="shared" si="115"/>
        <v>252</v>
      </c>
      <c r="F746" s="23">
        <f t="shared" si="116"/>
        <v>700</v>
      </c>
      <c r="G746" s="23">
        <f t="shared" ca="1" si="117"/>
        <v>240</v>
      </c>
      <c r="H746" s="23">
        <f t="shared" ca="1" si="118"/>
        <v>680</v>
      </c>
      <c r="I746" s="23">
        <f t="shared" ca="1" si="119"/>
        <v>408</v>
      </c>
      <c r="J746" s="23">
        <f t="shared" ca="1" si="120"/>
        <v>680</v>
      </c>
      <c r="K746" s="23">
        <f t="shared" ca="1" si="121"/>
        <v>1088</v>
      </c>
      <c r="L746" s="23">
        <f t="shared" ca="1" si="114"/>
        <v>74080</v>
      </c>
    </row>
    <row r="747" spans="3:12">
      <c r="C747" s="23">
        <f t="shared" si="112"/>
        <v>420</v>
      </c>
      <c r="D747" s="23">
        <f t="shared" si="113"/>
        <v>168</v>
      </c>
      <c r="E747" s="23">
        <f t="shared" si="115"/>
        <v>252</v>
      </c>
      <c r="F747" s="23">
        <f t="shared" si="116"/>
        <v>700</v>
      </c>
      <c r="G747" s="23">
        <f t="shared" ca="1" si="117"/>
        <v>241</v>
      </c>
      <c r="H747" s="23">
        <f t="shared" ca="1" si="118"/>
        <v>636</v>
      </c>
      <c r="I747" s="23">
        <f t="shared" ca="1" si="119"/>
        <v>409</v>
      </c>
      <c r="J747" s="23">
        <f t="shared" ca="1" si="120"/>
        <v>636</v>
      </c>
      <c r="K747" s="23">
        <f t="shared" ca="1" si="121"/>
        <v>1045</v>
      </c>
      <c r="L747" s="23">
        <f t="shared" ca="1" si="114"/>
        <v>68275</v>
      </c>
    </row>
    <row r="748" spans="3:12">
      <c r="C748" s="23">
        <f t="shared" si="112"/>
        <v>420</v>
      </c>
      <c r="D748" s="23">
        <f t="shared" si="113"/>
        <v>168</v>
      </c>
      <c r="E748" s="23">
        <f t="shared" si="115"/>
        <v>252</v>
      </c>
      <c r="F748" s="23">
        <f t="shared" si="116"/>
        <v>700</v>
      </c>
      <c r="G748" s="23">
        <f t="shared" ca="1" si="117"/>
        <v>215</v>
      </c>
      <c r="H748" s="23">
        <f t="shared" ca="1" si="118"/>
        <v>586</v>
      </c>
      <c r="I748" s="23">
        <f t="shared" ca="1" si="119"/>
        <v>383</v>
      </c>
      <c r="J748" s="23">
        <f t="shared" ca="1" si="120"/>
        <v>586</v>
      </c>
      <c r="K748" s="23">
        <f t="shared" ca="1" si="121"/>
        <v>969</v>
      </c>
      <c r="L748" s="23">
        <f t="shared" ca="1" si="114"/>
        <v>58015</v>
      </c>
    </row>
    <row r="749" spans="3:12">
      <c r="C749" s="23">
        <f t="shared" si="112"/>
        <v>420</v>
      </c>
      <c r="D749" s="23">
        <f t="shared" si="113"/>
        <v>168</v>
      </c>
      <c r="E749" s="23">
        <f t="shared" si="115"/>
        <v>252</v>
      </c>
      <c r="F749" s="23">
        <f t="shared" si="116"/>
        <v>700</v>
      </c>
      <c r="G749" s="23">
        <f t="shared" ca="1" si="117"/>
        <v>186</v>
      </c>
      <c r="H749" s="23">
        <f t="shared" ca="1" si="118"/>
        <v>663</v>
      </c>
      <c r="I749" s="23">
        <f t="shared" ca="1" si="119"/>
        <v>354</v>
      </c>
      <c r="J749" s="23">
        <f t="shared" ca="1" si="120"/>
        <v>663</v>
      </c>
      <c r="K749" s="23">
        <f t="shared" ca="1" si="121"/>
        <v>1017</v>
      </c>
      <c r="L749" s="23">
        <f t="shared" ca="1" si="114"/>
        <v>64495</v>
      </c>
    </row>
    <row r="750" spans="3:12">
      <c r="C750" s="23">
        <f t="shared" si="112"/>
        <v>420</v>
      </c>
      <c r="D750" s="23">
        <f t="shared" si="113"/>
        <v>168</v>
      </c>
      <c r="E750" s="23">
        <f t="shared" si="115"/>
        <v>252</v>
      </c>
      <c r="F750" s="23">
        <f t="shared" si="116"/>
        <v>700</v>
      </c>
      <c r="G750" s="23">
        <f t="shared" ca="1" si="117"/>
        <v>207</v>
      </c>
      <c r="H750" s="23">
        <f t="shared" ca="1" si="118"/>
        <v>741</v>
      </c>
      <c r="I750" s="23">
        <f t="shared" ca="1" si="119"/>
        <v>375</v>
      </c>
      <c r="J750" s="23">
        <f t="shared" ca="1" si="120"/>
        <v>741</v>
      </c>
      <c r="K750" s="23">
        <f t="shared" ca="1" si="121"/>
        <v>1116</v>
      </c>
      <c r="L750" s="23">
        <f t="shared" ca="1" si="114"/>
        <v>77860</v>
      </c>
    </row>
    <row r="751" spans="3:12">
      <c r="C751" s="23">
        <f t="shared" si="112"/>
        <v>420</v>
      </c>
      <c r="D751" s="23">
        <f t="shared" si="113"/>
        <v>168</v>
      </c>
      <c r="E751" s="23">
        <f t="shared" si="115"/>
        <v>252</v>
      </c>
      <c r="F751" s="23">
        <f t="shared" si="116"/>
        <v>700</v>
      </c>
      <c r="G751" s="23">
        <f t="shared" ca="1" si="117"/>
        <v>190</v>
      </c>
      <c r="H751" s="23">
        <f t="shared" ca="1" si="118"/>
        <v>612</v>
      </c>
      <c r="I751" s="23">
        <f t="shared" ca="1" si="119"/>
        <v>358</v>
      </c>
      <c r="J751" s="23">
        <f t="shared" ca="1" si="120"/>
        <v>612</v>
      </c>
      <c r="K751" s="23">
        <f t="shared" ca="1" si="121"/>
        <v>970</v>
      </c>
      <c r="L751" s="23">
        <f t="shared" ca="1" si="114"/>
        <v>58150</v>
      </c>
    </row>
    <row r="752" spans="3:12">
      <c r="C752" s="23">
        <f t="shared" si="112"/>
        <v>420</v>
      </c>
      <c r="D752" s="23">
        <f t="shared" si="113"/>
        <v>168</v>
      </c>
      <c r="E752" s="23">
        <f t="shared" si="115"/>
        <v>252</v>
      </c>
      <c r="F752" s="23">
        <f t="shared" si="116"/>
        <v>700</v>
      </c>
      <c r="G752" s="23">
        <f t="shared" ca="1" si="117"/>
        <v>216</v>
      </c>
      <c r="H752" s="23">
        <f t="shared" ca="1" si="118"/>
        <v>719</v>
      </c>
      <c r="I752" s="23">
        <f t="shared" ca="1" si="119"/>
        <v>384</v>
      </c>
      <c r="J752" s="23">
        <f t="shared" ca="1" si="120"/>
        <v>719</v>
      </c>
      <c r="K752" s="23">
        <f t="shared" ca="1" si="121"/>
        <v>1103</v>
      </c>
      <c r="L752" s="23">
        <f t="shared" ca="1" si="114"/>
        <v>76105</v>
      </c>
    </row>
    <row r="753" spans="3:12">
      <c r="C753" s="23">
        <f t="shared" si="112"/>
        <v>420</v>
      </c>
      <c r="D753" s="23">
        <f t="shared" si="113"/>
        <v>168</v>
      </c>
      <c r="E753" s="23">
        <f t="shared" si="115"/>
        <v>252</v>
      </c>
      <c r="F753" s="23">
        <f t="shared" si="116"/>
        <v>700</v>
      </c>
      <c r="G753" s="23">
        <f t="shared" ca="1" si="117"/>
        <v>208</v>
      </c>
      <c r="H753" s="23">
        <f t="shared" ca="1" si="118"/>
        <v>663</v>
      </c>
      <c r="I753" s="23">
        <f t="shared" ca="1" si="119"/>
        <v>376</v>
      </c>
      <c r="J753" s="23">
        <f t="shared" ca="1" si="120"/>
        <v>663</v>
      </c>
      <c r="K753" s="23">
        <f t="shared" ca="1" si="121"/>
        <v>1039</v>
      </c>
      <c r="L753" s="23">
        <f t="shared" ca="1" si="114"/>
        <v>67465</v>
      </c>
    </row>
    <row r="754" spans="3:12">
      <c r="C754" s="23">
        <f t="shared" si="112"/>
        <v>420</v>
      </c>
      <c r="D754" s="23">
        <f t="shared" si="113"/>
        <v>168</v>
      </c>
      <c r="E754" s="23">
        <f t="shared" si="115"/>
        <v>252</v>
      </c>
      <c r="F754" s="23">
        <f t="shared" si="116"/>
        <v>700</v>
      </c>
      <c r="G754" s="23">
        <f t="shared" ca="1" si="117"/>
        <v>218</v>
      </c>
      <c r="H754" s="23">
        <f t="shared" ca="1" si="118"/>
        <v>702</v>
      </c>
      <c r="I754" s="23">
        <f t="shared" ca="1" si="119"/>
        <v>386</v>
      </c>
      <c r="J754" s="23">
        <f t="shared" ca="1" si="120"/>
        <v>702</v>
      </c>
      <c r="K754" s="23">
        <f t="shared" ca="1" si="121"/>
        <v>1088</v>
      </c>
      <c r="L754" s="23">
        <f t="shared" ca="1" si="114"/>
        <v>74080</v>
      </c>
    </row>
    <row r="755" spans="3:12">
      <c r="C755" s="23">
        <f t="shared" si="112"/>
        <v>420</v>
      </c>
      <c r="D755" s="23">
        <f t="shared" si="113"/>
        <v>168</v>
      </c>
      <c r="E755" s="23">
        <f t="shared" si="115"/>
        <v>252</v>
      </c>
      <c r="F755" s="23">
        <f t="shared" si="116"/>
        <v>700</v>
      </c>
      <c r="G755" s="23">
        <f t="shared" ca="1" si="117"/>
        <v>231</v>
      </c>
      <c r="H755" s="23">
        <f t="shared" ca="1" si="118"/>
        <v>719</v>
      </c>
      <c r="I755" s="23">
        <f t="shared" ca="1" si="119"/>
        <v>399</v>
      </c>
      <c r="J755" s="23">
        <f t="shared" ca="1" si="120"/>
        <v>719</v>
      </c>
      <c r="K755" s="23">
        <f t="shared" ca="1" si="121"/>
        <v>1118</v>
      </c>
      <c r="L755" s="23">
        <f t="shared" ca="1" si="114"/>
        <v>78130</v>
      </c>
    </row>
    <row r="756" spans="3:12">
      <c r="C756" s="23">
        <f t="shared" si="112"/>
        <v>420</v>
      </c>
      <c r="D756" s="23">
        <f t="shared" si="113"/>
        <v>168</v>
      </c>
      <c r="E756" s="23">
        <f t="shared" si="115"/>
        <v>252</v>
      </c>
      <c r="F756" s="23">
        <f t="shared" si="116"/>
        <v>700</v>
      </c>
      <c r="G756" s="23">
        <f t="shared" ca="1" si="117"/>
        <v>208</v>
      </c>
      <c r="H756" s="23">
        <f t="shared" ca="1" si="118"/>
        <v>755</v>
      </c>
      <c r="I756" s="23">
        <f t="shared" ca="1" si="119"/>
        <v>376</v>
      </c>
      <c r="J756" s="23">
        <f t="shared" ca="1" si="120"/>
        <v>744</v>
      </c>
      <c r="K756" s="23">
        <f t="shared" ca="1" si="121"/>
        <v>1120</v>
      </c>
      <c r="L756" s="23">
        <f t="shared" ca="1" si="114"/>
        <v>78400</v>
      </c>
    </row>
    <row r="757" spans="3:12">
      <c r="C757" s="23">
        <f t="shared" si="112"/>
        <v>420</v>
      </c>
      <c r="D757" s="23">
        <f t="shared" si="113"/>
        <v>168</v>
      </c>
      <c r="E757" s="23">
        <f t="shared" si="115"/>
        <v>252</v>
      </c>
      <c r="F757" s="23">
        <f t="shared" si="116"/>
        <v>700</v>
      </c>
      <c r="G757" s="23">
        <f t="shared" ca="1" si="117"/>
        <v>201</v>
      </c>
      <c r="H757" s="23">
        <f t="shared" ca="1" si="118"/>
        <v>737</v>
      </c>
      <c r="I757" s="23">
        <f t="shared" ca="1" si="119"/>
        <v>369</v>
      </c>
      <c r="J757" s="23">
        <f t="shared" ca="1" si="120"/>
        <v>737</v>
      </c>
      <c r="K757" s="23">
        <f t="shared" ca="1" si="121"/>
        <v>1106</v>
      </c>
      <c r="L757" s="23">
        <f t="shared" ca="1" si="114"/>
        <v>76510</v>
      </c>
    </row>
    <row r="758" spans="3:12">
      <c r="C758" s="23">
        <f t="shared" si="112"/>
        <v>420</v>
      </c>
      <c r="D758" s="23">
        <f t="shared" si="113"/>
        <v>168</v>
      </c>
      <c r="E758" s="23">
        <f t="shared" si="115"/>
        <v>252</v>
      </c>
      <c r="F758" s="23">
        <f t="shared" si="116"/>
        <v>700</v>
      </c>
      <c r="G758" s="23">
        <f t="shared" ca="1" si="117"/>
        <v>211</v>
      </c>
      <c r="H758" s="23">
        <f t="shared" ca="1" si="118"/>
        <v>682</v>
      </c>
      <c r="I758" s="23">
        <f t="shared" ca="1" si="119"/>
        <v>379</v>
      </c>
      <c r="J758" s="23">
        <f t="shared" ca="1" si="120"/>
        <v>682</v>
      </c>
      <c r="K758" s="23">
        <f t="shared" ca="1" si="121"/>
        <v>1061</v>
      </c>
      <c r="L758" s="23">
        <f t="shared" ca="1" si="114"/>
        <v>70435</v>
      </c>
    </row>
    <row r="759" spans="3:12">
      <c r="C759" s="23">
        <f t="shared" si="112"/>
        <v>420</v>
      </c>
      <c r="D759" s="23">
        <f t="shared" si="113"/>
        <v>168</v>
      </c>
      <c r="E759" s="23">
        <f t="shared" si="115"/>
        <v>252</v>
      </c>
      <c r="F759" s="23">
        <f t="shared" si="116"/>
        <v>700</v>
      </c>
      <c r="G759" s="23">
        <f t="shared" ca="1" si="117"/>
        <v>234</v>
      </c>
      <c r="H759" s="23">
        <f t="shared" ca="1" si="118"/>
        <v>603</v>
      </c>
      <c r="I759" s="23">
        <f t="shared" ca="1" si="119"/>
        <v>402</v>
      </c>
      <c r="J759" s="23">
        <f t="shared" ca="1" si="120"/>
        <v>603</v>
      </c>
      <c r="K759" s="23">
        <f t="shared" ca="1" si="121"/>
        <v>1005</v>
      </c>
      <c r="L759" s="23">
        <f t="shared" ca="1" si="114"/>
        <v>62875</v>
      </c>
    </row>
    <row r="760" spans="3:12">
      <c r="C760" s="23">
        <f t="shared" si="112"/>
        <v>420</v>
      </c>
      <c r="D760" s="23">
        <f t="shared" si="113"/>
        <v>168</v>
      </c>
      <c r="E760" s="23">
        <f t="shared" si="115"/>
        <v>252</v>
      </c>
      <c r="F760" s="23">
        <f t="shared" si="116"/>
        <v>700</v>
      </c>
      <c r="G760" s="23">
        <f t="shared" ca="1" si="117"/>
        <v>214</v>
      </c>
      <c r="H760" s="23">
        <f t="shared" ca="1" si="118"/>
        <v>689</v>
      </c>
      <c r="I760" s="23">
        <f t="shared" ca="1" si="119"/>
        <v>382</v>
      </c>
      <c r="J760" s="23">
        <f t="shared" ca="1" si="120"/>
        <v>689</v>
      </c>
      <c r="K760" s="23">
        <f t="shared" ca="1" si="121"/>
        <v>1071</v>
      </c>
      <c r="L760" s="23">
        <f t="shared" ca="1" si="114"/>
        <v>71785</v>
      </c>
    </row>
    <row r="761" spans="3:12">
      <c r="C761" s="23">
        <f t="shared" si="112"/>
        <v>420</v>
      </c>
      <c r="D761" s="23">
        <f t="shared" si="113"/>
        <v>168</v>
      </c>
      <c r="E761" s="23">
        <f t="shared" si="115"/>
        <v>252</v>
      </c>
      <c r="F761" s="23">
        <f t="shared" si="116"/>
        <v>700</v>
      </c>
      <c r="G761" s="23">
        <f t="shared" ca="1" si="117"/>
        <v>207</v>
      </c>
      <c r="H761" s="23">
        <f t="shared" ca="1" si="118"/>
        <v>585</v>
      </c>
      <c r="I761" s="23">
        <f t="shared" ca="1" si="119"/>
        <v>375</v>
      </c>
      <c r="J761" s="23">
        <f t="shared" ca="1" si="120"/>
        <v>585</v>
      </c>
      <c r="K761" s="23">
        <f t="shared" ca="1" si="121"/>
        <v>960</v>
      </c>
      <c r="L761" s="23">
        <f t="shared" ca="1" si="114"/>
        <v>56800</v>
      </c>
    </row>
    <row r="762" spans="3:12">
      <c r="C762" s="23">
        <f t="shared" si="112"/>
        <v>420</v>
      </c>
      <c r="D762" s="23">
        <f t="shared" si="113"/>
        <v>168</v>
      </c>
      <c r="E762" s="23">
        <f t="shared" si="115"/>
        <v>252</v>
      </c>
      <c r="F762" s="23">
        <f t="shared" si="116"/>
        <v>700</v>
      </c>
      <c r="G762" s="23">
        <f t="shared" ca="1" si="117"/>
        <v>206</v>
      </c>
      <c r="H762" s="23">
        <f t="shared" ca="1" si="118"/>
        <v>651</v>
      </c>
      <c r="I762" s="23">
        <f t="shared" ca="1" si="119"/>
        <v>374</v>
      </c>
      <c r="J762" s="23">
        <f t="shared" ca="1" si="120"/>
        <v>651</v>
      </c>
      <c r="K762" s="23">
        <f t="shared" ca="1" si="121"/>
        <v>1025</v>
      </c>
      <c r="L762" s="23">
        <f t="shared" ca="1" si="114"/>
        <v>65575</v>
      </c>
    </row>
    <row r="763" spans="3:12">
      <c r="C763" s="23">
        <f t="shared" si="112"/>
        <v>420</v>
      </c>
      <c r="D763" s="23">
        <f t="shared" si="113"/>
        <v>168</v>
      </c>
      <c r="E763" s="23">
        <f t="shared" si="115"/>
        <v>252</v>
      </c>
      <c r="F763" s="23">
        <f t="shared" si="116"/>
        <v>700</v>
      </c>
      <c r="G763" s="23">
        <f t="shared" ca="1" si="117"/>
        <v>210</v>
      </c>
      <c r="H763" s="23">
        <f t="shared" ca="1" si="118"/>
        <v>611</v>
      </c>
      <c r="I763" s="23">
        <f t="shared" ca="1" si="119"/>
        <v>378</v>
      </c>
      <c r="J763" s="23">
        <f t="shared" ca="1" si="120"/>
        <v>611</v>
      </c>
      <c r="K763" s="23">
        <f t="shared" ca="1" si="121"/>
        <v>989</v>
      </c>
      <c r="L763" s="23">
        <f t="shared" ca="1" si="114"/>
        <v>60715</v>
      </c>
    </row>
    <row r="764" spans="3:12">
      <c r="C764" s="23">
        <f t="shared" si="112"/>
        <v>420</v>
      </c>
      <c r="D764" s="23">
        <f t="shared" si="113"/>
        <v>168</v>
      </c>
      <c r="E764" s="23">
        <f t="shared" si="115"/>
        <v>252</v>
      </c>
      <c r="F764" s="23">
        <f t="shared" si="116"/>
        <v>700</v>
      </c>
      <c r="G764" s="23">
        <f t="shared" ca="1" si="117"/>
        <v>209</v>
      </c>
      <c r="H764" s="23">
        <f t="shared" ca="1" si="118"/>
        <v>650</v>
      </c>
      <c r="I764" s="23">
        <f t="shared" ca="1" si="119"/>
        <v>377</v>
      </c>
      <c r="J764" s="23">
        <f t="shared" ca="1" si="120"/>
        <v>650</v>
      </c>
      <c r="K764" s="23">
        <f t="shared" ca="1" si="121"/>
        <v>1027</v>
      </c>
      <c r="L764" s="23">
        <f t="shared" ca="1" si="114"/>
        <v>65845</v>
      </c>
    </row>
    <row r="765" spans="3:12">
      <c r="C765" s="23">
        <f t="shared" si="112"/>
        <v>420</v>
      </c>
      <c r="D765" s="23">
        <f t="shared" si="113"/>
        <v>168</v>
      </c>
      <c r="E765" s="23">
        <f t="shared" si="115"/>
        <v>252</v>
      </c>
      <c r="F765" s="23">
        <f t="shared" si="116"/>
        <v>700</v>
      </c>
      <c r="G765" s="23">
        <f t="shared" ca="1" si="117"/>
        <v>198</v>
      </c>
      <c r="H765" s="23">
        <f t="shared" ca="1" si="118"/>
        <v>641</v>
      </c>
      <c r="I765" s="23">
        <f t="shared" ca="1" si="119"/>
        <v>366</v>
      </c>
      <c r="J765" s="23">
        <f t="shared" ca="1" si="120"/>
        <v>641</v>
      </c>
      <c r="K765" s="23">
        <f t="shared" ca="1" si="121"/>
        <v>1007</v>
      </c>
      <c r="L765" s="23">
        <f t="shared" ca="1" si="114"/>
        <v>63145</v>
      </c>
    </row>
    <row r="766" spans="3:12">
      <c r="C766" s="23">
        <f t="shared" si="112"/>
        <v>420</v>
      </c>
      <c r="D766" s="23">
        <f t="shared" si="113"/>
        <v>168</v>
      </c>
      <c r="E766" s="23">
        <f t="shared" si="115"/>
        <v>252</v>
      </c>
      <c r="F766" s="23">
        <f t="shared" si="116"/>
        <v>700</v>
      </c>
      <c r="G766" s="23">
        <f t="shared" ca="1" si="117"/>
        <v>174</v>
      </c>
      <c r="H766" s="23">
        <f t="shared" ca="1" si="118"/>
        <v>579</v>
      </c>
      <c r="I766" s="23">
        <f t="shared" ca="1" si="119"/>
        <v>342</v>
      </c>
      <c r="J766" s="23">
        <f t="shared" ca="1" si="120"/>
        <v>579</v>
      </c>
      <c r="K766" s="23">
        <f t="shared" ca="1" si="121"/>
        <v>921</v>
      </c>
      <c r="L766" s="23">
        <f t="shared" ca="1" si="114"/>
        <v>51535</v>
      </c>
    </row>
    <row r="767" spans="3:12">
      <c r="C767" s="23">
        <f t="shared" si="112"/>
        <v>420</v>
      </c>
      <c r="D767" s="23">
        <f t="shared" si="113"/>
        <v>168</v>
      </c>
      <c r="E767" s="23">
        <f t="shared" si="115"/>
        <v>252</v>
      </c>
      <c r="F767" s="23">
        <f t="shared" si="116"/>
        <v>700</v>
      </c>
      <c r="G767" s="23">
        <f t="shared" ca="1" si="117"/>
        <v>204</v>
      </c>
      <c r="H767" s="23">
        <f t="shared" ca="1" si="118"/>
        <v>628</v>
      </c>
      <c r="I767" s="23">
        <f t="shared" ca="1" si="119"/>
        <v>372</v>
      </c>
      <c r="J767" s="23">
        <f t="shared" ca="1" si="120"/>
        <v>628</v>
      </c>
      <c r="K767" s="23">
        <f t="shared" ca="1" si="121"/>
        <v>1000</v>
      </c>
      <c r="L767" s="23">
        <f t="shared" ca="1" si="114"/>
        <v>62200</v>
      </c>
    </row>
    <row r="768" spans="3:12">
      <c r="C768" s="23">
        <f t="shared" si="112"/>
        <v>420</v>
      </c>
      <c r="D768" s="23">
        <f t="shared" si="113"/>
        <v>168</v>
      </c>
      <c r="E768" s="23">
        <f t="shared" si="115"/>
        <v>252</v>
      </c>
      <c r="F768" s="23">
        <f t="shared" si="116"/>
        <v>700</v>
      </c>
      <c r="G768" s="23">
        <f t="shared" ca="1" si="117"/>
        <v>200</v>
      </c>
      <c r="H768" s="23">
        <f t="shared" ca="1" si="118"/>
        <v>627</v>
      </c>
      <c r="I768" s="23">
        <f t="shared" ca="1" si="119"/>
        <v>368</v>
      </c>
      <c r="J768" s="23">
        <f t="shared" ca="1" si="120"/>
        <v>627</v>
      </c>
      <c r="K768" s="23">
        <f t="shared" ca="1" si="121"/>
        <v>995</v>
      </c>
      <c r="L768" s="23">
        <f t="shared" ca="1" si="114"/>
        <v>61525</v>
      </c>
    </row>
    <row r="769" spans="3:12">
      <c r="C769" s="23">
        <f t="shared" si="112"/>
        <v>420</v>
      </c>
      <c r="D769" s="23">
        <f t="shared" si="113"/>
        <v>168</v>
      </c>
      <c r="E769" s="23">
        <f t="shared" si="115"/>
        <v>252</v>
      </c>
      <c r="F769" s="23">
        <f t="shared" si="116"/>
        <v>700</v>
      </c>
      <c r="G769" s="23">
        <f t="shared" ca="1" si="117"/>
        <v>225</v>
      </c>
      <c r="H769" s="23">
        <f t="shared" ca="1" si="118"/>
        <v>648</v>
      </c>
      <c r="I769" s="23">
        <f t="shared" ca="1" si="119"/>
        <v>393</v>
      </c>
      <c r="J769" s="23">
        <f t="shared" ca="1" si="120"/>
        <v>648</v>
      </c>
      <c r="K769" s="23">
        <f t="shared" ca="1" si="121"/>
        <v>1041</v>
      </c>
      <c r="L769" s="23">
        <f t="shared" ca="1" si="114"/>
        <v>67735</v>
      </c>
    </row>
    <row r="770" spans="3:12">
      <c r="C770" s="23">
        <f t="shared" si="112"/>
        <v>420</v>
      </c>
      <c r="D770" s="23">
        <f t="shared" si="113"/>
        <v>168</v>
      </c>
      <c r="E770" s="23">
        <f t="shared" si="115"/>
        <v>252</v>
      </c>
      <c r="F770" s="23">
        <f t="shared" si="116"/>
        <v>700</v>
      </c>
      <c r="G770" s="23">
        <f t="shared" ca="1" si="117"/>
        <v>177</v>
      </c>
      <c r="H770" s="23">
        <f t="shared" ca="1" si="118"/>
        <v>656</v>
      </c>
      <c r="I770" s="23">
        <f t="shared" ca="1" si="119"/>
        <v>345</v>
      </c>
      <c r="J770" s="23">
        <f t="shared" ca="1" si="120"/>
        <v>656</v>
      </c>
      <c r="K770" s="23">
        <f t="shared" ca="1" si="121"/>
        <v>1001</v>
      </c>
      <c r="L770" s="23">
        <f t="shared" ca="1" si="114"/>
        <v>62335</v>
      </c>
    </row>
    <row r="771" spans="3:12">
      <c r="C771" s="23">
        <f t="shared" si="112"/>
        <v>420</v>
      </c>
      <c r="D771" s="23">
        <f t="shared" si="113"/>
        <v>168</v>
      </c>
      <c r="E771" s="23">
        <f t="shared" si="115"/>
        <v>252</v>
      </c>
      <c r="F771" s="23">
        <f t="shared" si="116"/>
        <v>700</v>
      </c>
      <c r="G771" s="23">
        <f t="shared" ca="1" si="117"/>
        <v>200</v>
      </c>
      <c r="H771" s="23">
        <f t="shared" ca="1" si="118"/>
        <v>710</v>
      </c>
      <c r="I771" s="23">
        <f t="shared" ca="1" si="119"/>
        <v>368</v>
      </c>
      <c r="J771" s="23">
        <f t="shared" ca="1" si="120"/>
        <v>710</v>
      </c>
      <c r="K771" s="23">
        <f t="shared" ca="1" si="121"/>
        <v>1078</v>
      </c>
      <c r="L771" s="23">
        <f t="shared" ca="1" si="114"/>
        <v>72730</v>
      </c>
    </row>
    <row r="772" spans="3:12">
      <c r="C772" s="23">
        <f t="shared" si="112"/>
        <v>420</v>
      </c>
      <c r="D772" s="23">
        <f t="shared" si="113"/>
        <v>168</v>
      </c>
      <c r="E772" s="23">
        <f t="shared" si="115"/>
        <v>252</v>
      </c>
      <c r="F772" s="23">
        <f t="shared" si="116"/>
        <v>700</v>
      </c>
      <c r="G772" s="23">
        <f t="shared" ca="1" si="117"/>
        <v>181</v>
      </c>
      <c r="H772" s="23">
        <f t="shared" ca="1" si="118"/>
        <v>682</v>
      </c>
      <c r="I772" s="23">
        <f t="shared" ca="1" si="119"/>
        <v>349</v>
      </c>
      <c r="J772" s="23">
        <f t="shared" ca="1" si="120"/>
        <v>682</v>
      </c>
      <c r="K772" s="23">
        <f t="shared" ca="1" si="121"/>
        <v>1031</v>
      </c>
      <c r="L772" s="23">
        <f t="shared" ca="1" si="114"/>
        <v>66385</v>
      </c>
    </row>
    <row r="773" spans="3:12">
      <c r="C773" s="23">
        <f t="shared" si="112"/>
        <v>420</v>
      </c>
      <c r="D773" s="23">
        <f t="shared" si="113"/>
        <v>168</v>
      </c>
      <c r="E773" s="23">
        <f t="shared" si="115"/>
        <v>252</v>
      </c>
      <c r="F773" s="23">
        <f t="shared" si="116"/>
        <v>700</v>
      </c>
      <c r="G773" s="23">
        <f t="shared" ca="1" si="117"/>
        <v>223</v>
      </c>
      <c r="H773" s="23">
        <f t="shared" ca="1" si="118"/>
        <v>599</v>
      </c>
      <c r="I773" s="23">
        <f t="shared" ca="1" si="119"/>
        <v>391</v>
      </c>
      <c r="J773" s="23">
        <f t="shared" ca="1" si="120"/>
        <v>599</v>
      </c>
      <c r="K773" s="23">
        <f t="shared" ca="1" si="121"/>
        <v>990</v>
      </c>
      <c r="L773" s="23">
        <f t="shared" ca="1" si="114"/>
        <v>60850</v>
      </c>
    </row>
    <row r="774" spans="3:12">
      <c r="C774" s="23">
        <f t="shared" si="112"/>
        <v>420</v>
      </c>
      <c r="D774" s="23">
        <f t="shared" si="113"/>
        <v>168</v>
      </c>
      <c r="E774" s="23">
        <f t="shared" si="115"/>
        <v>252</v>
      </c>
      <c r="F774" s="23">
        <f t="shared" si="116"/>
        <v>700</v>
      </c>
      <c r="G774" s="23">
        <f t="shared" ca="1" si="117"/>
        <v>230</v>
      </c>
      <c r="H774" s="23">
        <f t="shared" ca="1" si="118"/>
        <v>725</v>
      </c>
      <c r="I774" s="23">
        <f t="shared" ca="1" si="119"/>
        <v>398</v>
      </c>
      <c r="J774" s="23">
        <f t="shared" ca="1" si="120"/>
        <v>722</v>
      </c>
      <c r="K774" s="23">
        <f t="shared" ca="1" si="121"/>
        <v>1120</v>
      </c>
      <c r="L774" s="23">
        <f t="shared" ca="1" si="114"/>
        <v>78400</v>
      </c>
    </row>
    <row r="775" spans="3:12">
      <c r="C775" s="23">
        <f t="shared" si="112"/>
        <v>420</v>
      </c>
      <c r="D775" s="23">
        <f t="shared" si="113"/>
        <v>168</v>
      </c>
      <c r="E775" s="23">
        <f t="shared" si="115"/>
        <v>252</v>
      </c>
      <c r="F775" s="23">
        <f t="shared" si="116"/>
        <v>700</v>
      </c>
      <c r="G775" s="23">
        <f t="shared" ca="1" si="117"/>
        <v>236</v>
      </c>
      <c r="H775" s="23">
        <f t="shared" ca="1" si="118"/>
        <v>544</v>
      </c>
      <c r="I775" s="23">
        <f t="shared" ca="1" si="119"/>
        <v>404</v>
      </c>
      <c r="J775" s="23">
        <f t="shared" ca="1" si="120"/>
        <v>544</v>
      </c>
      <c r="K775" s="23">
        <f t="shared" ca="1" si="121"/>
        <v>948</v>
      </c>
      <c r="L775" s="23">
        <f t="shared" ca="1" si="114"/>
        <v>55180</v>
      </c>
    </row>
    <row r="776" spans="3:12">
      <c r="C776" s="23">
        <f t="shared" si="112"/>
        <v>420</v>
      </c>
      <c r="D776" s="23">
        <f t="shared" si="113"/>
        <v>168</v>
      </c>
      <c r="E776" s="23">
        <f t="shared" si="115"/>
        <v>252</v>
      </c>
      <c r="F776" s="23">
        <f t="shared" si="116"/>
        <v>700</v>
      </c>
      <c r="G776" s="23">
        <f t="shared" ca="1" si="117"/>
        <v>221</v>
      </c>
      <c r="H776" s="23">
        <f t="shared" ca="1" si="118"/>
        <v>526</v>
      </c>
      <c r="I776" s="23">
        <f t="shared" ca="1" si="119"/>
        <v>389</v>
      </c>
      <c r="J776" s="23">
        <f t="shared" ca="1" si="120"/>
        <v>526</v>
      </c>
      <c r="K776" s="23">
        <f t="shared" ca="1" si="121"/>
        <v>915</v>
      </c>
      <c r="L776" s="23">
        <f t="shared" ca="1" si="114"/>
        <v>50725</v>
      </c>
    </row>
    <row r="777" spans="3:12">
      <c r="C777" s="23">
        <f t="shared" si="112"/>
        <v>420</v>
      </c>
      <c r="D777" s="23">
        <f t="shared" si="113"/>
        <v>168</v>
      </c>
      <c r="E777" s="23">
        <f t="shared" si="115"/>
        <v>252</v>
      </c>
      <c r="F777" s="23">
        <f t="shared" si="116"/>
        <v>700</v>
      </c>
      <c r="G777" s="23">
        <f t="shared" ca="1" si="117"/>
        <v>210</v>
      </c>
      <c r="H777" s="23">
        <f t="shared" ca="1" si="118"/>
        <v>605</v>
      </c>
      <c r="I777" s="23">
        <f t="shared" ca="1" si="119"/>
        <v>378</v>
      </c>
      <c r="J777" s="23">
        <f t="shared" ca="1" si="120"/>
        <v>605</v>
      </c>
      <c r="K777" s="23">
        <f t="shared" ca="1" si="121"/>
        <v>983</v>
      </c>
      <c r="L777" s="23">
        <f t="shared" ca="1" si="114"/>
        <v>59905</v>
      </c>
    </row>
    <row r="778" spans="3:12">
      <c r="C778" s="23">
        <f t="shared" si="112"/>
        <v>420</v>
      </c>
      <c r="D778" s="23">
        <f t="shared" si="113"/>
        <v>168</v>
      </c>
      <c r="E778" s="23">
        <f t="shared" si="115"/>
        <v>252</v>
      </c>
      <c r="F778" s="23">
        <f t="shared" si="116"/>
        <v>700</v>
      </c>
      <c r="G778" s="23">
        <f t="shared" ca="1" si="117"/>
        <v>209</v>
      </c>
      <c r="H778" s="23">
        <f t="shared" ca="1" si="118"/>
        <v>602</v>
      </c>
      <c r="I778" s="23">
        <f t="shared" ca="1" si="119"/>
        <v>377</v>
      </c>
      <c r="J778" s="23">
        <f t="shared" ca="1" si="120"/>
        <v>602</v>
      </c>
      <c r="K778" s="23">
        <f t="shared" ca="1" si="121"/>
        <v>979</v>
      </c>
      <c r="L778" s="23">
        <f t="shared" ca="1" si="114"/>
        <v>59365</v>
      </c>
    </row>
    <row r="779" spans="3:12">
      <c r="C779" s="23">
        <f t="shared" si="112"/>
        <v>420</v>
      </c>
      <c r="D779" s="23">
        <f t="shared" si="113"/>
        <v>168</v>
      </c>
      <c r="E779" s="23">
        <f t="shared" si="115"/>
        <v>252</v>
      </c>
      <c r="F779" s="23">
        <f t="shared" si="116"/>
        <v>700</v>
      </c>
      <c r="G779" s="23">
        <f t="shared" ca="1" si="117"/>
        <v>248</v>
      </c>
      <c r="H779" s="23">
        <f t="shared" ca="1" si="118"/>
        <v>757</v>
      </c>
      <c r="I779" s="23">
        <f t="shared" ca="1" si="119"/>
        <v>416</v>
      </c>
      <c r="J779" s="23">
        <f t="shared" ca="1" si="120"/>
        <v>704</v>
      </c>
      <c r="K779" s="23">
        <f t="shared" ca="1" si="121"/>
        <v>1120</v>
      </c>
      <c r="L779" s="23">
        <f t="shared" ca="1" si="114"/>
        <v>78400</v>
      </c>
    </row>
    <row r="780" spans="3:12">
      <c r="C780" s="23">
        <f t="shared" ref="C780:C843" si="122">$B$4</f>
        <v>420</v>
      </c>
      <c r="D780" s="23">
        <f t="shared" ref="D780:D843" si="123">$B$5</f>
        <v>168</v>
      </c>
      <c r="E780" s="23">
        <f t="shared" si="115"/>
        <v>252</v>
      </c>
      <c r="F780" s="23">
        <f t="shared" si="116"/>
        <v>700</v>
      </c>
      <c r="G780" s="23">
        <f t="shared" ca="1" si="117"/>
        <v>219</v>
      </c>
      <c r="H780" s="23">
        <f t="shared" ca="1" si="118"/>
        <v>482</v>
      </c>
      <c r="I780" s="23">
        <f t="shared" ca="1" si="119"/>
        <v>387</v>
      </c>
      <c r="J780" s="23">
        <f t="shared" ca="1" si="120"/>
        <v>482</v>
      </c>
      <c r="K780" s="23">
        <f t="shared" ca="1" si="121"/>
        <v>869</v>
      </c>
      <c r="L780" s="23">
        <f t="shared" ref="L780:L843" ca="1" si="124">K780*$B$2-(F780+C780)*$B$1</f>
        <v>44515</v>
      </c>
    </row>
    <row r="781" spans="3:12">
      <c r="C781" s="23">
        <f t="shared" si="122"/>
        <v>420</v>
      </c>
      <c r="D781" s="23">
        <f t="shared" si="123"/>
        <v>168</v>
      </c>
      <c r="E781" s="23">
        <f t="shared" ref="E781:E844" si="125">MAX(0,C781-D781)</f>
        <v>252</v>
      </c>
      <c r="F781" s="23">
        <f t="shared" ref="F781:F844" si="126">$E$8</f>
        <v>700</v>
      </c>
      <c r="G781" s="23">
        <f t="shared" ref="G781:G844" ca="1" si="127">_xlfn.FLOOR.MATH(MAX(0,_xlfn.NORM.INV(RAND(),$B$6*$B$8,$B$3*($B$8+0.0001))))</f>
        <v>234</v>
      </c>
      <c r="H781" s="23">
        <f t="shared" ref="H781:H844" ca="1" si="128">_xlfn.FLOOR.MATH(MAX(0,_xlfn.NORM.INV(RAND(),$B$6*(1-$B$8),$B$3*(1.00001-$B$8))))</f>
        <v>588</v>
      </c>
      <c r="I781" s="23">
        <f t="shared" ref="I781:I844" ca="1" si="129">MIN(C781,D781+G781)</f>
        <v>402</v>
      </c>
      <c r="J781" s="23">
        <f t="shared" ref="J781:J844" ca="1" si="130">MIN(C781-I781+F781,H781)</f>
        <v>588</v>
      </c>
      <c r="K781" s="23">
        <f t="shared" ref="K781:K844" ca="1" si="131">I781+J781</f>
        <v>990</v>
      </c>
      <c r="L781" s="23">
        <f t="shared" ca="1" si="124"/>
        <v>60850</v>
      </c>
    </row>
    <row r="782" spans="3:12">
      <c r="C782" s="23">
        <f t="shared" si="122"/>
        <v>420</v>
      </c>
      <c r="D782" s="23">
        <f t="shared" si="123"/>
        <v>168</v>
      </c>
      <c r="E782" s="23">
        <f t="shared" si="125"/>
        <v>252</v>
      </c>
      <c r="F782" s="23">
        <f t="shared" si="126"/>
        <v>700</v>
      </c>
      <c r="G782" s="23">
        <f t="shared" ca="1" si="127"/>
        <v>242</v>
      </c>
      <c r="H782" s="23">
        <f t="shared" ca="1" si="128"/>
        <v>592</v>
      </c>
      <c r="I782" s="23">
        <f t="shared" ca="1" si="129"/>
        <v>410</v>
      </c>
      <c r="J782" s="23">
        <f t="shared" ca="1" si="130"/>
        <v>592</v>
      </c>
      <c r="K782" s="23">
        <f t="shared" ca="1" si="131"/>
        <v>1002</v>
      </c>
      <c r="L782" s="23">
        <f t="shared" ca="1" si="124"/>
        <v>62470</v>
      </c>
    </row>
    <row r="783" spans="3:12">
      <c r="C783" s="23">
        <f t="shared" si="122"/>
        <v>420</v>
      </c>
      <c r="D783" s="23">
        <f t="shared" si="123"/>
        <v>168</v>
      </c>
      <c r="E783" s="23">
        <f t="shared" si="125"/>
        <v>252</v>
      </c>
      <c r="F783" s="23">
        <f t="shared" si="126"/>
        <v>700</v>
      </c>
      <c r="G783" s="23">
        <f t="shared" ca="1" si="127"/>
        <v>185</v>
      </c>
      <c r="H783" s="23">
        <f t="shared" ca="1" si="128"/>
        <v>695</v>
      </c>
      <c r="I783" s="23">
        <f t="shared" ca="1" si="129"/>
        <v>353</v>
      </c>
      <c r="J783" s="23">
        <f t="shared" ca="1" si="130"/>
        <v>695</v>
      </c>
      <c r="K783" s="23">
        <f t="shared" ca="1" si="131"/>
        <v>1048</v>
      </c>
      <c r="L783" s="23">
        <f t="shared" ca="1" si="124"/>
        <v>68680</v>
      </c>
    </row>
    <row r="784" spans="3:12">
      <c r="C784" s="23">
        <f t="shared" si="122"/>
        <v>420</v>
      </c>
      <c r="D784" s="23">
        <f t="shared" si="123"/>
        <v>168</v>
      </c>
      <c r="E784" s="23">
        <f t="shared" si="125"/>
        <v>252</v>
      </c>
      <c r="F784" s="23">
        <f t="shared" si="126"/>
        <v>700</v>
      </c>
      <c r="G784" s="23">
        <f t="shared" ca="1" si="127"/>
        <v>212</v>
      </c>
      <c r="H784" s="23">
        <f t="shared" ca="1" si="128"/>
        <v>649</v>
      </c>
      <c r="I784" s="23">
        <f t="shared" ca="1" si="129"/>
        <v>380</v>
      </c>
      <c r="J784" s="23">
        <f t="shared" ca="1" si="130"/>
        <v>649</v>
      </c>
      <c r="K784" s="23">
        <f t="shared" ca="1" si="131"/>
        <v>1029</v>
      </c>
      <c r="L784" s="23">
        <f t="shared" ca="1" si="124"/>
        <v>66115</v>
      </c>
    </row>
    <row r="785" spans="3:12">
      <c r="C785" s="23">
        <f t="shared" si="122"/>
        <v>420</v>
      </c>
      <c r="D785" s="23">
        <f t="shared" si="123"/>
        <v>168</v>
      </c>
      <c r="E785" s="23">
        <f t="shared" si="125"/>
        <v>252</v>
      </c>
      <c r="F785" s="23">
        <f t="shared" si="126"/>
        <v>700</v>
      </c>
      <c r="G785" s="23">
        <f t="shared" ca="1" si="127"/>
        <v>236</v>
      </c>
      <c r="H785" s="23">
        <f t="shared" ca="1" si="128"/>
        <v>755</v>
      </c>
      <c r="I785" s="23">
        <f t="shared" ca="1" si="129"/>
        <v>404</v>
      </c>
      <c r="J785" s="23">
        <f t="shared" ca="1" si="130"/>
        <v>716</v>
      </c>
      <c r="K785" s="23">
        <f t="shared" ca="1" si="131"/>
        <v>1120</v>
      </c>
      <c r="L785" s="23">
        <f t="shared" ca="1" si="124"/>
        <v>78400</v>
      </c>
    </row>
    <row r="786" spans="3:12">
      <c r="C786" s="23">
        <f t="shared" si="122"/>
        <v>420</v>
      </c>
      <c r="D786" s="23">
        <f t="shared" si="123"/>
        <v>168</v>
      </c>
      <c r="E786" s="23">
        <f t="shared" si="125"/>
        <v>252</v>
      </c>
      <c r="F786" s="23">
        <f t="shared" si="126"/>
        <v>700</v>
      </c>
      <c r="G786" s="23">
        <f t="shared" ca="1" si="127"/>
        <v>229</v>
      </c>
      <c r="H786" s="23">
        <f t="shared" ca="1" si="128"/>
        <v>673</v>
      </c>
      <c r="I786" s="23">
        <f t="shared" ca="1" si="129"/>
        <v>397</v>
      </c>
      <c r="J786" s="23">
        <f t="shared" ca="1" si="130"/>
        <v>673</v>
      </c>
      <c r="K786" s="23">
        <f t="shared" ca="1" si="131"/>
        <v>1070</v>
      </c>
      <c r="L786" s="23">
        <f t="shared" ca="1" si="124"/>
        <v>71650</v>
      </c>
    </row>
    <row r="787" spans="3:12">
      <c r="C787" s="23">
        <f t="shared" si="122"/>
        <v>420</v>
      </c>
      <c r="D787" s="23">
        <f t="shared" si="123"/>
        <v>168</v>
      </c>
      <c r="E787" s="23">
        <f t="shared" si="125"/>
        <v>252</v>
      </c>
      <c r="F787" s="23">
        <f t="shared" si="126"/>
        <v>700</v>
      </c>
      <c r="G787" s="23">
        <f t="shared" ca="1" si="127"/>
        <v>227</v>
      </c>
      <c r="H787" s="23">
        <f t="shared" ca="1" si="128"/>
        <v>650</v>
      </c>
      <c r="I787" s="23">
        <f t="shared" ca="1" si="129"/>
        <v>395</v>
      </c>
      <c r="J787" s="23">
        <f t="shared" ca="1" si="130"/>
        <v>650</v>
      </c>
      <c r="K787" s="23">
        <f t="shared" ca="1" si="131"/>
        <v>1045</v>
      </c>
      <c r="L787" s="23">
        <f t="shared" ca="1" si="124"/>
        <v>68275</v>
      </c>
    </row>
    <row r="788" spans="3:12">
      <c r="C788" s="23">
        <f t="shared" si="122"/>
        <v>420</v>
      </c>
      <c r="D788" s="23">
        <f t="shared" si="123"/>
        <v>168</v>
      </c>
      <c r="E788" s="23">
        <f t="shared" si="125"/>
        <v>252</v>
      </c>
      <c r="F788" s="23">
        <f t="shared" si="126"/>
        <v>700</v>
      </c>
      <c r="G788" s="23">
        <f t="shared" ca="1" si="127"/>
        <v>194</v>
      </c>
      <c r="H788" s="23">
        <f t="shared" ca="1" si="128"/>
        <v>691</v>
      </c>
      <c r="I788" s="23">
        <f t="shared" ca="1" si="129"/>
        <v>362</v>
      </c>
      <c r="J788" s="23">
        <f t="shared" ca="1" si="130"/>
        <v>691</v>
      </c>
      <c r="K788" s="23">
        <f t="shared" ca="1" si="131"/>
        <v>1053</v>
      </c>
      <c r="L788" s="23">
        <f t="shared" ca="1" si="124"/>
        <v>69355</v>
      </c>
    </row>
    <row r="789" spans="3:12">
      <c r="C789" s="23">
        <f t="shared" si="122"/>
        <v>420</v>
      </c>
      <c r="D789" s="23">
        <f t="shared" si="123"/>
        <v>168</v>
      </c>
      <c r="E789" s="23">
        <f t="shared" si="125"/>
        <v>252</v>
      </c>
      <c r="F789" s="23">
        <f t="shared" si="126"/>
        <v>700</v>
      </c>
      <c r="G789" s="23">
        <f t="shared" ca="1" si="127"/>
        <v>238</v>
      </c>
      <c r="H789" s="23">
        <f t="shared" ca="1" si="128"/>
        <v>608</v>
      </c>
      <c r="I789" s="23">
        <f t="shared" ca="1" si="129"/>
        <v>406</v>
      </c>
      <c r="J789" s="23">
        <f t="shared" ca="1" si="130"/>
        <v>608</v>
      </c>
      <c r="K789" s="23">
        <f t="shared" ca="1" si="131"/>
        <v>1014</v>
      </c>
      <c r="L789" s="23">
        <f t="shared" ca="1" si="124"/>
        <v>64090</v>
      </c>
    </row>
    <row r="790" spans="3:12">
      <c r="C790" s="23">
        <f t="shared" si="122"/>
        <v>420</v>
      </c>
      <c r="D790" s="23">
        <f t="shared" si="123"/>
        <v>168</v>
      </c>
      <c r="E790" s="23">
        <f t="shared" si="125"/>
        <v>252</v>
      </c>
      <c r="F790" s="23">
        <f t="shared" si="126"/>
        <v>700</v>
      </c>
      <c r="G790" s="23">
        <f t="shared" ca="1" si="127"/>
        <v>238</v>
      </c>
      <c r="H790" s="23">
        <f t="shared" ca="1" si="128"/>
        <v>770</v>
      </c>
      <c r="I790" s="23">
        <f t="shared" ca="1" si="129"/>
        <v>406</v>
      </c>
      <c r="J790" s="23">
        <f t="shared" ca="1" si="130"/>
        <v>714</v>
      </c>
      <c r="K790" s="23">
        <f t="shared" ca="1" si="131"/>
        <v>1120</v>
      </c>
      <c r="L790" s="23">
        <f t="shared" ca="1" si="124"/>
        <v>78400</v>
      </c>
    </row>
    <row r="791" spans="3:12">
      <c r="C791" s="23">
        <f t="shared" si="122"/>
        <v>420</v>
      </c>
      <c r="D791" s="23">
        <f t="shared" si="123"/>
        <v>168</v>
      </c>
      <c r="E791" s="23">
        <f t="shared" si="125"/>
        <v>252</v>
      </c>
      <c r="F791" s="23">
        <f t="shared" si="126"/>
        <v>700</v>
      </c>
      <c r="G791" s="23">
        <f t="shared" ca="1" si="127"/>
        <v>197</v>
      </c>
      <c r="H791" s="23">
        <f t="shared" ca="1" si="128"/>
        <v>530</v>
      </c>
      <c r="I791" s="23">
        <f t="shared" ca="1" si="129"/>
        <v>365</v>
      </c>
      <c r="J791" s="23">
        <f t="shared" ca="1" si="130"/>
        <v>530</v>
      </c>
      <c r="K791" s="23">
        <f t="shared" ca="1" si="131"/>
        <v>895</v>
      </c>
      <c r="L791" s="23">
        <f t="shared" ca="1" si="124"/>
        <v>48025</v>
      </c>
    </row>
    <row r="792" spans="3:12">
      <c r="C792" s="23">
        <f t="shared" si="122"/>
        <v>420</v>
      </c>
      <c r="D792" s="23">
        <f t="shared" si="123"/>
        <v>168</v>
      </c>
      <c r="E792" s="23">
        <f t="shared" si="125"/>
        <v>252</v>
      </c>
      <c r="F792" s="23">
        <f t="shared" si="126"/>
        <v>700</v>
      </c>
      <c r="G792" s="23">
        <f t="shared" ca="1" si="127"/>
        <v>224</v>
      </c>
      <c r="H792" s="23">
        <f t="shared" ca="1" si="128"/>
        <v>666</v>
      </c>
      <c r="I792" s="23">
        <f t="shared" ca="1" si="129"/>
        <v>392</v>
      </c>
      <c r="J792" s="23">
        <f t="shared" ca="1" si="130"/>
        <v>666</v>
      </c>
      <c r="K792" s="23">
        <f t="shared" ca="1" si="131"/>
        <v>1058</v>
      </c>
      <c r="L792" s="23">
        <f t="shared" ca="1" si="124"/>
        <v>70030</v>
      </c>
    </row>
    <row r="793" spans="3:12">
      <c r="C793" s="23">
        <f t="shared" si="122"/>
        <v>420</v>
      </c>
      <c r="D793" s="23">
        <f t="shared" si="123"/>
        <v>168</v>
      </c>
      <c r="E793" s="23">
        <f t="shared" si="125"/>
        <v>252</v>
      </c>
      <c r="F793" s="23">
        <f t="shared" si="126"/>
        <v>700</v>
      </c>
      <c r="G793" s="23">
        <f t="shared" ca="1" si="127"/>
        <v>204</v>
      </c>
      <c r="H793" s="23">
        <f t="shared" ca="1" si="128"/>
        <v>595</v>
      </c>
      <c r="I793" s="23">
        <f t="shared" ca="1" si="129"/>
        <v>372</v>
      </c>
      <c r="J793" s="23">
        <f t="shared" ca="1" si="130"/>
        <v>595</v>
      </c>
      <c r="K793" s="23">
        <f t="shared" ca="1" si="131"/>
        <v>967</v>
      </c>
      <c r="L793" s="23">
        <f t="shared" ca="1" si="124"/>
        <v>57745</v>
      </c>
    </row>
    <row r="794" spans="3:12">
      <c r="C794" s="23">
        <f t="shared" si="122"/>
        <v>420</v>
      </c>
      <c r="D794" s="23">
        <f t="shared" si="123"/>
        <v>168</v>
      </c>
      <c r="E794" s="23">
        <f t="shared" si="125"/>
        <v>252</v>
      </c>
      <c r="F794" s="23">
        <f t="shared" si="126"/>
        <v>700</v>
      </c>
      <c r="G794" s="23">
        <f t="shared" ca="1" si="127"/>
        <v>238</v>
      </c>
      <c r="H794" s="23">
        <f t="shared" ca="1" si="128"/>
        <v>679</v>
      </c>
      <c r="I794" s="23">
        <f t="shared" ca="1" si="129"/>
        <v>406</v>
      </c>
      <c r="J794" s="23">
        <f t="shared" ca="1" si="130"/>
        <v>679</v>
      </c>
      <c r="K794" s="23">
        <f t="shared" ca="1" si="131"/>
        <v>1085</v>
      </c>
      <c r="L794" s="23">
        <f t="shared" ca="1" si="124"/>
        <v>73675</v>
      </c>
    </row>
    <row r="795" spans="3:12">
      <c r="C795" s="23">
        <f t="shared" si="122"/>
        <v>420</v>
      </c>
      <c r="D795" s="23">
        <f t="shared" si="123"/>
        <v>168</v>
      </c>
      <c r="E795" s="23">
        <f t="shared" si="125"/>
        <v>252</v>
      </c>
      <c r="F795" s="23">
        <f t="shared" si="126"/>
        <v>700</v>
      </c>
      <c r="G795" s="23">
        <f t="shared" ca="1" si="127"/>
        <v>209</v>
      </c>
      <c r="H795" s="23">
        <f t="shared" ca="1" si="128"/>
        <v>692</v>
      </c>
      <c r="I795" s="23">
        <f t="shared" ca="1" si="129"/>
        <v>377</v>
      </c>
      <c r="J795" s="23">
        <f t="shared" ca="1" si="130"/>
        <v>692</v>
      </c>
      <c r="K795" s="23">
        <f t="shared" ca="1" si="131"/>
        <v>1069</v>
      </c>
      <c r="L795" s="23">
        <f t="shared" ca="1" si="124"/>
        <v>71515</v>
      </c>
    </row>
    <row r="796" spans="3:12">
      <c r="C796" s="23">
        <f t="shared" si="122"/>
        <v>420</v>
      </c>
      <c r="D796" s="23">
        <f t="shared" si="123"/>
        <v>168</v>
      </c>
      <c r="E796" s="23">
        <f t="shared" si="125"/>
        <v>252</v>
      </c>
      <c r="F796" s="23">
        <f t="shared" si="126"/>
        <v>700</v>
      </c>
      <c r="G796" s="23">
        <f t="shared" ca="1" si="127"/>
        <v>287</v>
      </c>
      <c r="H796" s="23">
        <f t="shared" ca="1" si="128"/>
        <v>599</v>
      </c>
      <c r="I796" s="23">
        <f t="shared" ca="1" si="129"/>
        <v>420</v>
      </c>
      <c r="J796" s="23">
        <f t="shared" ca="1" si="130"/>
        <v>599</v>
      </c>
      <c r="K796" s="23">
        <f t="shared" ca="1" si="131"/>
        <v>1019</v>
      </c>
      <c r="L796" s="23">
        <f t="shared" ca="1" si="124"/>
        <v>64765</v>
      </c>
    </row>
    <row r="797" spans="3:12">
      <c r="C797" s="23">
        <f t="shared" si="122"/>
        <v>420</v>
      </c>
      <c r="D797" s="23">
        <f t="shared" si="123"/>
        <v>168</v>
      </c>
      <c r="E797" s="23">
        <f t="shared" si="125"/>
        <v>252</v>
      </c>
      <c r="F797" s="23">
        <f t="shared" si="126"/>
        <v>700</v>
      </c>
      <c r="G797" s="23">
        <f t="shared" ca="1" si="127"/>
        <v>227</v>
      </c>
      <c r="H797" s="23">
        <f t="shared" ca="1" si="128"/>
        <v>717</v>
      </c>
      <c r="I797" s="23">
        <f t="shared" ca="1" si="129"/>
        <v>395</v>
      </c>
      <c r="J797" s="23">
        <f t="shared" ca="1" si="130"/>
        <v>717</v>
      </c>
      <c r="K797" s="23">
        <f t="shared" ca="1" si="131"/>
        <v>1112</v>
      </c>
      <c r="L797" s="23">
        <f t="shared" ca="1" si="124"/>
        <v>77320</v>
      </c>
    </row>
    <row r="798" spans="3:12">
      <c r="C798" s="23">
        <f t="shared" si="122"/>
        <v>420</v>
      </c>
      <c r="D798" s="23">
        <f t="shared" si="123"/>
        <v>168</v>
      </c>
      <c r="E798" s="23">
        <f t="shared" si="125"/>
        <v>252</v>
      </c>
      <c r="F798" s="23">
        <f t="shared" si="126"/>
        <v>700</v>
      </c>
      <c r="G798" s="23">
        <f t="shared" ca="1" si="127"/>
        <v>200</v>
      </c>
      <c r="H798" s="23">
        <f t="shared" ca="1" si="128"/>
        <v>724</v>
      </c>
      <c r="I798" s="23">
        <f t="shared" ca="1" si="129"/>
        <v>368</v>
      </c>
      <c r="J798" s="23">
        <f t="shared" ca="1" si="130"/>
        <v>724</v>
      </c>
      <c r="K798" s="23">
        <f t="shared" ca="1" si="131"/>
        <v>1092</v>
      </c>
      <c r="L798" s="23">
        <f t="shared" ca="1" si="124"/>
        <v>74620</v>
      </c>
    </row>
    <row r="799" spans="3:12">
      <c r="C799" s="23">
        <f t="shared" si="122"/>
        <v>420</v>
      </c>
      <c r="D799" s="23">
        <f t="shared" si="123"/>
        <v>168</v>
      </c>
      <c r="E799" s="23">
        <f t="shared" si="125"/>
        <v>252</v>
      </c>
      <c r="F799" s="23">
        <f t="shared" si="126"/>
        <v>700</v>
      </c>
      <c r="G799" s="23">
        <f t="shared" ca="1" si="127"/>
        <v>200</v>
      </c>
      <c r="H799" s="23">
        <f t="shared" ca="1" si="128"/>
        <v>545</v>
      </c>
      <c r="I799" s="23">
        <f t="shared" ca="1" si="129"/>
        <v>368</v>
      </c>
      <c r="J799" s="23">
        <f t="shared" ca="1" si="130"/>
        <v>545</v>
      </c>
      <c r="K799" s="23">
        <f t="shared" ca="1" si="131"/>
        <v>913</v>
      </c>
      <c r="L799" s="23">
        <f t="shared" ca="1" si="124"/>
        <v>50455</v>
      </c>
    </row>
    <row r="800" spans="3:12">
      <c r="C800" s="23">
        <f t="shared" si="122"/>
        <v>420</v>
      </c>
      <c r="D800" s="23">
        <f t="shared" si="123"/>
        <v>168</v>
      </c>
      <c r="E800" s="23">
        <f t="shared" si="125"/>
        <v>252</v>
      </c>
      <c r="F800" s="23">
        <f t="shared" si="126"/>
        <v>700</v>
      </c>
      <c r="G800" s="23">
        <f t="shared" ca="1" si="127"/>
        <v>233</v>
      </c>
      <c r="H800" s="23">
        <f t="shared" ca="1" si="128"/>
        <v>705</v>
      </c>
      <c r="I800" s="23">
        <f t="shared" ca="1" si="129"/>
        <v>401</v>
      </c>
      <c r="J800" s="23">
        <f t="shared" ca="1" si="130"/>
        <v>705</v>
      </c>
      <c r="K800" s="23">
        <f t="shared" ca="1" si="131"/>
        <v>1106</v>
      </c>
      <c r="L800" s="23">
        <f t="shared" ca="1" si="124"/>
        <v>76510</v>
      </c>
    </row>
    <row r="801" spans="3:12">
      <c r="C801" s="23">
        <f t="shared" si="122"/>
        <v>420</v>
      </c>
      <c r="D801" s="23">
        <f t="shared" si="123"/>
        <v>168</v>
      </c>
      <c r="E801" s="23">
        <f t="shared" si="125"/>
        <v>252</v>
      </c>
      <c r="F801" s="23">
        <f t="shared" si="126"/>
        <v>700</v>
      </c>
      <c r="G801" s="23">
        <f t="shared" ca="1" si="127"/>
        <v>200</v>
      </c>
      <c r="H801" s="23">
        <f t="shared" ca="1" si="128"/>
        <v>601</v>
      </c>
      <c r="I801" s="23">
        <f t="shared" ca="1" si="129"/>
        <v>368</v>
      </c>
      <c r="J801" s="23">
        <f t="shared" ca="1" si="130"/>
        <v>601</v>
      </c>
      <c r="K801" s="23">
        <f t="shared" ca="1" si="131"/>
        <v>969</v>
      </c>
      <c r="L801" s="23">
        <f t="shared" ca="1" si="124"/>
        <v>58015</v>
      </c>
    </row>
    <row r="802" spans="3:12">
      <c r="C802" s="23">
        <f t="shared" si="122"/>
        <v>420</v>
      </c>
      <c r="D802" s="23">
        <f t="shared" si="123"/>
        <v>168</v>
      </c>
      <c r="E802" s="23">
        <f t="shared" si="125"/>
        <v>252</v>
      </c>
      <c r="F802" s="23">
        <f t="shared" si="126"/>
        <v>700</v>
      </c>
      <c r="G802" s="23">
        <f t="shared" ca="1" si="127"/>
        <v>221</v>
      </c>
      <c r="H802" s="23">
        <f t="shared" ca="1" si="128"/>
        <v>714</v>
      </c>
      <c r="I802" s="23">
        <f t="shared" ca="1" si="129"/>
        <v>389</v>
      </c>
      <c r="J802" s="23">
        <f t="shared" ca="1" si="130"/>
        <v>714</v>
      </c>
      <c r="K802" s="23">
        <f t="shared" ca="1" si="131"/>
        <v>1103</v>
      </c>
      <c r="L802" s="23">
        <f t="shared" ca="1" si="124"/>
        <v>76105</v>
      </c>
    </row>
    <row r="803" spans="3:12">
      <c r="C803" s="23">
        <f t="shared" si="122"/>
        <v>420</v>
      </c>
      <c r="D803" s="23">
        <f t="shared" si="123"/>
        <v>168</v>
      </c>
      <c r="E803" s="23">
        <f t="shared" si="125"/>
        <v>252</v>
      </c>
      <c r="F803" s="23">
        <f t="shared" si="126"/>
        <v>700</v>
      </c>
      <c r="G803" s="23">
        <f t="shared" ca="1" si="127"/>
        <v>191</v>
      </c>
      <c r="H803" s="23">
        <f t="shared" ca="1" si="128"/>
        <v>659</v>
      </c>
      <c r="I803" s="23">
        <f t="shared" ca="1" si="129"/>
        <v>359</v>
      </c>
      <c r="J803" s="23">
        <f t="shared" ca="1" si="130"/>
        <v>659</v>
      </c>
      <c r="K803" s="23">
        <f t="shared" ca="1" si="131"/>
        <v>1018</v>
      </c>
      <c r="L803" s="23">
        <f t="shared" ca="1" si="124"/>
        <v>64630</v>
      </c>
    </row>
    <row r="804" spans="3:12">
      <c r="C804" s="23">
        <f t="shared" si="122"/>
        <v>420</v>
      </c>
      <c r="D804" s="23">
        <f t="shared" si="123"/>
        <v>168</v>
      </c>
      <c r="E804" s="23">
        <f t="shared" si="125"/>
        <v>252</v>
      </c>
      <c r="F804" s="23">
        <f t="shared" si="126"/>
        <v>700</v>
      </c>
      <c r="G804" s="23">
        <f t="shared" ca="1" si="127"/>
        <v>192</v>
      </c>
      <c r="H804" s="23">
        <f t="shared" ca="1" si="128"/>
        <v>641</v>
      </c>
      <c r="I804" s="23">
        <f t="shared" ca="1" si="129"/>
        <v>360</v>
      </c>
      <c r="J804" s="23">
        <f t="shared" ca="1" si="130"/>
        <v>641</v>
      </c>
      <c r="K804" s="23">
        <f t="shared" ca="1" si="131"/>
        <v>1001</v>
      </c>
      <c r="L804" s="23">
        <f t="shared" ca="1" si="124"/>
        <v>62335</v>
      </c>
    </row>
    <row r="805" spans="3:12">
      <c r="C805" s="23">
        <f t="shared" si="122"/>
        <v>420</v>
      </c>
      <c r="D805" s="23">
        <f t="shared" si="123"/>
        <v>168</v>
      </c>
      <c r="E805" s="23">
        <f t="shared" si="125"/>
        <v>252</v>
      </c>
      <c r="F805" s="23">
        <f t="shared" si="126"/>
        <v>700</v>
      </c>
      <c r="G805" s="23">
        <f t="shared" ca="1" si="127"/>
        <v>154</v>
      </c>
      <c r="H805" s="23">
        <f t="shared" ca="1" si="128"/>
        <v>598</v>
      </c>
      <c r="I805" s="23">
        <f t="shared" ca="1" si="129"/>
        <v>322</v>
      </c>
      <c r="J805" s="23">
        <f t="shared" ca="1" si="130"/>
        <v>598</v>
      </c>
      <c r="K805" s="23">
        <f t="shared" ca="1" si="131"/>
        <v>920</v>
      </c>
      <c r="L805" s="23">
        <f t="shared" ca="1" si="124"/>
        <v>51400</v>
      </c>
    </row>
    <row r="806" spans="3:12">
      <c r="C806" s="23">
        <f t="shared" si="122"/>
        <v>420</v>
      </c>
      <c r="D806" s="23">
        <f t="shared" si="123"/>
        <v>168</v>
      </c>
      <c r="E806" s="23">
        <f t="shared" si="125"/>
        <v>252</v>
      </c>
      <c r="F806" s="23">
        <f t="shared" si="126"/>
        <v>700</v>
      </c>
      <c r="G806" s="23">
        <f t="shared" ca="1" si="127"/>
        <v>218</v>
      </c>
      <c r="H806" s="23">
        <f t="shared" ca="1" si="128"/>
        <v>547</v>
      </c>
      <c r="I806" s="23">
        <f t="shared" ca="1" si="129"/>
        <v>386</v>
      </c>
      <c r="J806" s="23">
        <f t="shared" ca="1" si="130"/>
        <v>547</v>
      </c>
      <c r="K806" s="23">
        <f t="shared" ca="1" si="131"/>
        <v>933</v>
      </c>
      <c r="L806" s="23">
        <f t="shared" ca="1" si="124"/>
        <v>53155</v>
      </c>
    </row>
    <row r="807" spans="3:12">
      <c r="C807" s="23">
        <f t="shared" si="122"/>
        <v>420</v>
      </c>
      <c r="D807" s="23">
        <f t="shared" si="123"/>
        <v>168</v>
      </c>
      <c r="E807" s="23">
        <f t="shared" si="125"/>
        <v>252</v>
      </c>
      <c r="F807" s="23">
        <f t="shared" si="126"/>
        <v>700</v>
      </c>
      <c r="G807" s="23">
        <f t="shared" ca="1" si="127"/>
        <v>218</v>
      </c>
      <c r="H807" s="23">
        <f t="shared" ca="1" si="128"/>
        <v>689</v>
      </c>
      <c r="I807" s="23">
        <f t="shared" ca="1" si="129"/>
        <v>386</v>
      </c>
      <c r="J807" s="23">
        <f t="shared" ca="1" si="130"/>
        <v>689</v>
      </c>
      <c r="K807" s="23">
        <f t="shared" ca="1" si="131"/>
        <v>1075</v>
      </c>
      <c r="L807" s="23">
        <f t="shared" ca="1" si="124"/>
        <v>72325</v>
      </c>
    </row>
    <row r="808" spans="3:12">
      <c r="C808" s="23">
        <f t="shared" si="122"/>
        <v>420</v>
      </c>
      <c r="D808" s="23">
        <f t="shared" si="123"/>
        <v>168</v>
      </c>
      <c r="E808" s="23">
        <f t="shared" si="125"/>
        <v>252</v>
      </c>
      <c r="F808" s="23">
        <f t="shared" si="126"/>
        <v>700</v>
      </c>
      <c r="G808" s="23">
        <f t="shared" ca="1" si="127"/>
        <v>191</v>
      </c>
      <c r="H808" s="23">
        <f t="shared" ca="1" si="128"/>
        <v>544</v>
      </c>
      <c r="I808" s="23">
        <f t="shared" ca="1" si="129"/>
        <v>359</v>
      </c>
      <c r="J808" s="23">
        <f t="shared" ca="1" si="130"/>
        <v>544</v>
      </c>
      <c r="K808" s="23">
        <f t="shared" ca="1" si="131"/>
        <v>903</v>
      </c>
      <c r="L808" s="23">
        <f t="shared" ca="1" si="124"/>
        <v>49105</v>
      </c>
    </row>
    <row r="809" spans="3:12">
      <c r="C809" s="23">
        <f t="shared" si="122"/>
        <v>420</v>
      </c>
      <c r="D809" s="23">
        <f t="shared" si="123"/>
        <v>168</v>
      </c>
      <c r="E809" s="23">
        <f t="shared" si="125"/>
        <v>252</v>
      </c>
      <c r="F809" s="23">
        <f t="shared" si="126"/>
        <v>700</v>
      </c>
      <c r="G809" s="23">
        <f t="shared" ca="1" si="127"/>
        <v>194</v>
      </c>
      <c r="H809" s="23">
        <f t="shared" ca="1" si="128"/>
        <v>716</v>
      </c>
      <c r="I809" s="23">
        <f t="shared" ca="1" si="129"/>
        <v>362</v>
      </c>
      <c r="J809" s="23">
        <f t="shared" ca="1" si="130"/>
        <v>716</v>
      </c>
      <c r="K809" s="23">
        <f t="shared" ca="1" si="131"/>
        <v>1078</v>
      </c>
      <c r="L809" s="23">
        <f t="shared" ca="1" si="124"/>
        <v>72730</v>
      </c>
    </row>
    <row r="810" spans="3:12">
      <c r="C810" s="23">
        <f t="shared" si="122"/>
        <v>420</v>
      </c>
      <c r="D810" s="23">
        <f t="shared" si="123"/>
        <v>168</v>
      </c>
      <c r="E810" s="23">
        <f t="shared" si="125"/>
        <v>252</v>
      </c>
      <c r="F810" s="23">
        <f t="shared" si="126"/>
        <v>700</v>
      </c>
      <c r="G810" s="23">
        <f t="shared" ca="1" si="127"/>
        <v>199</v>
      </c>
      <c r="H810" s="23">
        <f t="shared" ca="1" si="128"/>
        <v>549</v>
      </c>
      <c r="I810" s="23">
        <f t="shared" ca="1" si="129"/>
        <v>367</v>
      </c>
      <c r="J810" s="23">
        <f t="shared" ca="1" si="130"/>
        <v>549</v>
      </c>
      <c r="K810" s="23">
        <f t="shared" ca="1" si="131"/>
        <v>916</v>
      </c>
      <c r="L810" s="23">
        <f t="shared" ca="1" si="124"/>
        <v>50860</v>
      </c>
    </row>
    <row r="811" spans="3:12">
      <c r="C811" s="23">
        <f t="shared" si="122"/>
        <v>420</v>
      </c>
      <c r="D811" s="23">
        <f t="shared" si="123"/>
        <v>168</v>
      </c>
      <c r="E811" s="23">
        <f t="shared" si="125"/>
        <v>252</v>
      </c>
      <c r="F811" s="23">
        <f t="shared" si="126"/>
        <v>700</v>
      </c>
      <c r="G811" s="23">
        <f t="shared" ca="1" si="127"/>
        <v>187</v>
      </c>
      <c r="H811" s="23">
        <f t="shared" ca="1" si="128"/>
        <v>555</v>
      </c>
      <c r="I811" s="23">
        <f t="shared" ca="1" si="129"/>
        <v>355</v>
      </c>
      <c r="J811" s="23">
        <f t="shared" ca="1" si="130"/>
        <v>555</v>
      </c>
      <c r="K811" s="23">
        <f t="shared" ca="1" si="131"/>
        <v>910</v>
      </c>
      <c r="L811" s="23">
        <f t="shared" ca="1" si="124"/>
        <v>50050</v>
      </c>
    </row>
    <row r="812" spans="3:12">
      <c r="C812" s="23">
        <f t="shared" si="122"/>
        <v>420</v>
      </c>
      <c r="D812" s="23">
        <f t="shared" si="123"/>
        <v>168</v>
      </c>
      <c r="E812" s="23">
        <f t="shared" si="125"/>
        <v>252</v>
      </c>
      <c r="F812" s="23">
        <f t="shared" si="126"/>
        <v>700</v>
      </c>
      <c r="G812" s="23">
        <f t="shared" ca="1" si="127"/>
        <v>200</v>
      </c>
      <c r="H812" s="23">
        <f t="shared" ca="1" si="128"/>
        <v>600</v>
      </c>
      <c r="I812" s="23">
        <f t="shared" ca="1" si="129"/>
        <v>368</v>
      </c>
      <c r="J812" s="23">
        <f t="shared" ca="1" si="130"/>
        <v>600</v>
      </c>
      <c r="K812" s="23">
        <f t="shared" ca="1" si="131"/>
        <v>968</v>
      </c>
      <c r="L812" s="23">
        <f t="shared" ca="1" si="124"/>
        <v>57880</v>
      </c>
    </row>
    <row r="813" spans="3:12">
      <c r="C813" s="23">
        <f t="shared" si="122"/>
        <v>420</v>
      </c>
      <c r="D813" s="23">
        <f t="shared" si="123"/>
        <v>168</v>
      </c>
      <c r="E813" s="23">
        <f t="shared" si="125"/>
        <v>252</v>
      </c>
      <c r="F813" s="23">
        <f t="shared" si="126"/>
        <v>700</v>
      </c>
      <c r="G813" s="23">
        <f t="shared" ca="1" si="127"/>
        <v>195</v>
      </c>
      <c r="H813" s="23">
        <f t="shared" ca="1" si="128"/>
        <v>694</v>
      </c>
      <c r="I813" s="23">
        <f t="shared" ca="1" si="129"/>
        <v>363</v>
      </c>
      <c r="J813" s="23">
        <f t="shared" ca="1" si="130"/>
        <v>694</v>
      </c>
      <c r="K813" s="23">
        <f t="shared" ca="1" si="131"/>
        <v>1057</v>
      </c>
      <c r="L813" s="23">
        <f t="shared" ca="1" si="124"/>
        <v>69895</v>
      </c>
    </row>
    <row r="814" spans="3:12">
      <c r="C814" s="23">
        <f t="shared" si="122"/>
        <v>420</v>
      </c>
      <c r="D814" s="23">
        <f t="shared" si="123"/>
        <v>168</v>
      </c>
      <c r="E814" s="23">
        <f t="shared" si="125"/>
        <v>252</v>
      </c>
      <c r="F814" s="23">
        <f t="shared" si="126"/>
        <v>700</v>
      </c>
      <c r="G814" s="23">
        <f t="shared" ca="1" si="127"/>
        <v>257</v>
      </c>
      <c r="H814" s="23">
        <f t="shared" ca="1" si="128"/>
        <v>665</v>
      </c>
      <c r="I814" s="23">
        <f t="shared" ca="1" si="129"/>
        <v>420</v>
      </c>
      <c r="J814" s="23">
        <f t="shared" ca="1" si="130"/>
        <v>665</v>
      </c>
      <c r="K814" s="23">
        <f t="shared" ca="1" si="131"/>
        <v>1085</v>
      </c>
      <c r="L814" s="23">
        <f t="shared" ca="1" si="124"/>
        <v>73675</v>
      </c>
    </row>
    <row r="815" spans="3:12">
      <c r="C815" s="23">
        <f t="shared" si="122"/>
        <v>420</v>
      </c>
      <c r="D815" s="23">
        <f t="shared" si="123"/>
        <v>168</v>
      </c>
      <c r="E815" s="23">
        <f t="shared" si="125"/>
        <v>252</v>
      </c>
      <c r="F815" s="23">
        <f t="shared" si="126"/>
        <v>700</v>
      </c>
      <c r="G815" s="23">
        <f t="shared" ca="1" si="127"/>
        <v>253</v>
      </c>
      <c r="H815" s="23">
        <f t="shared" ca="1" si="128"/>
        <v>653</v>
      </c>
      <c r="I815" s="23">
        <f t="shared" ca="1" si="129"/>
        <v>420</v>
      </c>
      <c r="J815" s="23">
        <f t="shared" ca="1" si="130"/>
        <v>653</v>
      </c>
      <c r="K815" s="23">
        <f t="shared" ca="1" si="131"/>
        <v>1073</v>
      </c>
      <c r="L815" s="23">
        <f t="shared" ca="1" si="124"/>
        <v>72055</v>
      </c>
    </row>
    <row r="816" spans="3:12">
      <c r="C816" s="23">
        <f t="shared" si="122"/>
        <v>420</v>
      </c>
      <c r="D816" s="23">
        <f t="shared" si="123"/>
        <v>168</v>
      </c>
      <c r="E816" s="23">
        <f t="shared" si="125"/>
        <v>252</v>
      </c>
      <c r="F816" s="23">
        <f t="shared" si="126"/>
        <v>700</v>
      </c>
      <c r="G816" s="23">
        <f t="shared" ca="1" si="127"/>
        <v>217</v>
      </c>
      <c r="H816" s="23">
        <f t="shared" ca="1" si="128"/>
        <v>647</v>
      </c>
      <c r="I816" s="23">
        <f t="shared" ca="1" si="129"/>
        <v>385</v>
      </c>
      <c r="J816" s="23">
        <f t="shared" ca="1" si="130"/>
        <v>647</v>
      </c>
      <c r="K816" s="23">
        <f t="shared" ca="1" si="131"/>
        <v>1032</v>
      </c>
      <c r="L816" s="23">
        <f t="shared" ca="1" si="124"/>
        <v>66520</v>
      </c>
    </row>
    <row r="817" spans="3:12">
      <c r="C817" s="23">
        <f t="shared" si="122"/>
        <v>420</v>
      </c>
      <c r="D817" s="23">
        <f t="shared" si="123"/>
        <v>168</v>
      </c>
      <c r="E817" s="23">
        <f t="shared" si="125"/>
        <v>252</v>
      </c>
      <c r="F817" s="23">
        <f t="shared" si="126"/>
        <v>700</v>
      </c>
      <c r="G817" s="23">
        <f t="shared" ca="1" si="127"/>
        <v>230</v>
      </c>
      <c r="H817" s="23">
        <f t="shared" ca="1" si="128"/>
        <v>708</v>
      </c>
      <c r="I817" s="23">
        <f t="shared" ca="1" si="129"/>
        <v>398</v>
      </c>
      <c r="J817" s="23">
        <f t="shared" ca="1" si="130"/>
        <v>708</v>
      </c>
      <c r="K817" s="23">
        <f t="shared" ca="1" si="131"/>
        <v>1106</v>
      </c>
      <c r="L817" s="23">
        <f t="shared" ca="1" si="124"/>
        <v>76510</v>
      </c>
    </row>
    <row r="818" spans="3:12">
      <c r="C818" s="23">
        <f t="shared" si="122"/>
        <v>420</v>
      </c>
      <c r="D818" s="23">
        <f t="shared" si="123"/>
        <v>168</v>
      </c>
      <c r="E818" s="23">
        <f t="shared" si="125"/>
        <v>252</v>
      </c>
      <c r="F818" s="23">
        <f t="shared" si="126"/>
        <v>700</v>
      </c>
      <c r="G818" s="23">
        <f t="shared" ca="1" si="127"/>
        <v>193</v>
      </c>
      <c r="H818" s="23">
        <f t="shared" ca="1" si="128"/>
        <v>650</v>
      </c>
      <c r="I818" s="23">
        <f t="shared" ca="1" si="129"/>
        <v>361</v>
      </c>
      <c r="J818" s="23">
        <f t="shared" ca="1" si="130"/>
        <v>650</v>
      </c>
      <c r="K818" s="23">
        <f t="shared" ca="1" si="131"/>
        <v>1011</v>
      </c>
      <c r="L818" s="23">
        <f t="shared" ca="1" si="124"/>
        <v>63685</v>
      </c>
    </row>
    <row r="819" spans="3:12">
      <c r="C819" s="23">
        <f t="shared" si="122"/>
        <v>420</v>
      </c>
      <c r="D819" s="23">
        <f t="shared" si="123"/>
        <v>168</v>
      </c>
      <c r="E819" s="23">
        <f t="shared" si="125"/>
        <v>252</v>
      </c>
      <c r="F819" s="23">
        <f t="shared" si="126"/>
        <v>700</v>
      </c>
      <c r="G819" s="23">
        <f t="shared" ca="1" si="127"/>
        <v>230</v>
      </c>
      <c r="H819" s="23">
        <f t="shared" ca="1" si="128"/>
        <v>716</v>
      </c>
      <c r="I819" s="23">
        <f t="shared" ca="1" si="129"/>
        <v>398</v>
      </c>
      <c r="J819" s="23">
        <f t="shared" ca="1" si="130"/>
        <v>716</v>
      </c>
      <c r="K819" s="23">
        <f t="shared" ca="1" si="131"/>
        <v>1114</v>
      </c>
      <c r="L819" s="23">
        <f t="shared" ca="1" si="124"/>
        <v>77590</v>
      </c>
    </row>
    <row r="820" spans="3:12">
      <c r="C820" s="23">
        <f t="shared" si="122"/>
        <v>420</v>
      </c>
      <c r="D820" s="23">
        <f t="shared" si="123"/>
        <v>168</v>
      </c>
      <c r="E820" s="23">
        <f t="shared" si="125"/>
        <v>252</v>
      </c>
      <c r="F820" s="23">
        <f t="shared" si="126"/>
        <v>700</v>
      </c>
      <c r="G820" s="23">
        <f t="shared" ca="1" si="127"/>
        <v>198</v>
      </c>
      <c r="H820" s="23">
        <f t="shared" ca="1" si="128"/>
        <v>632</v>
      </c>
      <c r="I820" s="23">
        <f t="shared" ca="1" si="129"/>
        <v>366</v>
      </c>
      <c r="J820" s="23">
        <f t="shared" ca="1" si="130"/>
        <v>632</v>
      </c>
      <c r="K820" s="23">
        <f t="shared" ca="1" si="131"/>
        <v>998</v>
      </c>
      <c r="L820" s="23">
        <f t="shared" ca="1" si="124"/>
        <v>61930</v>
      </c>
    </row>
    <row r="821" spans="3:12">
      <c r="C821" s="23">
        <f t="shared" si="122"/>
        <v>420</v>
      </c>
      <c r="D821" s="23">
        <f t="shared" si="123"/>
        <v>168</v>
      </c>
      <c r="E821" s="23">
        <f t="shared" si="125"/>
        <v>252</v>
      </c>
      <c r="F821" s="23">
        <f t="shared" si="126"/>
        <v>700</v>
      </c>
      <c r="G821" s="23">
        <f t="shared" ca="1" si="127"/>
        <v>188</v>
      </c>
      <c r="H821" s="23">
        <f t="shared" ca="1" si="128"/>
        <v>590</v>
      </c>
      <c r="I821" s="23">
        <f t="shared" ca="1" si="129"/>
        <v>356</v>
      </c>
      <c r="J821" s="23">
        <f t="shared" ca="1" si="130"/>
        <v>590</v>
      </c>
      <c r="K821" s="23">
        <f t="shared" ca="1" si="131"/>
        <v>946</v>
      </c>
      <c r="L821" s="23">
        <f t="shared" ca="1" si="124"/>
        <v>54910</v>
      </c>
    </row>
    <row r="822" spans="3:12">
      <c r="C822" s="23">
        <f t="shared" si="122"/>
        <v>420</v>
      </c>
      <c r="D822" s="23">
        <f t="shared" si="123"/>
        <v>168</v>
      </c>
      <c r="E822" s="23">
        <f t="shared" si="125"/>
        <v>252</v>
      </c>
      <c r="F822" s="23">
        <f t="shared" si="126"/>
        <v>700</v>
      </c>
      <c r="G822" s="23">
        <f t="shared" ca="1" si="127"/>
        <v>193</v>
      </c>
      <c r="H822" s="23">
        <f t="shared" ca="1" si="128"/>
        <v>610</v>
      </c>
      <c r="I822" s="23">
        <f t="shared" ca="1" si="129"/>
        <v>361</v>
      </c>
      <c r="J822" s="23">
        <f t="shared" ca="1" si="130"/>
        <v>610</v>
      </c>
      <c r="K822" s="23">
        <f t="shared" ca="1" si="131"/>
        <v>971</v>
      </c>
      <c r="L822" s="23">
        <f t="shared" ca="1" si="124"/>
        <v>58285</v>
      </c>
    </row>
    <row r="823" spans="3:12">
      <c r="C823" s="23">
        <f t="shared" si="122"/>
        <v>420</v>
      </c>
      <c r="D823" s="23">
        <f t="shared" si="123"/>
        <v>168</v>
      </c>
      <c r="E823" s="23">
        <f t="shared" si="125"/>
        <v>252</v>
      </c>
      <c r="F823" s="23">
        <f t="shared" si="126"/>
        <v>700</v>
      </c>
      <c r="G823" s="23">
        <f t="shared" ca="1" si="127"/>
        <v>207</v>
      </c>
      <c r="H823" s="23">
        <f t="shared" ca="1" si="128"/>
        <v>622</v>
      </c>
      <c r="I823" s="23">
        <f t="shared" ca="1" si="129"/>
        <v>375</v>
      </c>
      <c r="J823" s="23">
        <f t="shared" ca="1" si="130"/>
        <v>622</v>
      </c>
      <c r="K823" s="23">
        <f t="shared" ca="1" si="131"/>
        <v>997</v>
      </c>
      <c r="L823" s="23">
        <f t="shared" ca="1" si="124"/>
        <v>61795</v>
      </c>
    </row>
    <row r="824" spans="3:12">
      <c r="C824" s="23">
        <f t="shared" si="122"/>
        <v>420</v>
      </c>
      <c r="D824" s="23">
        <f t="shared" si="123"/>
        <v>168</v>
      </c>
      <c r="E824" s="23">
        <f t="shared" si="125"/>
        <v>252</v>
      </c>
      <c r="F824" s="23">
        <f t="shared" si="126"/>
        <v>700</v>
      </c>
      <c r="G824" s="23">
        <f t="shared" ca="1" si="127"/>
        <v>180</v>
      </c>
      <c r="H824" s="23">
        <f t="shared" ca="1" si="128"/>
        <v>637</v>
      </c>
      <c r="I824" s="23">
        <f t="shared" ca="1" si="129"/>
        <v>348</v>
      </c>
      <c r="J824" s="23">
        <f t="shared" ca="1" si="130"/>
        <v>637</v>
      </c>
      <c r="K824" s="23">
        <f t="shared" ca="1" si="131"/>
        <v>985</v>
      </c>
      <c r="L824" s="23">
        <f t="shared" ca="1" si="124"/>
        <v>60175</v>
      </c>
    </row>
    <row r="825" spans="3:12">
      <c r="C825" s="23">
        <f t="shared" si="122"/>
        <v>420</v>
      </c>
      <c r="D825" s="23">
        <f t="shared" si="123"/>
        <v>168</v>
      </c>
      <c r="E825" s="23">
        <f t="shared" si="125"/>
        <v>252</v>
      </c>
      <c r="F825" s="23">
        <f t="shared" si="126"/>
        <v>700</v>
      </c>
      <c r="G825" s="23">
        <f t="shared" ca="1" si="127"/>
        <v>212</v>
      </c>
      <c r="H825" s="23">
        <f t="shared" ca="1" si="128"/>
        <v>706</v>
      </c>
      <c r="I825" s="23">
        <f t="shared" ca="1" si="129"/>
        <v>380</v>
      </c>
      <c r="J825" s="23">
        <f t="shared" ca="1" si="130"/>
        <v>706</v>
      </c>
      <c r="K825" s="23">
        <f t="shared" ca="1" si="131"/>
        <v>1086</v>
      </c>
      <c r="L825" s="23">
        <f t="shared" ca="1" si="124"/>
        <v>73810</v>
      </c>
    </row>
    <row r="826" spans="3:12">
      <c r="C826" s="23">
        <f t="shared" si="122"/>
        <v>420</v>
      </c>
      <c r="D826" s="23">
        <f t="shared" si="123"/>
        <v>168</v>
      </c>
      <c r="E826" s="23">
        <f t="shared" si="125"/>
        <v>252</v>
      </c>
      <c r="F826" s="23">
        <f t="shared" si="126"/>
        <v>700</v>
      </c>
      <c r="G826" s="23">
        <f t="shared" ca="1" si="127"/>
        <v>216</v>
      </c>
      <c r="H826" s="23">
        <f t="shared" ca="1" si="128"/>
        <v>633</v>
      </c>
      <c r="I826" s="23">
        <f t="shared" ca="1" si="129"/>
        <v>384</v>
      </c>
      <c r="J826" s="23">
        <f t="shared" ca="1" si="130"/>
        <v>633</v>
      </c>
      <c r="K826" s="23">
        <f t="shared" ca="1" si="131"/>
        <v>1017</v>
      </c>
      <c r="L826" s="23">
        <f t="shared" ca="1" si="124"/>
        <v>64495</v>
      </c>
    </row>
    <row r="827" spans="3:12">
      <c r="C827" s="23">
        <f t="shared" si="122"/>
        <v>420</v>
      </c>
      <c r="D827" s="23">
        <f t="shared" si="123"/>
        <v>168</v>
      </c>
      <c r="E827" s="23">
        <f t="shared" si="125"/>
        <v>252</v>
      </c>
      <c r="F827" s="23">
        <f t="shared" si="126"/>
        <v>700</v>
      </c>
      <c r="G827" s="23">
        <f t="shared" ca="1" si="127"/>
        <v>242</v>
      </c>
      <c r="H827" s="23">
        <f t="shared" ca="1" si="128"/>
        <v>582</v>
      </c>
      <c r="I827" s="23">
        <f t="shared" ca="1" si="129"/>
        <v>410</v>
      </c>
      <c r="J827" s="23">
        <f t="shared" ca="1" si="130"/>
        <v>582</v>
      </c>
      <c r="K827" s="23">
        <f t="shared" ca="1" si="131"/>
        <v>992</v>
      </c>
      <c r="L827" s="23">
        <f t="shared" ca="1" si="124"/>
        <v>61120</v>
      </c>
    </row>
    <row r="828" spans="3:12">
      <c r="C828" s="23">
        <f t="shared" si="122"/>
        <v>420</v>
      </c>
      <c r="D828" s="23">
        <f t="shared" si="123"/>
        <v>168</v>
      </c>
      <c r="E828" s="23">
        <f t="shared" si="125"/>
        <v>252</v>
      </c>
      <c r="F828" s="23">
        <f t="shared" si="126"/>
        <v>700</v>
      </c>
      <c r="G828" s="23">
        <f t="shared" ca="1" si="127"/>
        <v>207</v>
      </c>
      <c r="H828" s="23">
        <f t="shared" ca="1" si="128"/>
        <v>611</v>
      </c>
      <c r="I828" s="23">
        <f t="shared" ca="1" si="129"/>
        <v>375</v>
      </c>
      <c r="J828" s="23">
        <f t="shared" ca="1" si="130"/>
        <v>611</v>
      </c>
      <c r="K828" s="23">
        <f t="shared" ca="1" si="131"/>
        <v>986</v>
      </c>
      <c r="L828" s="23">
        <f t="shared" ca="1" si="124"/>
        <v>60310</v>
      </c>
    </row>
    <row r="829" spans="3:12">
      <c r="C829" s="23">
        <f t="shared" si="122"/>
        <v>420</v>
      </c>
      <c r="D829" s="23">
        <f t="shared" si="123"/>
        <v>168</v>
      </c>
      <c r="E829" s="23">
        <f t="shared" si="125"/>
        <v>252</v>
      </c>
      <c r="F829" s="23">
        <f t="shared" si="126"/>
        <v>700</v>
      </c>
      <c r="G829" s="23">
        <f t="shared" ca="1" si="127"/>
        <v>219</v>
      </c>
      <c r="H829" s="23">
        <f t="shared" ca="1" si="128"/>
        <v>519</v>
      </c>
      <c r="I829" s="23">
        <f t="shared" ca="1" si="129"/>
        <v>387</v>
      </c>
      <c r="J829" s="23">
        <f t="shared" ca="1" si="130"/>
        <v>519</v>
      </c>
      <c r="K829" s="23">
        <f t="shared" ca="1" si="131"/>
        <v>906</v>
      </c>
      <c r="L829" s="23">
        <f t="shared" ca="1" si="124"/>
        <v>49510</v>
      </c>
    </row>
    <row r="830" spans="3:12">
      <c r="C830" s="23">
        <f t="shared" si="122"/>
        <v>420</v>
      </c>
      <c r="D830" s="23">
        <f t="shared" si="123"/>
        <v>168</v>
      </c>
      <c r="E830" s="23">
        <f t="shared" si="125"/>
        <v>252</v>
      </c>
      <c r="F830" s="23">
        <f t="shared" si="126"/>
        <v>700</v>
      </c>
      <c r="G830" s="23">
        <f t="shared" ca="1" si="127"/>
        <v>218</v>
      </c>
      <c r="H830" s="23">
        <f t="shared" ca="1" si="128"/>
        <v>597</v>
      </c>
      <c r="I830" s="23">
        <f t="shared" ca="1" si="129"/>
        <v>386</v>
      </c>
      <c r="J830" s="23">
        <f t="shared" ca="1" si="130"/>
        <v>597</v>
      </c>
      <c r="K830" s="23">
        <f t="shared" ca="1" si="131"/>
        <v>983</v>
      </c>
      <c r="L830" s="23">
        <f t="shared" ca="1" si="124"/>
        <v>59905</v>
      </c>
    </row>
    <row r="831" spans="3:12">
      <c r="C831" s="23">
        <f t="shared" si="122"/>
        <v>420</v>
      </c>
      <c r="D831" s="23">
        <f t="shared" si="123"/>
        <v>168</v>
      </c>
      <c r="E831" s="23">
        <f t="shared" si="125"/>
        <v>252</v>
      </c>
      <c r="F831" s="23">
        <f t="shared" si="126"/>
        <v>700</v>
      </c>
      <c r="G831" s="23">
        <f t="shared" ca="1" si="127"/>
        <v>174</v>
      </c>
      <c r="H831" s="23">
        <f t="shared" ca="1" si="128"/>
        <v>742</v>
      </c>
      <c r="I831" s="23">
        <f t="shared" ca="1" si="129"/>
        <v>342</v>
      </c>
      <c r="J831" s="23">
        <f t="shared" ca="1" si="130"/>
        <v>742</v>
      </c>
      <c r="K831" s="23">
        <f t="shared" ca="1" si="131"/>
        <v>1084</v>
      </c>
      <c r="L831" s="23">
        <f t="shared" ca="1" si="124"/>
        <v>73540</v>
      </c>
    </row>
    <row r="832" spans="3:12">
      <c r="C832" s="23">
        <f t="shared" si="122"/>
        <v>420</v>
      </c>
      <c r="D832" s="23">
        <f t="shared" si="123"/>
        <v>168</v>
      </c>
      <c r="E832" s="23">
        <f t="shared" si="125"/>
        <v>252</v>
      </c>
      <c r="F832" s="23">
        <f t="shared" si="126"/>
        <v>700</v>
      </c>
      <c r="G832" s="23">
        <f t="shared" ca="1" si="127"/>
        <v>215</v>
      </c>
      <c r="H832" s="23">
        <f t="shared" ca="1" si="128"/>
        <v>640</v>
      </c>
      <c r="I832" s="23">
        <f t="shared" ca="1" si="129"/>
        <v>383</v>
      </c>
      <c r="J832" s="23">
        <f t="shared" ca="1" si="130"/>
        <v>640</v>
      </c>
      <c r="K832" s="23">
        <f t="shared" ca="1" si="131"/>
        <v>1023</v>
      </c>
      <c r="L832" s="23">
        <f t="shared" ca="1" si="124"/>
        <v>65305</v>
      </c>
    </row>
    <row r="833" spans="3:12">
      <c r="C833" s="23">
        <f t="shared" si="122"/>
        <v>420</v>
      </c>
      <c r="D833" s="23">
        <f t="shared" si="123"/>
        <v>168</v>
      </c>
      <c r="E833" s="23">
        <f t="shared" si="125"/>
        <v>252</v>
      </c>
      <c r="F833" s="23">
        <f t="shared" si="126"/>
        <v>700</v>
      </c>
      <c r="G833" s="23">
        <f t="shared" ca="1" si="127"/>
        <v>196</v>
      </c>
      <c r="H833" s="23">
        <f t="shared" ca="1" si="128"/>
        <v>645</v>
      </c>
      <c r="I833" s="23">
        <f t="shared" ca="1" si="129"/>
        <v>364</v>
      </c>
      <c r="J833" s="23">
        <f t="shared" ca="1" si="130"/>
        <v>645</v>
      </c>
      <c r="K833" s="23">
        <f t="shared" ca="1" si="131"/>
        <v>1009</v>
      </c>
      <c r="L833" s="23">
        <f t="shared" ca="1" si="124"/>
        <v>63415</v>
      </c>
    </row>
    <row r="834" spans="3:12">
      <c r="C834" s="23">
        <f t="shared" si="122"/>
        <v>420</v>
      </c>
      <c r="D834" s="23">
        <f t="shared" si="123"/>
        <v>168</v>
      </c>
      <c r="E834" s="23">
        <f t="shared" si="125"/>
        <v>252</v>
      </c>
      <c r="F834" s="23">
        <f t="shared" si="126"/>
        <v>700</v>
      </c>
      <c r="G834" s="23">
        <f t="shared" ca="1" si="127"/>
        <v>253</v>
      </c>
      <c r="H834" s="23">
        <f t="shared" ca="1" si="128"/>
        <v>729</v>
      </c>
      <c r="I834" s="23">
        <f t="shared" ca="1" si="129"/>
        <v>420</v>
      </c>
      <c r="J834" s="23">
        <f t="shared" ca="1" si="130"/>
        <v>700</v>
      </c>
      <c r="K834" s="23">
        <f t="shared" ca="1" si="131"/>
        <v>1120</v>
      </c>
      <c r="L834" s="23">
        <f t="shared" ca="1" si="124"/>
        <v>78400</v>
      </c>
    </row>
    <row r="835" spans="3:12">
      <c r="C835" s="23">
        <f t="shared" si="122"/>
        <v>420</v>
      </c>
      <c r="D835" s="23">
        <f t="shared" si="123"/>
        <v>168</v>
      </c>
      <c r="E835" s="23">
        <f t="shared" si="125"/>
        <v>252</v>
      </c>
      <c r="F835" s="23">
        <f t="shared" si="126"/>
        <v>700</v>
      </c>
      <c r="G835" s="23">
        <f t="shared" ca="1" si="127"/>
        <v>209</v>
      </c>
      <c r="H835" s="23">
        <f t="shared" ca="1" si="128"/>
        <v>659</v>
      </c>
      <c r="I835" s="23">
        <f t="shared" ca="1" si="129"/>
        <v>377</v>
      </c>
      <c r="J835" s="23">
        <f t="shared" ca="1" si="130"/>
        <v>659</v>
      </c>
      <c r="K835" s="23">
        <f t="shared" ca="1" si="131"/>
        <v>1036</v>
      </c>
      <c r="L835" s="23">
        <f t="shared" ca="1" si="124"/>
        <v>67060</v>
      </c>
    </row>
    <row r="836" spans="3:12">
      <c r="C836" s="23">
        <f t="shared" si="122"/>
        <v>420</v>
      </c>
      <c r="D836" s="23">
        <f t="shared" si="123"/>
        <v>168</v>
      </c>
      <c r="E836" s="23">
        <f t="shared" si="125"/>
        <v>252</v>
      </c>
      <c r="F836" s="23">
        <f t="shared" si="126"/>
        <v>700</v>
      </c>
      <c r="G836" s="23">
        <f t="shared" ca="1" si="127"/>
        <v>243</v>
      </c>
      <c r="H836" s="23">
        <f t="shared" ca="1" si="128"/>
        <v>780</v>
      </c>
      <c r="I836" s="23">
        <f t="shared" ca="1" si="129"/>
        <v>411</v>
      </c>
      <c r="J836" s="23">
        <f t="shared" ca="1" si="130"/>
        <v>709</v>
      </c>
      <c r="K836" s="23">
        <f t="shared" ca="1" si="131"/>
        <v>1120</v>
      </c>
      <c r="L836" s="23">
        <f t="shared" ca="1" si="124"/>
        <v>78400</v>
      </c>
    </row>
    <row r="837" spans="3:12">
      <c r="C837" s="23">
        <f t="shared" si="122"/>
        <v>420</v>
      </c>
      <c r="D837" s="23">
        <f t="shared" si="123"/>
        <v>168</v>
      </c>
      <c r="E837" s="23">
        <f t="shared" si="125"/>
        <v>252</v>
      </c>
      <c r="F837" s="23">
        <f t="shared" si="126"/>
        <v>700</v>
      </c>
      <c r="G837" s="23">
        <f t="shared" ca="1" si="127"/>
        <v>252</v>
      </c>
      <c r="H837" s="23">
        <f t="shared" ca="1" si="128"/>
        <v>652</v>
      </c>
      <c r="I837" s="23">
        <f t="shared" ca="1" si="129"/>
        <v>420</v>
      </c>
      <c r="J837" s="23">
        <f t="shared" ca="1" si="130"/>
        <v>652</v>
      </c>
      <c r="K837" s="23">
        <f t="shared" ca="1" si="131"/>
        <v>1072</v>
      </c>
      <c r="L837" s="23">
        <f t="shared" ca="1" si="124"/>
        <v>71920</v>
      </c>
    </row>
    <row r="838" spans="3:12">
      <c r="C838" s="23">
        <f t="shared" si="122"/>
        <v>420</v>
      </c>
      <c r="D838" s="23">
        <f t="shared" si="123"/>
        <v>168</v>
      </c>
      <c r="E838" s="23">
        <f t="shared" si="125"/>
        <v>252</v>
      </c>
      <c r="F838" s="23">
        <f t="shared" si="126"/>
        <v>700</v>
      </c>
      <c r="G838" s="23">
        <f t="shared" ca="1" si="127"/>
        <v>190</v>
      </c>
      <c r="H838" s="23">
        <f t="shared" ca="1" si="128"/>
        <v>728</v>
      </c>
      <c r="I838" s="23">
        <f t="shared" ca="1" si="129"/>
        <v>358</v>
      </c>
      <c r="J838" s="23">
        <f t="shared" ca="1" si="130"/>
        <v>728</v>
      </c>
      <c r="K838" s="23">
        <f t="shared" ca="1" si="131"/>
        <v>1086</v>
      </c>
      <c r="L838" s="23">
        <f t="shared" ca="1" si="124"/>
        <v>73810</v>
      </c>
    </row>
    <row r="839" spans="3:12">
      <c r="C839" s="23">
        <f t="shared" si="122"/>
        <v>420</v>
      </c>
      <c r="D839" s="23">
        <f t="shared" si="123"/>
        <v>168</v>
      </c>
      <c r="E839" s="23">
        <f t="shared" si="125"/>
        <v>252</v>
      </c>
      <c r="F839" s="23">
        <f t="shared" si="126"/>
        <v>700</v>
      </c>
      <c r="G839" s="23">
        <f t="shared" ca="1" si="127"/>
        <v>215</v>
      </c>
      <c r="H839" s="23">
        <f t="shared" ca="1" si="128"/>
        <v>550</v>
      </c>
      <c r="I839" s="23">
        <f t="shared" ca="1" si="129"/>
        <v>383</v>
      </c>
      <c r="J839" s="23">
        <f t="shared" ca="1" si="130"/>
        <v>550</v>
      </c>
      <c r="K839" s="23">
        <f t="shared" ca="1" si="131"/>
        <v>933</v>
      </c>
      <c r="L839" s="23">
        <f t="shared" ca="1" si="124"/>
        <v>53155</v>
      </c>
    </row>
    <row r="840" spans="3:12">
      <c r="C840" s="23">
        <f t="shared" si="122"/>
        <v>420</v>
      </c>
      <c r="D840" s="23">
        <f t="shared" si="123"/>
        <v>168</v>
      </c>
      <c r="E840" s="23">
        <f t="shared" si="125"/>
        <v>252</v>
      </c>
      <c r="F840" s="23">
        <f t="shared" si="126"/>
        <v>700</v>
      </c>
      <c r="G840" s="23">
        <f t="shared" ca="1" si="127"/>
        <v>242</v>
      </c>
      <c r="H840" s="23">
        <f t="shared" ca="1" si="128"/>
        <v>657</v>
      </c>
      <c r="I840" s="23">
        <f t="shared" ca="1" si="129"/>
        <v>410</v>
      </c>
      <c r="J840" s="23">
        <f t="shared" ca="1" si="130"/>
        <v>657</v>
      </c>
      <c r="K840" s="23">
        <f t="shared" ca="1" si="131"/>
        <v>1067</v>
      </c>
      <c r="L840" s="23">
        <f t="shared" ca="1" si="124"/>
        <v>71245</v>
      </c>
    </row>
    <row r="841" spans="3:12">
      <c r="C841" s="23">
        <f t="shared" si="122"/>
        <v>420</v>
      </c>
      <c r="D841" s="23">
        <f t="shared" si="123"/>
        <v>168</v>
      </c>
      <c r="E841" s="23">
        <f t="shared" si="125"/>
        <v>252</v>
      </c>
      <c r="F841" s="23">
        <f t="shared" si="126"/>
        <v>700</v>
      </c>
      <c r="G841" s="23">
        <f t="shared" ca="1" si="127"/>
        <v>218</v>
      </c>
      <c r="H841" s="23">
        <f t="shared" ca="1" si="128"/>
        <v>600</v>
      </c>
      <c r="I841" s="23">
        <f t="shared" ca="1" si="129"/>
        <v>386</v>
      </c>
      <c r="J841" s="23">
        <f t="shared" ca="1" si="130"/>
        <v>600</v>
      </c>
      <c r="K841" s="23">
        <f t="shared" ca="1" si="131"/>
        <v>986</v>
      </c>
      <c r="L841" s="23">
        <f t="shared" ca="1" si="124"/>
        <v>60310</v>
      </c>
    </row>
    <row r="842" spans="3:12">
      <c r="C842" s="23">
        <f t="shared" si="122"/>
        <v>420</v>
      </c>
      <c r="D842" s="23">
        <f t="shared" si="123"/>
        <v>168</v>
      </c>
      <c r="E842" s="23">
        <f t="shared" si="125"/>
        <v>252</v>
      </c>
      <c r="F842" s="23">
        <f t="shared" si="126"/>
        <v>700</v>
      </c>
      <c r="G842" s="23">
        <f t="shared" ca="1" si="127"/>
        <v>193</v>
      </c>
      <c r="H842" s="23">
        <f t="shared" ca="1" si="128"/>
        <v>590</v>
      </c>
      <c r="I842" s="23">
        <f t="shared" ca="1" si="129"/>
        <v>361</v>
      </c>
      <c r="J842" s="23">
        <f t="shared" ca="1" si="130"/>
        <v>590</v>
      </c>
      <c r="K842" s="23">
        <f t="shared" ca="1" si="131"/>
        <v>951</v>
      </c>
      <c r="L842" s="23">
        <f t="shared" ca="1" si="124"/>
        <v>55585</v>
      </c>
    </row>
    <row r="843" spans="3:12">
      <c r="C843" s="23">
        <f t="shared" si="122"/>
        <v>420</v>
      </c>
      <c r="D843" s="23">
        <f t="shared" si="123"/>
        <v>168</v>
      </c>
      <c r="E843" s="23">
        <f t="shared" si="125"/>
        <v>252</v>
      </c>
      <c r="F843" s="23">
        <f t="shared" si="126"/>
        <v>700</v>
      </c>
      <c r="G843" s="23">
        <f t="shared" ca="1" si="127"/>
        <v>207</v>
      </c>
      <c r="H843" s="23">
        <f t="shared" ca="1" si="128"/>
        <v>609</v>
      </c>
      <c r="I843" s="23">
        <f t="shared" ca="1" si="129"/>
        <v>375</v>
      </c>
      <c r="J843" s="23">
        <f t="shared" ca="1" si="130"/>
        <v>609</v>
      </c>
      <c r="K843" s="23">
        <f t="shared" ca="1" si="131"/>
        <v>984</v>
      </c>
      <c r="L843" s="23">
        <f t="shared" ca="1" si="124"/>
        <v>60040</v>
      </c>
    </row>
    <row r="844" spans="3:12">
      <c r="C844" s="23">
        <f t="shared" ref="C844:C907" si="132">$B$4</f>
        <v>420</v>
      </c>
      <c r="D844" s="23">
        <f t="shared" ref="D844:D907" si="133">$B$5</f>
        <v>168</v>
      </c>
      <c r="E844" s="23">
        <f t="shared" si="125"/>
        <v>252</v>
      </c>
      <c r="F844" s="23">
        <f t="shared" si="126"/>
        <v>700</v>
      </c>
      <c r="G844" s="23">
        <f t="shared" ca="1" si="127"/>
        <v>233</v>
      </c>
      <c r="H844" s="23">
        <f t="shared" ca="1" si="128"/>
        <v>650</v>
      </c>
      <c r="I844" s="23">
        <f t="shared" ca="1" si="129"/>
        <v>401</v>
      </c>
      <c r="J844" s="23">
        <f t="shared" ca="1" si="130"/>
        <v>650</v>
      </c>
      <c r="K844" s="23">
        <f t="shared" ca="1" si="131"/>
        <v>1051</v>
      </c>
      <c r="L844" s="23">
        <f t="shared" ref="L844:L907" ca="1" si="134">K844*$B$2-(F844+C844)*$B$1</f>
        <v>69085</v>
      </c>
    </row>
    <row r="845" spans="3:12">
      <c r="C845" s="23">
        <f t="shared" si="132"/>
        <v>420</v>
      </c>
      <c r="D845" s="23">
        <f t="shared" si="133"/>
        <v>168</v>
      </c>
      <c r="E845" s="23">
        <f t="shared" ref="E845:E908" si="135">MAX(0,C845-D845)</f>
        <v>252</v>
      </c>
      <c r="F845" s="23">
        <f t="shared" ref="F845:F908" si="136">$E$8</f>
        <v>700</v>
      </c>
      <c r="G845" s="23">
        <f t="shared" ref="G845:G908" ca="1" si="137">_xlfn.FLOOR.MATH(MAX(0,_xlfn.NORM.INV(RAND(),$B$6*$B$8,$B$3*($B$8+0.0001))))</f>
        <v>254</v>
      </c>
      <c r="H845" s="23">
        <f t="shared" ref="H845:H908" ca="1" si="138">_xlfn.FLOOR.MATH(MAX(0,_xlfn.NORM.INV(RAND(),$B$6*(1-$B$8),$B$3*(1.00001-$B$8))))</f>
        <v>786</v>
      </c>
      <c r="I845" s="23">
        <f t="shared" ref="I845:I908" ca="1" si="139">MIN(C845,D845+G845)</f>
        <v>420</v>
      </c>
      <c r="J845" s="23">
        <f t="shared" ref="J845:J908" ca="1" si="140">MIN(C845-I845+F845,H845)</f>
        <v>700</v>
      </c>
      <c r="K845" s="23">
        <f t="shared" ref="K845:K908" ca="1" si="141">I845+J845</f>
        <v>1120</v>
      </c>
      <c r="L845" s="23">
        <f t="shared" ca="1" si="134"/>
        <v>78400</v>
      </c>
    </row>
    <row r="846" spans="3:12">
      <c r="C846" s="23">
        <f t="shared" si="132"/>
        <v>420</v>
      </c>
      <c r="D846" s="23">
        <f t="shared" si="133"/>
        <v>168</v>
      </c>
      <c r="E846" s="23">
        <f t="shared" si="135"/>
        <v>252</v>
      </c>
      <c r="F846" s="23">
        <f t="shared" si="136"/>
        <v>700</v>
      </c>
      <c r="G846" s="23">
        <f t="shared" ca="1" si="137"/>
        <v>228</v>
      </c>
      <c r="H846" s="23">
        <f t="shared" ca="1" si="138"/>
        <v>646</v>
      </c>
      <c r="I846" s="23">
        <f t="shared" ca="1" si="139"/>
        <v>396</v>
      </c>
      <c r="J846" s="23">
        <f t="shared" ca="1" si="140"/>
        <v>646</v>
      </c>
      <c r="K846" s="23">
        <f t="shared" ca="1" si="141"/>
        <v>1042</v>
      </c>
      <c r="L846" s="23">
        <f t="shared" ca="1" si="134"/>
        <v>67870</v>
      </c>
    </row>
    <row r="847" spans="3:12">
      <c r="C847" s="23">
        <f t="shared" si="132"/>
        <v>420</v>
      </c>
      <c r="D847" s="23">
        <f t="shared" si="133"/>
        <v>168</v>
      </c>
      <c r="E847" s="23">
        <f t="shared" si="135"/>
        <v>252</v>
      </c>
      <c r="F847" s="23">
        <f t="shared" si="136"/>
        <v>700</v>
      </c>
      <c r="G847" s="23">
        <f t="shared" ca="1" si="137"/>
        <v>194</v>
      </c>
      <c r="H847" s="23">
        <f t="shared" ca="1" si="138"/>
        <v>580</v>
      </c>
      <c r="I847" s="23">
        <f t="shared" ca="1" si="139"/>
        <v>362</v>
      </c>
      <c r="J847" s="23">
        <f t="shared" ca="1" si="140"/>
        <v>580</v>
      </c>
      <c r="K847" s="23">
        <f t="shared" ca="1" si="141"/>
        <v>942</v>
      </c>
      <c r="L847" s="23">
        <f t="shared" ca="1" si="134"/>
        <v>54370</v>
      </c>
    </row>
    <row r="848" spans="3:12">
      <c r="C848" s="23">
        <f t="shared" si="132"/>
        <v>420</v>
      </c>
      <c r="D848" s="23">
        <f t="shared" si="133"/>
        <v>168</v>
      </c>
      <c r="E848" s="23">
        <f t="shared" si="135"/>
        <v>252</v>
      </c>
      <c r="F848" s="23">
        <f t="shared" si="136"/>
        <v>700</v>
      </c>
      <c r="G848" s="23">
        <f t="shared" ca="1" si="137"/>
        <v>228</v>
      </c>
      <c r="H848" s="23">
        <f t="shared" ca="1" si="138"/>
        <v>616</v>
      </c>
      <c r="I848" s="23">
        <f t="shared" ca="1" si="139"/>
        <v>396</v>
      </c>
      <c r="J848" s="23">
        <f t="shared" ca="1" si="140"/>
        <v>616</v>
      </c>
      <c r="K848" s="23">
        <f t="shared" ca="1" si="141"/>
        <v>1012</v>
      </c>
      <c r="L848" s="23">
        <f t="shared" ca="1" si="134"/>
        <v>63820</v>
      </c>
    </row>
    <row r="849" spans="3:12">
      <c r="C849" s="23">
        <f t="shared" si="132"/>
        <v>420</v>
      </c>
      <c r="D849" s="23">
        <f t="shared" si="133"/>
        <v>168</v>
      </c>
      <c r="E849" s="23">
        <f t="shared" si="135"/>
        <v>252</v>
      </c>
      <c r="F849" s="23">
        <f t="shared" si="136"/>
        <v>700</v>
      </c>
      <c r="G849" s="23">
        <f t="shared" ca="1" si="137"/>
        <v>229</v>
      </c>
      <c r="H849" s="23">
        <f t="shared" ca="1" si="138"/>
        <v>671</v>
      </c>
      <c r="I849" s="23">
        <f t="shared" ca="1" si="139"/>
        <v>397</v>
      </c>
      <c r="J849" s="23">
        <f t="shared" ca="1" si="140"/>
        <v>671</v>
      </c>
      <c r="K849" s="23">
        <f t="shared" ca="1" si="141"/>
        <v>1068</v>
      </c>
      <c r="L849" s="23">
        <f t="shared" ca="1" si="134"/>
        <v>71380</v>
      </c>
    </row>
    <row r="850" spans="3:12">
      <c r="C850" s="23">
        <f t="shared" si="132"/>
        <v>420</v>
      </c>
      <c r="D850" s="23">
        <f t="shared" si="133"/>
        <v>168</v>
      </c>
      <c r="E850" s="23">
        <f t="shared" si="135"/>
        <v>252</v>
      </c>
      <c r="F850" s="23">
        <f t="shared" si="136"/>
        <v>700</v>
      </c>
      <c r="G850" s="23">
        <f t="shared" ca="1" si="137"/>
        <v>245</v>
      </c>
      <c r="H850" s="23">
        <f t="shared" ca="1" si="138"/>
        <v>766</v>
      </c>
      <c r="I850" s="23">
        <f t="shared" ca="1" si="139"/>
        <v>413</v>
      </c>
      <c r="J850" s="23">
        <f t="shared" ca="1" si="140"/>
        <v>707</v>
      </c>
      <c r="K850" s="23">
        <f t="shared" ca="1" si="141"/>
        <v>1120</v>
      </c>
      <c r="L850" s="23">
        <f t="shared" ca="1" si="134"/>
        <v>78400</v>
      </c>
    </row>
    <row r="851" spans="3:12">
      <c r="C851" s="23">
        <f t="shared" si="132"/>
        <v>420</v>
      </c>
      <c r="D851" s="23">
        <f t="shared" si="133"/>
        <v>168</v>
      </c>
      <c r="E851" s="23">
        <f t="shared" si="135"/>
        <v>252</v>
      </c>
      <c r="F851" s="23">
        <f t="shared" si="136"/>
        <v>700</v>
      </c>
      <c r="G851" s="23">
        <f t="shared" ca="1" si="137"/>
        <v>218</v>
      </c>
      <c r="H851" s="23">
        <f t="shared" ca="1" si="138"/>
        <v>699</v>
      </c>
      <c r="I851" s="23">
        <f t="shared" ca="1" si="139"/>
        <v>386</v>
      </c>
      <c r="J851" s="23">
        <f t="shared" ca="1" si="140"/>
        <v>699</v>
      </c>
      <c r="K851" s="23">
        <f t="shared" ca="1" si="141"/>
        <v>1085</v>
      </c>
      <c r="L851" s="23">
        <f t="shared" ca="1" si="134"/>
        <v>73675</v>
      </c>
    </row>
    <row r="852" spans="3:12">
      <c r="C852" s="23">
        <f t="shared" si="132"/>
        <v>420</v>
      </c>
      <c r="D852" s="23">
        <f t="shared" si="133"/>
        <v>168</v>
      </c>
      <c r="E852" s="23">
        <f t="shared" si="135"/>
        <v>252</v>
      </c>
      <c r="F852" s="23">
        <f t="shared" si="136"/>
        <v>700</v>
      </c>
      <c r="G852" s="23">
        <f t="shared" ca="1" si="137"/>
        <v>222</v>
      </c>
      <c r="H852" s="23">
        <f t="shared" ca="1" si="138"/>
        <v>638</v>
      </c>
      <c r="I852" s="23">
        <f t="shared" ca="1" si="139"/>
        <v>390</v>
      </c>
      <c r="J852" s="23">
        <f t="shared" ca="1" si="140"/>
        <v>638</v>
      </c>
      <c r="K852" s="23">
        <f t="shared" ca="1" si="141"/>
        <v>1028</v>
      </c>
      <c r="L852" s="23">
        <f t="shared" ca="1" si="134"/>
        <v>65980</v>
      </c>
    </row>
    <row r="853" spans="3:12">
      <c r="C853" s="23">
        <f t="shared" si="132"/>
        <v>420</v>
      </c>
      <c r="D853" s="23">
        <f t="shared" si="133"/>
        <v>168</v>
      </c>
      <c r="E853" s="23">
        <f t="shared" si="135"/>
        <v>252</v>
      </c>
      <c r="F853" s="23">
        <f t="shared" si="136"/>
        <v>700</v>
      </c>
      <c r="G853" s="23">
        <f t="shared" ca="1" si="137"/>
        <v>219</v>
      </c>
      <c r="H853" s="23">
        <f t="shared" ca="1" si="138"/>
        <v>648</v>
      </c>
      <c r="I853" s="23">
        <f t="shared" ca="1" si="139"/>
        <v>387</v>
      </c>
      <c r="J853" s="23">
        <f t="shared" ca="1" si="140"/>
        <v>648</v>
      </c>
      <c r="K853" s="23">
        <f t="shared" ca="1" si="141"/>
        <v>1035</v>
      </c>
      <c r="L853" s="23">
        <f t="shared" ca="1" si="134"/>
        <v>66925</v>
      </c>
    </row>
    <row r="854" spans="3:12">
      <c r="C854" s="23">
        <f t="shared" si="132"/>
        <v>420</v>
      </c>
      <c r="D854" s="23">
        <f t="shared" si="133"/>
        <v>168</v>
      </c>
      <c r="E854" s="23">
        <f t="shared" si="135"/>
        <v>252</v>
      </c>
      <c r="F854" s="23">
        <f t="shared" si="136"/>
        <v>700</v>
      </c>
      <c r="G854" s="23">
        <f t="shared" ca="1" si="137"/>
        <v>200</v>
      </c>
      <c r="H854" s="23">
        <f t="shared" ca="1" si="138"/>
        <v>700</v>
      </c>
      <c r="I854" s="23">
        <f t="shared" ca="1" si="139"/>
        <v>368</v>
      </c>
      <c r="J854" s="23">
        <f t="shared" ca="1" si="140"/>
        <v>700</v>
      </c>
      <c r="K854" s="23">
        <f t="shared" ca="1" si="141"/>
        <v>1068</v>
      </c>
      <c r="L854" s="23">
        <f t="shared" ca="1" si="134"/>
        <v>71380</v>
      </c>
    </row>
    <row r="855" spans="3:12">
      <c r="C855" s="23">
        <f t="shared" si="132"/>
        <v>420</v>
      </c>
      <c r="D855" s="23">
        <f t="shared" si="133"/>
        <v>168</v>
      </c>
      <c r="E855" s="23">
        <f t="shared" si="135"/>
        <v>252</v>
      </c>
      <c r="F855" s="23">
        <f t="shared" si="136"/>
        <v>700</v>
      </c>
      <c r="G855" s="23">
        <f t="shared" ca="1" si="137"/>
        <v>195</v>
      </c>
      <c r="H855" s="23">
        <f t="shared" ca="1" si="138"/>
        <v>696</v>
      </c>
      <c r="I855" s="23">
        <f t="shared" ca="1" si="139"/>
        <v>363</v>
      </c>
      <c r="J855" s="23">
        <f t="shared" ca="1" si="140"/>
        <v>696</v>
      </c>
      <c r="K855" s="23">
        <f t="shared" ca="1" si="141"/>
        <v>1059</v>
      </c>
      <c r="L855" s="23">
        <f t="shared" ca="1" si="134"/>
        <v>70165</v>
      </c>
    </row>
    <row r="856" spans="3:12">
      <c r="C856" s="23">
        <f t="shared" si="132"/>
        <v>420</v>
      </c>
      <c r="D856" s="23">
        <f t="shared" si="133"/>
        <v>168</v>
      </c>
      <c r="E856" s="23">
        <f t="shared" si="135"/>
        <v>252</v>
      </c>
      <c r="F856" s="23">
        <f t="shared" si="136"/>
        <v>700</v>
      </c>
      <c r="G856" s="23">
        <f t="shared" ca="1" si="137"/>
        <v>159</v>
      </c>
      <c r="H856" s="23">
        <f t="shared" ca="1" si="138"/>
        <v>614</v>
      </c>
      <c r="I856" s="23">
        <f t="shared" ca="1" si="139"/>
        <v>327</v>
      </c>
      <c r="J856" s="23">
        <f t="shared" ca="1" si="140"/>
        <v>614</v>
      </c>
      <c r="K856" s="23">
        <f t="shared" ca="1" si="141"/>
        <v>941</v>
      </c>
      <c r="L856" s="23">
        <f t="shared" ca="1" si="134"/>
        <v>54235</v>
      </c>
    </row>
    <row r="857" spans="3:12">
      <c r="C857" s="23">
        <f t="shared" si="132"/>
        <v>420</v>
      </c>
      <c r="D857" s="23">
        <f t="shared" si="133"/>
        <v>168</v>
      </c>
      <c r="E857" s="23">
        <f t="shared" si="135"/>
        <v>252</v>
      </c>
      <c r="F857" s="23">
        <f t="shared" si="136"/>
        <v>700</v>
      </c>
      <c r="G857" s="23">
        <f t="shared" ca="1" si="137"/>
        <v>282</v>
      </c>
      <c r="H857" s="23">
        <f t="shared" ca="1" si="138"/>
        <v>604</v>
      </c>
      <c r="I857" s="23">
        <f t="shared" ca="1" si="139"/>
        <v>420</v>
      </c>
      <c r="J857" s="23">
        <f t="shared" ca="1" si="140"/>
        <v>604</v>
      </c>
      <c r="K857" s="23">
        <f t="shared" ca="1" si="141"/>
        <v>1024</v>
      </c>
      <c r="L857" s="23">
        <f t="shared" ca="1" si="134"/>
        <v>65440</v>
      </c>
    </row>
    <row r="858" spans="3:12">
      <c r="C858" s="23">
        <f t="shared" si="132"/>
        <v>420</v>
      </c>
      <c r="D858" s="23">
        <f t="shared" si="133"/>
        <v>168</v>
      </c>
      <c r="E858" s="23">
        <f t="shared" si="135"/>
        <v>252</v>
      </c>
      <c r="F858" s="23">
        <f t="shared" si="136"/>
        <v>700</v>
      </c>
      <c r="G858" s="23">
        <f t="shared" ca="1" si="137"/>
        <v>226</v>
      </c>
      <c r="H858" s="23">
        <f t="shared" ca="1" si="138"/>
        <v>699</v>
      </c>
      <c r="I858" s="23">
        <f t="shared" ca="1" si="139"/>
        <v>394</v>
      </c>
      <c r="J858" s="23">
        <f t="shared" ca="1" si="140"/>
        <v>699</v>
      </c>
      <c r="K858" s="23">
        <f t="shared" ca="1" si="141"/>
        <v>1093</v>
      </c>
      <c r="L858" s="23">
        <f t="shared" ca="1" si="134"/>
        <v>74755</v>
      </c>
    </row>
    <row r="859" spans="3:12">
      <c r="C859" s="23">
        <f t="shared" si="132"/>
        <v>420</v>
      </c>
      <c r="D859" s="23">
        <f t="shared" si="133"/>
        <v>168</v>
      </c>
      <c r="E859" s="23">
        <f t="shared" si="135"/>
        <v>252</v>
      </c>
      <c r="F859" s="23">
        <f t="shared" si="136"/>
        <v>700</v>
      </c>
      <c r="G859" s="23">
        <f t="shared" ca="1" si="137"/>
        <v>206</v>
      </c>
      <c r="H859" s="23">
        <f t="shared" ca="1" si="138"/>
        <v>700</v>
      </c>
      <c r="I859" s="23">
        <f t="shared" ca="1" si="139"/>
        <v>374</v>
      </c>
      <c r="J859" s="23">
        <f t="shared" ca="1" si="140"/>
        <v>700</v>
      </c>
      <c r="K859" s="23">
        <f t="shared" ca="1" si="141"/>
        <v>1074</v>
      </c>
      <c r="L859" s="23">
        <f t="shared" ca="1" si="134"/>
        <v>72190</v>
      </c>
    </row>
    <row r="860" spans="3:12">
      <c r="C860" s="23">
        <f t="shared" si="132"/>
        <v>420</v>
      </c>
      <c r="D860" s="23">
        <f t="shared" si="133"/>
        <v>168</v>
      </c>
      <c r="E860" s="23">
        <f t="shared" si="135"/>
        <v>252</v>
      </c>
      <c r="F860" s="23">
        <f t="shared" si="136"/>
        <v>700</v>
      </c>
      <c r="G860" s="23">
        <f t="shared" ca="1" si="137"/>
        <v>231</v>
      </c>
      <c r="H860" s="23">
        <f t="shared" ca="1" si="138"/>
        <v>557</v>
      </c>
      <c r="I860" s="23">
        <f t="shared" ca="1" si="139"/>
        <v>399</v>
      </c>
      <c r="J860" s="23">
        <f t="shared" ca="1" si="140"/>
        <v>557</v>
      </c>
      <c r="K860" s="23">
        <f t="shared" ca="1" si="141"/>
        <v>956</v>
      </c>
      <c r="L860" s="23">
        <f t="shared" ca="1" si="134"/>
        <v>56260</v>
      </c>
    </row>
    <row r="861" spans="3:12">
      <c r="C861" s="23">
        <f t="shared" si="132"/>
        <v>420</v>
      </c>
      <c r="D861" s="23">
        <f t="shared" si="133"/>
        <v>168</v>
      </c>
      <c r="E861" s="23">
        <f t="shared" si="135"/>
        <v>252</v>
      </c>
      <c r="F861" s="23">
        <f t="shared" si="136"/>
        <v>700</v>
      </c>
      <c r="G861" s="23">
        <f t="shared" ca="1" si="137"/>
        <v>192</v>
      </c>
      <c r="H861" s="23">
        <f t="shared" ca="1" si="138"/>
        <v>624</v>
      </c>
      <c r="I861" s="23">
        <f t="shared" ca="1" si="139"/>
        <v>360</v>
      </c>
      <c r="J861" s="23">
        <f t="shared" ca="1" si="140"/>
        <v>624</v>
      </c>
      <c r="K861" s="23">
        <f t="shared" ca="1" si="141"/>
        <v>984</v>
      </c>
      <c r="L861" s="23">
        <f t="shared" ca="1" si="134"/>
        <v>60040</v>
      </c>
    </row>
    <row r="862" spans="3:12">
      <c r="C862" s="23">
        <f t="shared" si="132"/>
        <v>420</v>
      </c>
      <c r="D862" s="23">
        <f t="shared" si="133"/>
        <v>168</v>
      </c>
      <c r="E862" s="23">
        <f t="shared" si="135"/>
        <v>252</v>
      </c>
      <c r="F862" s="23">
        <f t="shared" si="136"/>
        <v>700</v>
      </c>
      <c r="G862" s="23">
        <f t="shared" ca="1" si="137"/>
        <v>207</v>
      </c>
      <c r="H862" s="23">
        <f t="shared" ca="1" si="138"/>
        <v>613</v>
      </c>
      <c r="I862" s="23">
        <f t="shared" ca="1" si="139"/>
        <v>375</v>
      </c>
      <c r="J862" s="23">
        <f t="shared" ca="1" si="140"/>
        <v>613</v>
      </c>
      <c r="K862" s="23">
        <f t="shared" ca="1" si="141"/>
        <v>988</v>
      </c>
      <c r="L862" s="23">
        <f t="shared" ca="1" si="134"/>
        <v>60580</v>
      </c>
    </row>
    <row r="863" spans="3:12">
      <c r="C863" s="23">
        <f t="shared" si="132"/>
        <v>420</v>
      </c>
      <c r="D863" s="23">
        <f t="shared" si="133"/>
        <v>168</v>
      </c>
      <c r="E863" s="23">
        <f t="shared" si="135"/>
        <v>252</v>
      </c>
      <c r="F863" s="23">
        <f t="shared" si="136"/>
        <v>700</v>
      </c>
      <c r="G863" s="23">
        <f t="shared" ca="1" si="137"/>
        <v>206</v>
      </c>
      <c r="H863" s="23">
        <f t="shared" ca="1" si="138"/>
        <v>583</v>
      </c>
      <c r="I863" s="23">
        <f t="shared" ca="1" si="139"/>
        <v>374</v>
      </c>
      <c r="J863" s="23">
        <f t="shared" ca="1" si="140"/>
        <v>583</v>
      </c>
      <c r="K863" s="23">
        <f t="shared" ca="1" si="141"/>
        <v>957</v>
      </c>
      <c r="L863" s="23">
        <f t="shared" ca="1" si="134"/>
        <v>56395</v>
      </c>
    </row>
    <row r="864" spans="3:12">
      <c r="C864" s="23">
        <f t="shared" si="132"/>
        <v>420</v>
      </c>
      <c r="D864" s="23">
        <f t="shared" si="133"/>
        <v>168</v>
      </c>
      <c r="E864" s="23">
        <f t="shared" si="135"/>
        <v>252</v>
      </c>
      <c r="F864" s="23">
        <f t="shared" si="136"/>
        <v>700</v>
      </c>
      <c r="G864" s="23">
        <f t="shared" ca="1" si="137"/>
        <v>200</v>
      </c>
      <c r="H864" s="23">
        <f t="shared" ca="1" si="138"/>
        <v>663</v>
      </c>
      <c r="I864" s="23">
        <f t="shared" ca="1" si="139"/>
        <v>368</v>
      </c>
      <c r="J864" s="23">
        <f t="shared" ca="1" si="140"/>
        <v>663</v>
      </c>
      <c r="K864" s="23">
        <f t="shared" ca="1" si="141"/>
        <v>1031</v>
      </c>
      <c r="L864" s="23">
        <f t="shared" ca="1" si="134"/>
        <v>66385</v>
      </c>
    </row>
    <row r="865" spans="3:12">
      <c r="C865" s="23">
        <f t="shared" si="132"/>
        <v>420</v>
      </c>
      <c r="D865" s="23">
        <f t="shared" si="133"/>
        <v>168</v>
      </c>
      <c r="E865" s="23">
        <f t="shared" si="135"/>
        <v>252</v>
      </c>
      <c r="F865" s="23">
        <f t="shared" si="136"/>
        <v>700</v>
      </c>
      <c r="G865" s="23">
        <f t="shared" ca="1" si="137"/>
        <v>220</v>
      </c>
      <c r="H865" s="23">
        <f t="shared" ca="1" si="138"/>
        <v>621</v>
      </c>
      <c r="I865" s="23">
        <f t="shared" ca="1" si="139"/>
        <v>388</v>
      </c>
      <c r="J865" s="23">
        <f t="shared" ca="1" si="140"/>
        <v>621</v>
      </c>
      <c r="K865" s="23">
        <f t="shared" ca="1" si="141"/>
        <v>1009</v>
      </c>
      <c r="L865" s="23">
        <f t="shared" ca="1" si="134"/>
        <v>63415</v>
      </c>
    </row>
    <row r="866" spans="3:12">
      <c r="C866" s="23">
        <f t="shared" si="132"/>
        <v>420</v>
      </c>
      <c r="D866" s="23">
        <f t="shared" si="133"/>
        <v>168</v>
      </c>
      <c r="E866" s="23">
        <f t="shared" si="135"/>
        <v>252</v>
      </c>
      <c r="F866" s="23">
        <f t="shared" si="136"/>
        <v>700</v>
      </c>
      <c r="G866" s="23">
        <f t="shared" ca="1" si="137"/>
        <v>194</v>
      </c>
      <c r="H866" s="23">
        <f t="shared" ca="1" si="138"/>
        <v>661</v>
      </c>
      <c r="I866" s="23">
        <f t="shared" ca="1" si="139"/>
        <v>362</v>
      </c>
      <c r="J866" s="23">
        <f t="shared" ca="1" si="140"/>
        <v>661</v>
      </c>
      <c r="K866" s="23">
        <f t="shared" ca="1" si="141"/>
        <v>1023</v>
      </c>
      <c r="L866" s="23">
        <f t="shared" ca="1" si="134"/>
        <v>65305</v>
      </c>
    </row>
    <row r="867" spans="3:12">
      <c r="C867" s="23">
        <f t="shared" si="132"/>
        <v>420</v>
      </c>
      <c r="D867" s="23">
        <f t="shared" si="133"/>
        <v>168</v>
      </c>
      <c r="E867" s="23">
        <f t="shared" si="135"/>
        <v>252</v>
      </c>
      <c r="F867" s="23">
        <f t="shared" si="136"/>
        <v>700</v>
      </c>
      <c r="G867" s="23">
        <f t="shared" ca="1" si="137"/>
        <v>235</v>
      </c>
      <c r="H867" s="23">
        <f t="shared" ca="1" si="138"/>
        <v>673</v>
      </c>
      <c r="I867" s="23">
        <f t="shared" ca="1" si="139"/>
        <v>403</v>
      </c>
      <c r="J867" s="23">
        <f t="shared" ca="1" si="140"/>
        <v>673</v>
      </c>
      <c r="K867" s="23">
        <f t="shared" ca="1" si="141"/>
        <v>1076</v>
      </c>
      <c r="L867" s="23">
        <f t="shared" ca="1" si="134"/>
        <v>72460</v>
      </c>
    </row>
    <row r="868" spans="3:12">
      <c r="C868" s="23">
        <f t="shared" si="132"/>
        <v>420</v>
      </c>
      <c r="D868" s="23">
        <f t="shared" si="133"/>
        <v>168</v>
      </c>
      <c r="E868" s="23">
        <f t="shared" si="135"/>
        <v>252</v>
      </c>
      <c r="F868" s="23">
        <f t="shared" si="136"/>
        <v>700</v>
      </c>
      <c r="G868" s="23">
        <f t="shared" ca="1" si="137"/>
        <v>240</v>
      </c>
      <c r="H868" s="23">
        <f t="shared" ca="1" si="138"/>
        <v>637</v>
      </c>
      <c r="I868" s="23">
        <f t="shared" ca="1" si="139"/>
        <v>408</v>
      </c>
      <c r="J868" s="23">
        <f t="shared" ca="1" si="140"/>
        <v>637</v>
      </c>
      <c r="K868" s="23">
        <f t="shared" ca="1" si="141"/>
        <v>1045</v>
      </c>
      <c r="L868" s="23">
        <f t="shared" ca="1" si="134"/>
        <v>68275</v>
      </c>
    </row>
    <row r="869" spans="3:12">
      <c r="C869" s="23">
        <f t="shared" si="132"/>
        <v>420</v>
      </c>
      <c r="D869" s="23">
        <f t="shared" si="133"/>
        <v>168</v>
      </c>
      <c r="E869" s="23">
        <f t="shared" si="135"/>
        <v>252</v>
      </c>
      <c r="F869" s="23">
        <f t="shared" si="136"/>
        <v>700</v>
      </c>
      <c r="G869" s="23">
        <f t="shared" ca="1" si="137"/>
        <v>210</v>
      </c>
      <c r="H869" s="23">
        <f t="shared" ca="1" si="138"/>
        <v>622</v>
      </c>
      <c r="I869" s="23">
        <f t="shared" ca="1" si="139"/>
        <v>378</v>
      </c>
      <c r="J869" s="23">
        <f t="shared" ca="1" si="140"/>
        <v>622</v>
      </c>
      <c r="K869" s="23">
        <f t="shared" ca="1" si="141"/>
        <v>1000</v>
      </c>
      <c r="L869" s="23">
        <f t="shared" ca="1" si="134"/>
        <v>62200</v>
      </c>
    </row>
    <row r="870" spans="3:12">
      <c r="C870" s="23">
        <f t="shared" si="132"/>
        <v>420</v>
      </c>
      <c r="D870" s="23">
        <f t="shared" si="133"/>
        <v>168</v>
      </c>
      <c r="E870" s="23">
        <f t="shared" si="135"/>
        <v>252</v>
      </c>
      <c r="F870" s="23">
        <f t="shared" si="136"/>
        <v>700</v>
      </c>
      <c r="G870" s="23">
        <f t="shared" ca="1" si="137"/>
        <v>218</v>
      </c>
      <c r="H870" s="23">
        <f t="shared" ca="1" si="138"/>
        <v>685</v>
      </c>
      <c r="I870" s="23">
        <f t="shared" ca="1" si="139"/>
        <v>386</v>
      </c>
      <c r="J870" s="23">
        <f t="shared" ca="1" si="140"/>
        <v>685</v>
      </c>
      <c r="K870" s="23">
        <f t="shared" ca="1" si="141"/>
        <v>1071</v>
      </c>
      <c r="L870" s="23">
        <f t="shared" ca="1" si="134"/>
        <v>71785</v>
      </c>
    </row>
    <row r="871" spans="3:12">
      <c r="C871" s="23">
        <f t="shared" si="132"/>
        <v>420</v>
      </c>
      <c r="D871" s="23">
        <f t="shared" si="133"/>
        <v>168</v>
      </c>
      <c r="E871" s="23">
        <f t="shared" si="135"/>
        <v>252</v>
      </c>
      <c r="F871" s="23">
        <f t="shared" si="136"/>
        <v>700</v>
      </c>
      <c r="G871" s="23">
        <f t="shared" ca="1" si="137"/>
        <v>216</v>
      </c>
      <c r="H871" s="23">
        <f t="shared" ca="1" si="138"/>
        <v>666</v>
      </c>
      <c r="I871" s="23">
        <f t="shared" ca="1" si="139"/>
        <v>384</v>
      </c>
      <c r="J871" s="23">
        <f t="shared" ca="1" si="140"/>
        <v>666</v>
      </c>
      <c r="K871" s="23">
        <f t="shared" ca="1" si="141"/>
        <v>1050</v>
      </c>
      <c r="L871" s="23">
        <f t="shared" ca="1" si="134"/>
        <v>68950</v>
      </c>
    </row>
    <row r="872" spans="3:12">
      <c r="C872" s="23">
        <f t="shared" si="132"/>
        <v>420</v>
      </c>
      <c r="D872" s="23">
        <f t="shared" si="133"/>
        <v>168</v>
      </c>
      <c r="E872" s="23">
        <f t="shared" si="135"/>
        <v>252</v>
      </c>
      <c r="F872" s="23">
        <f t="shared" si="136"/>
        <v>700</v>
      </c>
      <c r="G872" s="23">
        <f t="shared" ca="1" si="137"/>
        <v>231</v>
      </c>
      <c r="H872" s="23">
        <f t="shared" ca="1" si="138"/>
        <v>732</v>
      </c>
      <c r="I872" s="23">
        <f t="shared" ca="1" si="139"/>
        <v>399</v>
      </c>
      <c r="J872" s="23">
        <f t="shared" ca="1" si="140"/>
        <v>721</v>
      </c>
      <c r="K872" s="23">
        <f t="shared" ca="1" si="141"/>
        <v>1120</v>
      </c>
      <c r="L872" s="23">
        <f t="shared" ca="1" si="134"/>
        <v>78400</v>
      </c>
    </row>
    <row r="873" spans="3:12">
      <c r="C873" s="23">
        <f t="shared" si="132"/>
        <v>420</v>
      </c>
      <c r="D873" s="23">
        <f t="shared" si="133"/>
        <v>168</v>
      </c>
      <c r="E873" s="23">
        <f t="shared" si="135"/>
        <v>252</v>
      </c>
      <c r="F873" s="23">
        <f t="shared" si="136"/>
        <v>700</v>
      </c>
      <c r="G873" s="23">
        <f t="shared" ca="1" si="137"/>
        <v>226</v>
      </c>
      <c r="H873" s="23">
        <f t="shared" ca="1" si="138"/>
        <v>611</v>
      </c>
      <c r="I873" s="23">
        <f t="shared" ca="1" si="139"/>
        <v>394</v>
      </c>
      <c r="J873" s="23">
        <f t="shared" ca="1" si="140"/>
        <v>611</v>
      </c>
      <c r="K873" s="23">
        <f t="shared" ca="1" si="141"/>
        <v>1005</v>
      </c>
      <c r="L873" s="23">
        <f t="shared" ca="1" si="134"/>
        <v>62875</v>
      </c>
    </row>
    <row r="874" spans="3:12">
      <c r="C874" s="23">
        <f t="shared" si="132"/>
        <v>420</v>
      </c>
      <c r="D874" s="23">
        <f t="shared" si="133"/>
        <v>168</v>
      </c>
      <c r="E874" s="23">
        <f t="shared" si="135"/>
        <v>252</v>
      </c>
      <c r="F874" s="23">
        <f t="shared" si="136"/>
        <v>700</v>
      </c>
      <c r="G874" s="23">
        <f t="shared" ca="1" si="137"/>
        <v>221</v>
      </c>
      <c r="H874" s="23">
        <f t="shared" ca="1" si="138"/>
        <v>652</v>
      </c>
      <c r="I874" s="23">
        <f t="shared" ca="1" si="139"/>
        <v>389</v>
      </c>
      <c r="J874" s="23">
        <f t="shared" ca="1" si="140"/>
        <v>652</v>
      </c>
      <c r="K874" s="23">
        <f t="shared" ca="1" si="141"/>
        <v>1041</v>
      </c>
      <c r="L874" s="23">
        <f t="shared" ca="1" si="134"/>
        <v>67735</v>
      </c>
    </row>
    <row r="875" spans="3:12">
      <c r="C875" s="23">
        <f t="shared" si="132"/>
        <v>420</v>
      </c>
      <c r="D875" s="23">
        <f t="shared" si="133"/>
        <v>168</v>
      </c>
      <c r="E875" s="23">
        <f t="shared" si="135"/>
        <v>252</v>
      </c>
      <c r="F875" s="23">
        <f t="shared" si="136"/>
        <v>700</v>
      </c>
      <c r="G875" s="23">
        <f t="shared" ca="1" si="137"/>
        <v>201</v>
      </c>
      <c r="H875" s="23">
        <f t="shared" ca="1" si="138"/>
        <v>717</v>
      </c>
      <c r="I875" s="23">
        <f t="shared" ca="1" si="139"/>
        <v>369</v>
      </c>
      <c r="J875" s="23">
        <f t="shared" ca="1" si="140"/>
        <v>717</v>
      </c>
      <c r="K875" s="23">
        <f t="shared" ca="1" si="141"/>
        <v>1086</v>
      </c>
      <c r="L875" s="23">
        <f t="shared" ca="1" si="134"/>
        <v>73810</v>
      </c>
    </row>
    <row r="876" spans="3:12">
      <c r="C876" s="23">
        <f t="shared" si="132"/>
        <v>420</v>
      </c>
      <c r="D876" s="23">
        <f t="shared" si="133"/>
        <v>168</v>
      </c>
      <c r="E876" s="23">
        <f t="shared" si="135"/>
        <v>252</v>
      </c>
      <c r="F876" s="23">
        <f t="shared" si="136"/>
        <v>700</v>
      </c>
      <c r="G876" s="23">
        <f t="shared" ca="1" si="137"/>
        <v>238</v>
      </c>
      <c r="H876" s="23">
        <f t="shared" ca="1" si="138"/>
        <v>546</v>
      </c>
      <c r="I876" s="23">
        <f t="shared" ca="1" si="139"/>
        <v>406</v>
      </c>
      <c r="J876" s="23">
        <f t="shared" ca="1" si="140"/>
        <v>546</v>
      </c>
      <c r="K876" s="23">
        <f t="shared" ca="1" si="141"/>
        <v>952</v>
      </c>
      <c r="L876" s="23">
        <f t="shared" ca="1" si="134"/>
        <v>55720</v>
      </c>
    </row>
    <row r="877" spans="3:12">
      <c r="C877" s="23">
        <f t="shared" si="132"/>
        <v>420</v>
      </c>
      <c r="D877" s="23">
        <f t="shared" si="133"/>
        <v>168</v>
      </c>
      <c r="E877" s="23">
        <f t="shared" si="135"/>
        <v>252</v>
      </c>
      <c r="F877" s="23">
        <f t="shared" si="136"/>
        <v>700</v>
      </c>
      <c r="G877" s="23">
        <f t="shared" ca="1" si="137"/>
        <v>205</v>
      </c>
      <c r="H877" s="23">
        <f t="shared" ca="1" si="138"/>
        <v>629</v>
      </c>
      <c r="I877" s="23">
        <f t="shared" ca="1" si="139"/>
        <v>373</v>
      </c>
      <c r="J877" s="23">
        <f t="shared" ca="1" si="140"/>
        <v>629</v>
      </c>
      <c r="K877" s="23">
        <f t="shared" ca="1" si="141"/>
        <v>1002</v>
      </c>
      <c r="L877" s="23">
        <f t="shared" ca="1" si="134"/>
        <v>62470</v>
      </c>
    </row>
    <row r="878" spans="3:12">
      <c r="C878" s="23">
        <f t="shared" si="132"/>
        <v>420</v>
      </c>
      <c r="D878" s="23">
        <f t="shared" si="133"/>
        <v>168</v>
      </c>
      <c r="E878" s="23">
        <f t="shared" si="135"/>
        <v>252</v>
      </c>
      <c r="F878" s="23">
        <f t="shared" si="136"/>
        <v>700</v>
      </c>
      <c r="G878" s="23">
        <f t="shared" ca="1" si="137"/>
        <v>208</v>
      </c>
      <c r="H878" s="23">
        <f t="shared" ca="1" si="138"/>
        <v>503</v>
      </c>
      <c r="I878" s="23">
        <f t="shared" ca="1" si="139"/>
        <v>376</v>
      </c>
      <c r="J878" s="23">
        <f t="shared" ca="1" si="140"/>
        <v>503</v>
      </c>
      <c r="K878" s="23">
        <f t="shared" ca="1" si="141"/>
        <v>879</v>
      </c>
      <c r="L878" s="23">
        <f t="shared" ca="1" si="134"/>
        <v>45865</v>
      </c>
    </row>
    <row r="879" spans="3:12">
      <c r="C879" s="23">
        <f t="shared" si="132"/>
        <v>420</v>
      </c>
      <c r="D879" s="23">
        <f t="shared" si="133"/>
        <v>168</v>
      </c>
      <c r="E879" s="23">
        <f t="shared" si="135"/>
        <v>252</v>
      </c>
      <c r="F879" s="23">
        <f t="shared" si="136"/>
        <v>700</v>
      </c>
      <c r="G879" s="23">
        <f t="shared" ca="1" si="137"/>
        <v>189</v>
      </c>
      <c r="H879" s="23">
        <f t="shared" ca="1" si="138"/>
        <v>540</v>
      </c>
      <c r="I879" s="23">
        <f t="shared" ca="1" si="139"/>
        <v>357</v>
      </c>
      <c r="J879" s="23">
        <f t="shared" ca="1" si="140"/>
        <v>540</v>
      </c>
      <c r="K879" s="23">
        <f t="shared" ca="1" si="141"/>
        <v>897</v>
      </c>
      <c r="L879" s="23">
        <f t="shared" ca="1" si="134"/>
        <v>48295</v>
      </c>
    </row>
    <row r="880" spans="3:12">
      <c r="C880" s="23">
        <f t="shared" si="132"/>
        <v>420</v>
      </c>
      <c r="D880" s="23">
        <f t="shared" si="133"/>
        <v>168</v>
      </c>
      <c r="E880" s="23">
        <f t="shared" si="135"/>
        <v>252</v>
      </c>
      <c r="F880" s="23">
        <f t="shared" si="136"/>
        <v>700</v>
      </c>
      <c r="G880" s="23">
        <f t="shared" ca="1" si="137"/>
        <v>214</v>
      </c>
      <c r="H880" s="23">
        <f t="shared" ca="1" si="138"/>
        <v>709</v>
      </c>
      <c r="I880" s="23">
        <f t="shared" ca="1" si="139"/>
        <v>382</v>
      </c>
      <c r="J880" s="23">
        <f t="shared" ca="1" si="140"/>
        <v>709</v>
      </c>
      <c r="K880" s="23">
        <f t="shared" ca="1" si="141"/>
        <v>1091</v>
      </c>
      <c r="L880" s="23">
        <f t="shared" ca="1" si="134"/>
        <v>74485</v>
      </c>
    </row>
    <row r="881" spans="3:12">
      <c r="C881" s="23">
        <f t="shared" si="132"/>
        <v>420</v>
      </c>
      <c r="D881" s="23">
        <f t="shared" si="133"/>
        <v>168</v>
      </c>
      <c r="E881" s="23">
        <f t="shared" si="135"/>
        <v>252</v>
      </c>
      <c r="F881" s="23">
        <f t="shared" si="136"/>
        <v>700</v>
      </c>
      <c r="G881" s="23">
        <f t="shared" ca="1" si="137"/>
        <v>232</v>
      </c>
      <c r="H881" s="23">
        <f t="shared" ca="1" si="138"/>
        <v>647</v>
      </c>
      <c r="I881" s="23">
        <f t="shared" ca="1" si="139"/>
        <v>400</v>
      </c>
      <c r="J881" s="23">
        <f t="shared" ca="1" si="140"/>
        <v>647</v>
      </c>
      <c r="K881" s="23">
        <f t="shared" ca="1" si="141"/>
        <v>1047</v>
      </c>
      <c r="L881" s="23">
        <f t="shared" ca="1" si="134"/>
        <v>68545</v>
      </c>
    </row>
    <row r="882" spans="3:12">
      <c r="C882" s="23">
        <f t="shared" si="132"/>
        <v>420</v>
      </c>
      <c r="D882" s="23">
        <f t="shared" si="133"/>
        <v>168</v>
      </c>
      <c r="E882" s="23">
        <f t="shared" si="135"/>
        <v>252</v>
      </c>
      <c r="F882" s="23">
        <f t="shared" si="136"/>
        <v>700</v>
      </c>
      <c r="G882" s="23">
        <f t="shared" ca="1" si="137"/>
        <v>210</v>
      </c>
      <c r="H882" s="23">
        <f t="shared" ca="1" si="138"/>
        <v>604</v>
      </c>
      <c r="I882" s="23">
        <f t="shared" ca="1" si="139"/>
        <v>378</v>
      </c>
      <c r="J882" s="23">
        <f t="shared" ca="1" si="140"/>
        <v>604</v>
      </c>
      <c r="K882" s="23">
        <f t="shared" ca="1" si="141"/>
        <v>982</v>
      </c>
      <c r="L882" s="23">
        <f t="shared" ca="1" si="134"/>
        <v>59770</v>
      </c>
    </row>
    <row r="883" spans="3:12">
      <c r="C883" s="23">
        <f t="shared" si="132"/>
        <v>420</v>
      </c>
      <c r="D883" s="23">
        <f t="shared" si="133"/>
        <v>168</v>
      </c>
      <c r="E883" s="23">
        <f t="shared" si="135"/>
        <v>252</v>
      </c>
      <c r="F883" s="23">
        <f t="shared" si="136"/>
        <v>700</v>
      </c>
      <c r="G883" s="23">
        <f t="shared" ca="1" si="137"/>
        <v>176</v>
      </c>
      <c r="H883" s="23">
        <f t="shared" ca="1" si="138"/>
        <v>634</v>
      </c>
      <c r="I883" s="23">
        <f t="shared" ca="1" si="139"/>
        <v>344</v>
      </c>
      <c r="J883" s="23">
        <f t="shared" ca="1" si="140"/>
        <v>634</v>
      </c>
      <c r="K883" s="23">
        <f t="shared" ca="1" si="141"/>
        <v>978</v>
      </c>
      <c r="L883" s="23">
        <f t="shared" ca="1" si="134"/>
        <v>59230</v>
      </c>
    </row>
    <row r="884" spans="3:12">
      <c r="C884" s="23">
        <f t="shared" si="132"/>
        <v>420</v>
      </c>
      <c r="D884" s="23">
        <f t="shared" si="133"/>
        <v>168</v>
      </c>
      <c r="E884" s="23">
        <f t="shared" si="135"/>
        <v>252</v>
      </c>
      <c r="F884" s="23">
        <f t="shared" si="136"/>
        <v>700</v>
      </c>
      <c r="G884" s="23">
        <f t="shared" ca="1" si="137"/>
        <v>233</v>
      </c>
      <c r="H884" s="23">
        <f t="shared" ca="1" si="138"/>
        <v>601</v>
      </c>
      <c r="I884" s="23">
        <f t="shared" ca="1" si="139"/>
        <v>401</v>
      </c>
      <c r="J884" s="23">
        <f t="shared" ca="1" si="140"/>
        <v>601</v>
      </c>
      <c r="K884" s="23">
        <f t="shared" ca="1" si="141"/>
        <v>1002</v>
      </c>
      <c r="L884" s="23">
        <f t="shared" ca="1" si="134"/>
        <v>62470</v>
      </c>
    </row>
    <row r="885" spans="3:12">
      <c r="C885" s="23">
        <f t="shared" si="132"/>
        <v>420</v>
      </c>
      <c r="D885" s="23">
        <f t="shared" si="133"/>
        <v>168</v>
      </c>
      <c r="E885" s="23">
        <f t="shared" si="135"/>
        <v>252</v>
      </c>
      <c r="F885" s="23">
        <f t="shared" si="136"/>
        <v>700</v>
      </c>
      <c r="G885" s="23">
        <f t="shared" ca="1" si="137"/>
        <v>250</v>
      </c>
      <c r="H885" s="23">
        <f t="shared" ca="1" si="138"/>
        <v>630</v>
      </c>
      <c r="I885" s="23">
        <f t="shared" ca="1" si="139"/>
        <v>418</v>
      </c>
      <c r="J885" s="23">
        <f t="shared" ca="1" si="140"/>
        <v>630</v>
      </c>
      <c r="K885" s="23">
        <f t="shared" ca="1" si="141"/>
        <v>1048</v>
      </c>
      <c r="L885" s="23">
        <f t="shared" ca="1" si="134"/>
        <v>68680</v>
      </c>
    </row>
    <row r="886" spans="3:12">
      <c r="C886" s="23">
        <f t="shared" si="132"/>
        <v>420</v>
      </c>
      <c r="D886" s="23">
        <f t="shared" si="133"/>
        <v>168</v>
      </c>
      <c r="E886" s="23">
        <f t="shared" si="135"/>
        <v>252</v>
      </c>
      <c r="F886" s="23">
        <f t="shared" si="136"/>
        <v>700</v>
      </c>
      <c r="G886" s="23">
        <f t="shared" ca="1" si="137"/>
        <v>204</v>
      </c>
      <c r="H886" s="23">
        <f t="shared" ca="1" si="138"/>
        <v>654</v>
      </c>
      <c r="I886" s="23">
        <f t="shared" ca="1" si="139"/>
        <v>372</v>
      </c>
      <c r="J886" s="23">
        <f t="shared" ca="1" si="140"/>
        <v>654</v>
      </c>
      <c r="K886" s="23">
        <f t="shared" ca="1" si="141"/>
        <v>1026</v>
      </c>
      <c r="L886" s="23">
        <f t="shared" ca="1" si="134"/>
        <v>65710</v>
      </c>
    </row>
    <row r="887" spans="3:12">
      <c r="C887" s="23">
        <f t="shared" si="132"/>
        <v>420</v>
      </c>
      <c r="D887" s="23">
        <f t="shared" si="133"/>
        <v>168</v>
      </c>
      <c r="E887" s="23">
        <f t="shared" si="135"/>
        <v>252</v>
      </c>
      <c r="F887" s="23">
        <f t="shared" si="136"/>
        <v>700</v>
      </c>
      <c r="G887" s="23">
        <f t="shared" ca="1" si="137"/>
        <v>230</v>
      </c>
      <c r="H887" s="23">
        <f t="shared" ca="1" si="138"/>
        <v>756</v>
      </c>
      <c r="I887" s="23">
        <f t="shared" ca="1" si="139"/>
        <v>398</v>
      </c>
      <c r="J887" s="23">
        <f t="shared" ca="1" si="140"/>
        <v>722</v>
      </c>
      <c r="K887" s="23">
        <f t="shared" ca="1" si="141"/>
        <v>1120</v>
      </c>
      <c r="L887" s="23">
        <f t="shared" ca="1" si="134"/>
        <v>78400</v>
      </c>
    </row>
    <row r="888" spans="3:12">
      <c r="C888" s="23">
        <f t="shared" si="132"/>
        <v>420</v>
      </c>
      <c r="D888" s="23">
        <f t="shared" si="133"/>
        <v>168</v>
      </c>
      <c r="E888" s="23">
        <f t="shared" si="135"/>
        <v>252</v>
      </c>
      <c r="F888" s="23">
        <f t="shared" si="136"/>
        <v>700</v>
      </c>
      <c r="G888" s="23">
        <f t="shared" ca="1" si="137"/>
        <v>233</v>
      </c>
      <c r="H888" s="23">
        <f t="shared" ca="1" si="138"/>
        <v>661</v>
      </c>
      <c r="I888" s="23">
        <f t="shared" ca="1" si="139"/>
        <v>401</v>
      </c>
      <c r="J888" s="23">
        <f t="shared" ca="1" si="140"/>
        <v>661</v>
      </c>
      <c r="K888" s="23">
        <f t="shared" ca="1" si="141"/>
        <v>1062</v>
      </c>
      <c r="L888" s="23">
        <f t="shared" ca="1" si="134"/>
        <v>70570</v>
      </c>
    </row>
    <row r="889" spans="3:12">
      <c r="C889" s="23">
        <f t="shared" si="132"/>
        <v>420</v>
      </c>
      <c r="D889" s="23">
        <f t="shared" si="133"/>
        <v>168</v>
      </c>
      <c r="E889" s="23">
        <f t="shared" si="135"/>
        <v>252</v>
      </c>
      <c r="F889" s="23">
        <f t="shared" si="136"/>
        <v>700</v>
      </c>
      <c r="G889" s="23">
        <f t="shared" ca="1" si="137"/>
        <v>206</v>
      </c>
      <c r="H889" s="23">
        <f t="shared" ca="1" si="138"/>
        <v>624</v>
      </c>
      <c r="I889" s="23">
        <f t="shared" ca="1" si="139"/>
        <v>374</v>
      </c>
      <c r="J889" s="23">
        <f t="shared" ca="1" si="140"/>
        <v>624</v>
      </c>
      <c r="K889" s="23">
        <f t="shared" ca="1" si="141"/>
        <v>998</v>
      </c>
      <c r="L889" s="23">
        <f t="shared" ca="1" si="134"/>
        <v>61930</v>
      </c>
    </row>
    <row r="890" spans="3:12">
      <c r="C890" s="23">
        <f t="shared" si="132"/>
        <v>420</v>
      </c>
      <c r="D890" s="23">
        <f t="shared" si="133"/>
        <v>168</v>
      </c>
      <c r="E890" s="23">
        <f t="shared" si="135"/>
        <v>252</v>
      </c>
      <c r="F890" s="23">
        <f t="shared" si="136"/>
        <v>700</v>
      </c>
      <c r="G890" s="23">
        <f t="shared" ca="1" si="137"/>
        <v>213</v>
      </c>
      <c r="H890" s="23">
        <f t="shared" ca="1" si="138"/>
        <v>734</v>
      </c>
      <c r="I890" s="23">
        <f t="shared" ca="1" si="139"/>
        <v>381</v>
      </c>
      <c r="J890" s="23">
        <f t="shared" ca="1" si="140"/>
        <v>734</v>
      </c>
      <c r="K890" s="23">
        <f t="shared" ca="1" si="141"/>
        <v>1115</v>
      </c>
      <c r="L890" s="23">
        <f t="shared" ca="1" si="134"/>
        <v>77725</v>
      </c>
    </row>
    <row r="891" spans="3:12">
      <c r="C891" s="23">
        <f t="shared" si="132"/>
        <v>420</v>
      </c>
      <c r="D891" s="23">
        <f t="shared" si="133"/>
        <v>168</v>
      </c>
      <c r="E891" s="23">
        <f t="shared" si="135"/>
        <v>252</v>
      </c>
      <c r="F891" s="23">
        <f t="shared" si="136"/>
        <v>700</v>
      </c>
      <c r="G891" s="23">
        <f t="shared" ca="1" si="137"/>
        <v>182</v>
      </c>
      <c r="H891" s="23">
        <f t="shared" ca="1" si="138"/>
        <v>640</v>
      </c>
      <c r="I891" s="23">
        <f t="shared" ca="1" si="139"/>
        <v>350</v>
      </c>
      <c r="J891" s="23">
        <f t="shared" ca="1" si="140"/>
        <v>640</v>
      </c>
      <c r="K891" s="23">
        <f t="shared" ca="1" si="141"/>
        <v>990</v>
      </c>
      <c r="L891" s="23">
        <f t="shared" ca="1" si="134"/>
        <v>60850</v>
      </c>
    </row>
    <row r="892" spans="3:12">
      <c r="C892" s="23">
        <f t="shared" si="132"/>
        <v>420</v>
      </c>
      <c r="D892" s="23">
        <f t="shared" si="133"/>
        <v>168</v>
      </c>
      <c r="E892" s="23">
        <f t="shared" si="135"/>
        <v>252</v>
      </c>
      <c r="F892" s="23">
        <f t="shared" si="136"/>
        <v>700</v>
      </c>
      <c r="G892" s="23">
        <f t="shared" ca="1" si="137"/>
        <v>214</v>
      </c>
      <c r="H892" s="23">
        <f t="shared" ca="1" si="138"/>
        <v>625</v>
      </c>
      <c r="I892" s="23">
        <f t="shared" ca="1" si="139"/>
        <v>382</v>
      </c>
      <c r="J892" s="23">
        <f t="shared" ca="1" si="140"/>
        <v>625</v>
      </c>
      <c r="K892" s="23">
        <f t="shared" ca="1" si="141"/>
        <v>1007</v>
      </c>
      <c r="L892" s="23">
        <f t="shared" ca="1" si="134"/>
        <v>63145</v>
      </c>
    </row>
    <row r="893" spans="3:12">
      <c r="C893" s="23">
        <f t="shared" si="132"/>
        <v>420</v>
      </c>
      <c r="D893" s="23">
        <f t="shared" si="133"/>
        <v>168</v>
      </c>
      <c r="E893" s="23">
        <f t="shared" si="135"/>
        <v>252</v>
      </c>
      <c r="F893" s="23">
        <f t="shared" si="136"/>
        <v>700</v>
      </c>
      <c r="G893" s="23">
        <f t="shared" ca="1" si="137"/>
        <v>185</v>
      </c>
      <c r="H893" s="23">
        <f t="shared" ca="1" si="138"/>
        <v>648</v>
      </c>
      <c r="I893" s="23">
        <f t="shared" ca="1" si="139"/>
        <v>353</v>
      </c>
      <c r="J893" s="23">
        <f t="shared" ca="1" si="140"/>
        <v>648</v>
      </c>
      <c r="K893" s="23">
        <f t="shared" ca="1" si="141"/>
        <v>1001</v>
      </c>
      <c r="L893" s="23">
        <f t="shared" ca="1" si="134"/>
        <v>62335</v>
      </c>
    </row>
    <row r="894" spans="3:12">
      <c r="C894" s="23">
        <f t="shared" si="132"/>
        <v>420</v>
      </c>
      <c r="D894" s="23">
        <f t="shared" si="133"/>
        <v>168</v>
      </c>
      <c r="E894" s="23">
        <f t="shared" si="135"/>
        <v>252</v>
      </c>
      <c r="F894" s="23">
        <f t="shared" si="136"/>
        <v>700</v>
      </c>
      <c r="G894" s="23">
        <f t="shared" ca="1" si="137"/>
        <v>222</v>
      </c>
      <c r="H894" s="23">
        <f t="shared" ca="1" si="138"/>
        <v>602</v>
      </c>
      <c r="I894" s="23">
        <f t="shared" ca="1" si="139"/>
        <v>390</v>
      </c>
      <c r="J894" s="23">
        <f t="shared" ca="1" si="140"/>
        <v>602</v>
      </c>
      <c r="K894" s="23">
        <f t="shared" ca="1" si="141"/>
        <v>992</v>
      </c>
      <c r="L894" s="23">
        <f t="shared" ca="1" si="134"/>
        <v>61120</v>
      </c>
    </row>
    <row r="895" spans="3:12">
      <c r="C895" s="23">
        <f t="shared" si="132"/>
        <v>420</v>
      </c>
      <c r="D895" s="23">
        <f t="shared" si="133"/>
        <v>168</v>
      </c>
      <c r="E895" s="23">
        <f t="shared" si="135"/>
        <v>252</v>
      </c>
      <c r="F895" s="23">
        <f t="shared" si="136"/>
        <v>700</v>
      </c>
      <c r="G895" s="23">
        <f t="shared" ca="1" si="137"/>
        <v>210</v>
      </c>
      <c r="H895" s="23">
        <f t="shared" ca="1" si="138"/>
        <v>598</v>
      </c>
      <c r="I895" s="23">
        <f t="shared" ca="1" si="139"/>
        <v>378</v>
      </c>
      <c r="J895" s="23">
        <f t="shared" ca="1" si="140"/>
        <v>598</v>
      </c>
      <c r="K895" s="23">
        <f t="shared" ca="1" si="141"/>
        <v>976</v>
      </c>
      <c r="L895" s="23">
        <f t="shared" ca="1" si="134"/>
        <v>58960</v>
      </c>
    </row>
    <row r="896" spans="3:12">
      <c r="C896" s="23">
        <f t="shared" si="132"/>
        <v>420</v>
      </c>
      <c r="D896" s="23">
        <f t="shared" si="133"/>
        <v>168</v>
      </c>
      <c r="E896" s="23">
        <f t="shared" si="135"/>
        <v>252</v>
      </c>
      <c r="F896" s="23">
        <f t="shared" si="136"/>
        <v>700</v>
      </c>
      <c r="G896" s="23">
        <f t="shared" ca="1" si="137"/>
        <v>225</v>
      </c>
      <c r="H896" s="23">
        <f t="shared" ca="1" si="138"/>
        <v>641</v>
      </c>
      <c r="I896" s="23">
        <f t="shared" ca="1" si="139"/>
        <v>393</v>
      </c>
      <c r="J896" s="23">
        <f t="shared" ca="1" si="140"/>
        <v>641</v>
      </c>
      <c r="K896" s="23">
        <f t="shared" ca="1" si="141"/>
        <v>1034</v>
      </c>
      <c r="L896" s="23">
        <f t="shared" ca="1" si="134"/>
        <v>66790</v>
      </c>
    </row>
    <row r="897" spans="3:12">
      <c r="C897" s="23">
        <f t="shared" si="132"/>
        <v>420</v>
      </c>
      <c r="D897" s="23">
        <f t="shared" si="133"/>
        <v>168</v>
      </c>
      <c r="E897" s="23">
        <f t="shared" si="135"/>
        <v>252</v>
      </c>
      <c r="F897" s="23">
        <f t="shared" si="136"/>
        <v>700</v>
      </c>
      <c r="G897" s="23">
        <f t="shared" ca="1" si="137"/>
        <v>261</v>
      </c>
      <c r="H897" s="23">
        <f t="shared" ca="1" si="138"/>
        <v>658</v>
      </c>
      <c r="I897" s="23">
        <f t="shared" ca="1" si="139"/>
        <v>420</v>
      </c>
      <c r="J897" s="23">
        <f t="shared" ca="1" si="140"/>
        <v>658</v>
      </c>
      <c r="K897" s="23">
        <f t="shared" ca="1" si="141"/>
        <v>1078</v>
      </c>
      <c r="L897" s="23">
        <f t="shared" ca="1" si="134"/>
        <v>72730</v>
      </c>
    </row>
    <row r="898" spans="3:12">
      <c r="C898" s="23">
        <f t="shared" si="132"/>
        <v>420</v>
      </c>
      <c r="D898" s="23">
        <f t="shared" si="133"/>
        <v>168</v>
      </c>
      <c r="E898" s="23">
        <f t="shared" si="135"/>
        <v>252</v>
      </c>
      <c r="F898" s="23">
        <f t="shared" si="136"/>
        <v>700</v>
      </c>
      <c r="G898" s="23">
        <f t="shared" ca="1" si="137"/>
        <v>206</v>
      </c>
      <c r="H898" s="23">
        <f t="shared" ca="1" si="138"/>
        <v>580</v>
      </c>
      <c r="I898" s="23">
        <f t="shared" ca="1" si="139"/>
        <v>374</v>
      </c>
      <c r="J898" s="23">
        <f t="shared" ca="1" si="140"/>
        <v>580</v>
      </c>
      <c r="K898" s="23">
        <f t="shared" ca="1" si="141"/>
        <v>954</v>
      </c>
      <c r="L898" s="23">
        <f t="shared" ca="1" si="134"/>
        <v>55990</v>
      </c>
    </row>
    <row r="899" spans="3:12">
      <c r="C899" s="23">
        <f t="shared" si="132"/>
        <v>420</v>
      </c>
      <c r="D899" s="23">
        <f t="shared" si="133"/>
        <v>168</v>
      </c>
      <c r="E899" s="23">
        <f t="shared" si="135"/>
        <v>252</v>
      </c>
      <c r="F899" s="23">
        <f t="shared" si="136"/>
        <v>700</v>
      </c>
      <c r="G899" s="23">
        <f t="shared" ca="1" si="137"/>
        <v>179</v>
      </c>
      <c r="H899" s="23">
        <f t="shared" ca="1" si="138"/>
        <v>699</v>
      </c>
      <c r="I899" s="23">
        <f t="shared" ca="1" si="139"/>
        <v>347</v>
      </c>
      <c r="J899" s="23">
        <f t="shared" ca="1" si="140"/>
        <v>699</v>
      </c>
      <c r="K899" s="23">
        <f t="shared" ca="1" si="141"/>
        <v>1046</v>
      </c>
      <c r="L899" s="23">
        <f t="shared" ca="1" si="134"/>
        <v>68410</v>
      </c>
    </row>
    <row r="900" spans="3:12">
      <c r="C900" s="23">
        <f t="shared" si="132"/>
        <v>420</v>
      </c>
      <c r="D900" s="23">
        <f t="shared" si="133"/>
        <v>168</v>
      </c>
      <c r="E900" s="23">
        <f t="shared" si="135"/>
        <v>252</v>
      </c>
      <c r="F900" s="23">
        <f t="shared" si="136"/>
        <v>700</v>
      </c>
      <c r="G900" s="23">
        <f t="shared" ca="1" si="137"/>
        <v>211</v>
      </c>
      <c r="H900" s="23">
        <f t="shared" ca="1" si="138"/>
        <v>628</v>
      </c>
      <c r="I900" s="23">
        <f t="shared" ca="1" si="139"/>
        <v>379</v>
      </c>
      <c r="J900" s="23">
        <f t="shared" ca="1" si="140"/>
        <v>628</v>
      </c>
      <c r="K900" s="23">
        <f t="shared" ca="1" si="141"/>
        <v>1007</v>
      </c>
      <c r="L900" s="23">
        <f t="shared" ca="1" si="134"/>
        <v>63145</v>
      </c>
    </row>
    <row r="901" spans="3:12">
      <c r="C901" s="23">
        <f t="shared" si="132"/>
        <v>420</v>
      </c>
      <c r="D901" s="23">
        <f t="shared" si="133"/>
        <v>168</v>
      </c>
      <c r="E901" s="23">
        <f t="shared" si="135"/>
        <v>252</v>
      </c>
      <c r="F901" s="23">
        <f t="shared" si="136"/>
        <v>700</v>
      </c>
      <c r="G901" s="23">
        <f t="shared" ca="1" si="137"/>
        <v>225</v>
      </c>
      <c r="H901" s="23">
        <f t="shared" ca="1" si="138"/>
        <v>676</v>
      </c>
      <c r="I901" s="23">
        <f t="shared" ca="1" si="139"/>
        <v>393</v>
      </c>
      <c r="J901" s="23">
        <f t="shared" ca="1" si="140"/>
        <v>676</v>
      </c>
      <c r="K901" s="23">
        <f t="shared" ca="1" si="141"/>
        <v>1069</v>
      </c>
      <c r="L901" s="23">
        <f t="shared" ca="1" si="134"/>
        <v>71515</v>
      </c>
    </row>
    <row r="902" spans="3:12">
      <c r="C902" s="23">
        <f t="shared" si="132"/>
        <v>420</v>
      </c>
      <c r="D902" s="23">
        <f t="shared" si="133"/>
        <v>168</v>
      </c>
      <c r="E902" s="23">
        <f t="shared" si="135"/>
        <v>252</v>
      </c>
      <c r="F902" s="23">
        <f t="shared" si="136"/>
        <v>700</v>
      </c>
      <c r="G902" s="23">
        <f t="shared" ca="1" si="137"/>
        <v>221</v>
      </c>
      <c r="H902" s="23">
        <f t="shared" ca="1" si="138"/>
        <v>678</v>
      </c>
      <c r="I902" s="23">
        <f t="shared" ca="1" si="139"/>
        <v>389</v>
      </c>
      <c r="J902" s="23">
        <f t="shared" ca="1" si="140"/>
        <v>678</v>
      </c>
      <c r="K902" s="23">
        <f t="shared" ca="1" si="141"/>
        <v>1067</v>
      </c>
      <c r="L902" s="23">
        <f t="shared" ca="1" si="134"/>
        <v>71245</v>
      </c>
    </row>
    <row r="903" spans="3:12">
      <c r="C903" s="23">
        <f t="shared" si="132"/>
        <v>420</v>
      </c>
      <c r="D903" s="23">
        <f t="shared" si="133"/>
        <v>168</v>
      </c>
      <c r="E903" s="23">
        <f t="shared" si="135"/>
        <v>252</v>
      </c>
      <c r="F903" s="23">
        <f t="shared" si="136"/>
        <v>700</v>
      </c>
      <c r="G903" s="23">
        <f t="shared" ca="1" si="137"/>
        <v>203</v>
      </c>
      <c r="H903" s="23">
        <f t="shared" ca="1" si="138"/>
        <v>732</v>
      </c>
      <c r="I903" s="23">
        <f t="shared" ca="1" si="139"/>
        <v>371</v>
      </c>
      <c r="J903" s="23">
        <f t="shared" ca="1" si="140"/>
        <v>732</v>
      </c>
      <c r="K903" s="23">
        <f t="shared" ca="1" si="141"/>
        <v>1103</v>
      </c>
      <c r="L903" s="23">
        <f t="shared" ca="1" si="134"/>
        <v>76105</v>
      </c>
    </row>
    <row r="904" spans="3:12">
      <c r="C904" s="23">
        <f t="shared" si="132"/>
        <v>420</v>
      </c>
      <c r="D904" s="23">
        <f t="shared" si="133"/>
        <v>168</v>
      </c>
      <c r="E904" s="23">
        <f t="shared" si="135"/>
        <v>252</v>
      </c>
      <c r="F904" s="23">
        <f t="shared" si="136"/>
        <v>700</v>
      </c>
      <c r="G904" s="23">
        <f t="shared" ca="1" si="137"/>
        <v>206</v>
      </c>
      <c r="H904" s="23">
        <f t="shared" ca="1" si="138"/>
        <v>759</v>
      </c>
      <c r="I904" s="23">
        <f t="shared" ca="1" si="139"/>
        <v>374</v>
      </c>
      <c r="J904" s="23">
        <f t="shared" ca="1" si="140"/>
        <v>746</v>
      </c>
      <c r="K904" s="23">
        <f t="shared" ca="1" si="141"/>
        <v>1120</v>
      </c>
      <c r="L904" s="23">
        <f t="shared" ca="1" si="134"/>
        <v>78400</v>
      </c>
    </row>
    <row r="905" spans="3:12">
      <c r="C905" s="23">
        <f t="shared" si="132"/>
        <v>420</v>
      </c>
      <c r="D905" s="23">
        <f t="shared" si="133"/>
        <v>168</v>
      </c>
      <c r="E905" s="23">
        <f t="shared" si="135"/>
        <v>252</v>
      </c>
      <c r="F905" s="23">
        <f t="shared" si="136"/>
        <v>700</v>
      </c>
      <c r="G905" s="23">
        <f t="shared" ca="1" si="137"/>
        <v>245</v>
      </c>
      <c r="H905" s="23">
        <f t="shared" ca="1" si="138"/>
        <v>745</v>
      </c>
      <c r="I905" s="23">
        <f t="shared" ca="1" si="139"/>
        <v>413</v>
      </c>
      <c r="J905" s="23">
        <f t="shared" ca="1" si="140"/>
        <v>707</v>
      </c>
      <c r="K905" s="23">
        <f t="shared" ca="1" si="141"/>
        <v>1120</v>
      </c>
      <c r="L905" s="23">
        <f t="shared" ca="1" si="134"/>
        <v>78400</v>
      </c>
    </row>
    <row r="906" spans="3:12">
      <c r="C906" s="23">
        <f t="shared" si="132"/>
        <v>420</v>
      </c>
      <c r="D906" s="23">
        <f t="shared" si="133"/>
        <v>168</v>
      </c>
      <c r="E906" s="23">
        <f t="shared" si="135"/>
        <v>252</v>
      </c>
      <c r="F906" s="23">
        <f t="shared" si="136"/>
        <v>700</v>
      </c>
      <c r="G906" s="23">
        <f t="shared" ca="1" si="137"/>
        <v>174</v>
      </c>
      <c r="H906" s="23">
        <f t="shared" ca="1" si="138"/>
        <v>628</v>
      </c>
      <c r="I906" s="23">
        <f t="shared" ca="1" si="139"/>
        <v>342</v>
      </c>
      <c r="J906" s="23">
        <f t="shared" ca="1" si="140"/>
        <v>628</v>
      </c>
      <c r="K906" s="23">
        <f t="shared" ca="1" si="141"/>
        <v>970</v>
      </c>
      <c r="L906" s="23">
        <f t="shared" ca="1" si="134"/>
        <v>58150</v>
      </c>
    </row>
    <row r="907" spans="3:12">
      <c r="C907" s="23">
        <f t="shared" si="132"/>
        <v>420</v>
      </c>
      <c r="D907" s="23">
        <f t="shared" si="133"/>
        <v>168</v>
      </c>
      <c r="E907" s="23">
        <f t="shared" si="135"/>
        <v>252</v>
      </c>
      <c r="F907" s="23">
        <f t="shared" si="136"/>
        <v>700</v>
      </c>
      <c r="G907" s="23">
        <f t="shared" ca="1" si="137"/>
        <v>210</v>
      </c>
      <c r="H907" s="23">
        <f t="shared" ca="1" si="138"/>
        <v>668</v>
      </c>
      <c r="I907" s="23">
        <f t="shared" ca="1" si="139"/>
        <v>378</v>
      </c>
      <c r="J907" s="23">
        <f t="shared" ca="1" si="140"/>
        <v>668</v>
      </c>
      <c r="K907" s="23">
        <f t="shared" ca="1" si="141"/>
        <v>1046</v>
      </c>
      <c r="L907" s="23">
        <f t="shared" ca="1" si="134"/>
        <v>68410</v>
      </c>
    </row>
    <row r="908" spans="3:12">
      <c r="C908" s="23">
        <f t="shared" ref="C908:C971" si="142">$B$4</f>
        <v>420</v>
      </c>
      <c r="D908" s="23">
        <f t="shared" ref="D908:D971" si="143">$B$5</f>
        <v>168</v>
      </c>
      <c r="E908" s="23">
        <f t="shared" si="135"/>
        <v>252</v>
      </c>
      <c r="F908" s="23">
        <f t="shared" si="136"/>
        <v>700</v>
      </c>
      <c r="G908" s="23">
        <f t="shared" ca="1" si="137"/>
        <v>242</v>
      </c>
      <c r="H908" s="23">
        <f t="shared" ca="1" si="138"/>
        <v>567</v>
      </c>
      <c r="I908" s="23">
        <f t="shared" ca="1" si="139"/>
        <v>410</v>
      </c>
      <c r="J908" s="23">
        <f t="shared" ca="1" si="140"/>
        <v>567</v>
      </c>
      <c r="K908" s="23">
        <f t="shared" ca="1" si="141"/>
        <v>977</v>
      </c>
      <c r="L908" s="23">
        <f t="shared" ref="L908:L971" ca="1" si="144">K908*$B$2-(F908+C908)*$B$1</f>
        <v>59095</v>
      </c>
    </row>
    <row r="909" spans="3:12">
      <c r="C909" s="23">
        <f t="shared" si="142"/>
        <v>420</v>
      </c>
      <c r="D909" s="23">
        <f t="shared" si="143"/>
        <v>168</v>
      </c>
      <c r="E909" s="23">
        <f t="shared" ref="E909:E972" si="145">MAX(0,C909-D909)</f>
        <v>252</v>
      </c>
      <c r="F909" s="23">
        <f t="shared" ref="F909:F972" si="146">$E$8</f>
        <v>700</v>
      </c>
      <c r="G909" s="23">
        <f t="shared" ref="G909:G972" ca="1" si="147">_xlfn.FLOOR.MATH(MAX(0,_xlfn.NORM.INV(RAND(),$B$6*$B$8,$B$3*($B$8+0.0001))))</f>
        <v>195</v>
      </c>
      <c r="H909" s="23">
        <f t="shared" ref="H909:H972" ca="1" si="148">_xlfn.FLOOR.MATH(MAX(0,_xlfn.NORM.INV(RAND(),$B$6*(1-$B$8),$B$3*(1.00001-$B$8))))</f>
        <v>653</v>
      </c>
      <c r="I909" s="23">
        <f t="shared" ref="I909:I972" ca="1" si="149">MIN(C909,D909+G909)</f>
        <v>363</v>
      </c>
      <c r="J909" s="23">
        <f t="shared" ref="J909:J972" ca="1" si="150">MIN(C909-I909+F909,H909)</f>
        <v>653</v>
      </c>
      <c r="K909" s="23">
        <f t="shared" ref="K909:K972" ca="1" si="151">I909+J909</f>
        <v>1016</v>
      </c>
      <c r="L909" s="23">
        <f t="shared" ca="1" si="144"/>
        <v>64360</v>
      </c>
    </row>
    <row r="910" spans="3:12">
      <c r="C910" s="23">
        <f t="shared" si="142"/>
        <v>420</v>
      </c>
      <c r="D910" s="23">
        <f t="shared" si="143"/>
        <v>168</v>
      </c>
      <c r="E910" s="23">
        <f t="shared" si="145"/>
        <v>252</v>
      </c>
      <c r="F910" s="23">
        <f t="shared" si="146"/>
        <v>700</v>
      </c>
      <c r="G910" s="23">
        <f t="shared" ca="1" si="147"/>
        <v>239</v>
      </c>
      <c r="H910" s="23">
        <f t="shared" ca="1" si="148"/>
        <v>670</v>
      </c>
      <c r="I910" s="23">
        <f t="shared" ca="1" si="149"/>
        <v>407</v>
      </c>
      <c r="J910" s="23">
        <f t="shared" ca="1" si="150"/>
        <v>670</v>
      </c>
      <c r="K910" s="23">
        <f t="shared" ca="1" si="151"/>
        <v>1077</v>
      </c>
      <c r="L910" s="23">
        <f t="shared" ca="1" si="144"/>
        <v>72595</v>
      </c>
    </row>
    <row r="911" spans="3:12">
      <c r="C911" s="23">
        <f t="shared" si="142"/>
        <v>420</v>
      </c>
      <c r="D911" s="23">
        <f t="shared" si="143"/>
        <v>168</v>
      </c>
      <c r="E911" s="23">
        <f t="shared" si="145"/>
        <v>252</v>
      </c>
      <c r="F911" s="23">
        <f t="shared" si="146"/>
        <v>700</v>
      </c>
      <c r="G911" s="23">
        <f t="shared" ca="1" si="147"/>
        <v>228</v>
      </c>
      <c r="H911" s="23">
        <f t="shared" ca="1" si="148"/>
        <v>567</v>
      </c>
      <c r="I911" s="23">
        <f t="shared" ca="1" si="149"/>
        <v>396</v>
      </c>
      <c r="J911" s="23">
        <f t="shared" ca="1" si="150"/>
        <v>567</v>
      </c>
      <c r="K911" s="23">
        <f t="shared" ca="1" si="151"/>
        <v>963</v>
      </c>
      <c r="L911" s="23">
        <f t="shared" ca="1" si="144"/>
        <v>57205</v>
      </c>
    </row>
    <row r="912" spans="3:12">
      <c r="C912" s="23">
        <f t="shared" si="142"/>
        <v>420</v>
      </c>
      <c r="D912" s="23">
        <f t="shared" si="143"/>
        <v>168</v>
      </c>
      <c r="E912" s="23">
        <f t="shared" si="145"/>
        <v>252</v>
      </c>
      <c r="F912" s="23">
        <f t="shared" si="146"/>
        <v>700</v>
      </c>
      <c r="G912" s="23">
        <f t="shared" ca="1" si="147"/>
        <v>232</v>
      </c>
      <c r="H912" s="23">
        <f t="shared" ca="1" si="148"/>
        <v>624</v>
      </c>
      <c r="I912" s="23">
        <f t="shared" ca="1" si="149"/>
        <v>400</v>
      </c>
      <c r="J912" s="23">
        <f t="shared" ca="1" si="150"/>
        <v>624</v>
      </c>
      <c r="K912" s="23">
        <f t="shared" ca="1" si="151"/>
        <v>1024</v>
      </c>
      <c r="L912" s="23">
        <f t="shared" ca="1" si="144"/>
        <v>65440</v>
      </c>
    </row>
    <row r="913" spans="3:12">
      <c r="C913" s="23">
        <f t="shared" si="142"/>
        <v>420</v>
      </c>
      <c r="D913" s="23">
        <f t="shared" si="143"/>
        <v>168</v>
      </c>
      <c r="E913" s="23">
        <f t="shared" si="145"/>
        <v>252</v>
      </c>
      <c r="F913" s="23">
        <f t="shared" si="146"/>
        <v>700</v>
      </c>
      <c r="G913" s="23">
        <f t="shared" ca="1" si="147"/>
        <v>187</v>
      </c>
      <c r="H913" s="23">
        <f t="shared" ca="1" si="148"/>
        <v>646</v>
      </c>
      <c r="I913" s="23">
        <f t="shared" ca="1" si="149"/>
        <v>355</v>
      </c>
      <c r="J913" s="23">
        <f t="shared" ca="1" si="150"/>
        <v>646</v>
      </c>
      <c r="K913" s="23">
        <f t="shared" ca="1" si="151"/>
        <v>1001</v>
      </c>
      <c r="L913" s="23">
        <f t="shared" ca="1" si="144"/>
        <v>62335</v>
      </c>
    </row>
    <row r="914" spans="3:12">
      <c r="C914" s="23">
        <f t="shared" si="142"/>
        <v>420</v>
      </c>
      <c r="D914" s="23">
        <f t="shared" si="143"/>
        <v>168</v>
      </c>
      <c r="E914" s="23">
        <f t="shared" si="145"/>
        <v>252</v>
      </c>
      <c r="F914" s="23">
        <f t="shared" si="146"/>
        <v>700</v>
      </c>
      <c r="G914" s="23">
        <f t="shared" ca="1" si="147"/>
        <v>241</v>
      </c>
      <c r="H914" s="23">
        <f t="shared" ca="1" si="148"/>
        <v>617</v>
      </c>
      <c r="I914" s="23">
        <f t="shared" ca="1" si="149"/>
        <v>409</v>
      </c>
      <c r="J914" s="23">
        <f t="shared" ca="1" si="150"/>
        <v>617</v>
      </c>
      <c r="K914" s="23">
        <f t="shared" ca="1" si="151"/>
        <v>1026</v>
      </c>
      <c r="L914" s="23">
        <f t="shared" ca="1" si="144"/>
        <v>65710</v>
      </c>
    </row>
    <row r="915" spans="3:12">
      <c r="C915" s="23">
        <f t="shared" si="142"/>
        <v>420</v>
      </c>
      <c r="D915" s="23">
        <f t="shared" si="143"/>
        <v>168</v>
      </c>
      <c r="E915" s="23">
        <f t="shared" si="145"/>
        <v>252</v>
      </c>
      <c r="F915" s="23">
        <f t="shared" si="146"/>
        <v>700</v>
      </c>
      <c r="G915" s="23">
        <f t="shared" ca="1" si="147"/>
        <v>250</v>
      </c>
      <c r="H915" s="23">
        <f t="shared" ca="1" si="148"/>
        <v>555</v>
      </c>
      <c r="I915" s="23">
        <f t="shared" ca="1" si="149"/>
        <v>418</v>
      </c>
      <c r="J915" s="23">
        <f t="shared" ca="1" si="150"/>
        <v>555</v>
      </c>
      <c r="K915" s="23">
        <f t="shared" ca="1" si="151"/>
        <v>973</v>
      </c>
      <c r="L915" s="23">
        <f t="shared" ca="1" si="144"/>
        <v>58555</v>
      </c>
    </row>
    <row r="916" spans="3:12">
      <c r="C916" s="23">
        <f t="shared" si="142"/>
        <v>420</v>
      </c>
      <c r="D916" s="23">
        <f t="shared" si="143"/>
        <v>168</v>
      </c>
      <c r="E916" s="23">
        <f t="shared" si="145"/>
        <v>252</v>
      </c>
      <c r="F916" s="23">
        <f t="shared" si="146"/>
        <v>700</v>
      </c>
      <c r="G916" s="23">
        <f t="shared" ca="1" si="147"/>
        <v>237</v>
      </c>
      <c r="H916" s="23">
        <f t="shared" ca="1" si="148"/>
        <v>649</v>
      </c>
      <c r="I916" s="23">
        <f t="shared" ca="1" si="149"/>
        <v>405</v>
      </c>
      <c r="J916" s="23">
        <f t="shared" ca="1" si="150"/>
        <v>649</v>
      </c>
      <c r="K916" s="23">
        <f t="shared" ca="1" si="151"/>
        <v>1054</v>
      </c>
      <c r="L916" s="23">
        <f t="shared" ca="1" si="144"/>
        <v>69490</v>
      </c>
    </row>
    <row r="917" spans="3:12">
      <c r="C917" s="23">
        <f t="shared" si="142"/>
        <v>420</v>
      </c>
      <c r="D917" s="23">
        <f t="shared" si="143"/>
        <v>168</v>
      </c>
      <c r="E917" s="23">
        <f t="shared" si="145"/>
        <v>252</v>
      </c>
      <c r="F917" s="23">
        <f t="shared" si="146"/>
        <v>700</v>
      </c>
      <c r="G917" s="23">
        <f t="shared" ca="1" si="147"/>
        <v>169</v>
      </c>
      <c r="H917" s="23">
        <f t="shared" ca="1" si="148"/>
        <v>618</v>
      </c>
      <c r="I917" s="23">
        <f t="shared" ca="1" si="149"/>
        <v>337</v>
      </c>
      <c r="J917" s="23">
        <f t="shared" ca="1" si="150"/>
        <v>618</v>
      </c>
      <c r="K917" s="23">
        <f t="shared" ca="1" si="151"/>
        <v>955</v>
      </c>
      <c r="L917" s="23">
        <f t="shared" ca="1" si="144"/>
        <v>56125</v>
      </c>
    </row>
    <row r="918" spans="3:12">
      <c r="C918" s="23">
        <f t="shared" si="142"/>
        <v>420</v>
      </c>
      <c r="D918" s="23">
        <f t="shared" si="143"/>
        <v>168</v>
      </c>
      <c r="E918" s="23">
        <f t="shared" si="145"/>
        <v>252</v>
      </c>
      <c r="F918" s="23">
        <f t="shared" si="146"/>
        <v>700</v>
      </c>
      <c r="G918" s="23">
        <f t="shared" ca="1" si="147"/>
        <v>273</v>
      </c>
      <c r="H918" s="23">
        <f t="shared" ca="1" si="148"/>
        <v>672</v>
      </c>
      <c r="I918" s="23">
        <f t="shared" ca="1" si="149"/>
        <v>420</v>
      </c>
      <c r="J918" s="23">
        <f t="shared" ca="1" si="150"/>
        <v>672</v>
      </c>
      <c r="K918" s="23">
        <f t="shared" ca="1" si="151"/>
        <v>1092</v>
      </c>
      <c r="L918" s="23">
        <f t="shared" ca="1" si="144"/>
        <v>74620</v>
      </c>
    </row>
    <row r="919" spans="3:12">
      <c r="C919" s="23">
        <f t="shared" si="142"/>
        <v>420</v>
      </c>
      <c r="D919" s="23">
        <f t="shared" si="143"/>
        <v>168</v>
      </c>
      <c r="E919" s="23">
        <f t="shared" si="145"/>
        <v>252</v>
      </c>
      <c r="F919" s="23">
        <f t="shared" si="146"/>
        <v>700</v>
      </c>
      <c r="G919" s="23">
        <f t="shared" ca="1" si="147"/>
        <v>215</v>
      </c>
      <c r="H919" s="23">
        <f t="shared" ca="1" si="148"/>
        <v>639</v>
      </c>
      <c r="I919" s="23">
        <f t="shared" ca="1" si="149"/>
        <v>383</v>
      </c>
      <c r="J919" s="23">
        <f t="shared" ca="1" si="150"/>
        <v>639</v>
      </c>
      <c r="K919" s="23">
        <f t="shared" ca="1" si="151"/>
        <v>1022</v>
      </c>
      <c r="L919" s="23">
        <f t="shared" ca="1" si="144"/>
        <v>65170</v>
      </c>
    </row>
    <row r="920" spans="3:12">
      <c r="C920" s="23">
        <f t="shared" si="142"/>
        <v>420</v>
      </c>
      <c r="D920" s="23">
        <f t="shared" si="143"/>
        <v>168</v>
      </c>
      <c r="E920" s="23">
        <f t="shared" si="145"/>
        <v>252</v>
      </c>
      <c r="F920" s="23">
        <f t="shared" si="146"/>
        <v>700</v>
      </c>
      <c r="G920" s="23">
        <f t="shared" ca="1" si="147"/>
        <v>216</v>
      </c>
      <c r="H920" s="23">
        <f t="shared" ca="1" si="148"/>
        <v>754</v>
      </c>
      <c r="I920" s="23">
        <f t="shared" ca="1" si="149"/>
        <v>384</v>
      </c>
      <c r="J920" s="23">
        <f t="shared" ca="1" si="150"/>
        <v>736</v>
      </c>
      <c r="K920" s="23">
        <f t="shared" ca="1" si="151"/>
        <v>1120</v>
      </c>
      <c r="L920" s="23">
        <f t="shared" ca="1" si="144"/>
        <v>78400</v>
      </c>
    </row>
    <row r="921" spans="3:12">
      <c r="C921" s="23">
        <f t="shared" si="142"/>
        <v>420</v>
      </c>
      <c r="D921" s="23">
        <f t="shared" si="143"/>
        <v>168</v>
      </c>
      <c r="E921" s="23">
        <f t="shared" si="145"/>
        <v>252</v>
      </c>
      <c r="F921" s="23">
        <f t="shared" si="146"/>
        <v>700</v>
      </c>
      <c r="G921" s="23">
        <f t="shared" ca="1" si="147"/>
        <v>195</v>
      </c>
      <c r="H921" s="23">
        <f t="shared" ca="1" si="148"/>
        <v>686</v>
      </c>
      <c r="I921" s="23">
        <f t="shared" ca="1" si="149"/>
        <v>363</v>
      </c>
      <c r="J921" s="23">
        <f t="shared" ca="1" si="150"/>
        <v>686</v>
      </c>
      <c r="K921" s="23">
        <f t="shared" ca="1" si="151"/>
        <v>1049</v>
      </c>
      <c r="L921" s="23">
        <f t="shared" ca="1" si="144"/>
        <v>68815</v>
      </c>
    </row>
    <row r="922" spans="3:12">
      <c r="C922" s="23">
        <f t="shared" si="142"/>
        <v>420</v>
      </c>
      <c r="D922" s="23">
        <f t="shared" si="143"/>
        <v>168</v>
      </c>
      <c r="E922" s="23">
        <f t="shared" si="145"/>
        <v>252</v>
      </c>
      <c r="F922" s="23">
        <f t="shared" si="146"/>
        <v>700</v>
      </c>
      <c r="G922" s="23">
        <f t="shared" ca="1" si="147"/>
        <v>222</v>
      </c>
      <c r="H922" s="23">
        <f t="shared" ca="1" si="148"/>
        <v>635</v>
      </c>
      <c r="I922" s="23">
        <f t="shared" ca="1" si="149"/>
        <v>390</v>
      </c>
      <c r="J922" s="23">
        <f t="shared" ca="1" si="150"/>
        <v>635</v>
      </c>
      <c r="K922" s="23">
        <f t="shared" ca="1" si="151"/>
        <v>1025</v>
      </c>
      <c r="L922" s="23">
        <f t="shared" ca="1" si="144"/>
        <v>65575</v>
      </c>
    </row>
    <row r="923" spans="3:12">
      <c r="C923" s="23">
        <f t="shared" si="142"/>
        <v>420</v>
      </c>
      <c r="D923" s="23">
        <f t="shared" si="143"/>
        <v>168</v>
      </c>
      <c r="E923" s="23">
        <f t="shared" si="145"/>
        <v>252</v>
      </c>
      <c r="F923" s="23">
        <f t="shared" si="146"/>
        <v>700</v>
      </c>
      <c r="G923" s="23">
        <f t="shared" ca="1" si="147"/>
        <v>203</v>
      </c>
      <c r="H923" s="23">
        <f t="shared" ca="1" si="148"/>
        <v>631</v>
      </c>
      <c r="I923" s="23">
        <f t="shared" ca="1" si="149"/>
        <v>371</v>
      </c>
      <c r="J923" s="23">
        <f t="shared" ca="1" si="150"/>
        <v>631</v>
      </c>
      <c r="K923" s="23">
        <f t="shared" ca="1" si="151"/>
        <v>1002</v>
      </c>
      <c r="L923" s="23">
        <f t="shared" ca="1" si="144"/>
        <v>62470</v>
      </c>
    </row>
    <row r="924" spans="3:12">
      <c r="C924" s="23">
        <f t="shared" si="142"/>
        <v>420</v>
      </c>
      <c r="D924" s="23">
        <f t="shared" si="143"/>
        <v>168</v>
      </c>
      <c r="E924" s="23">
        <f t="shared" si="145"/>
        <v>252</v>
      </c>
      <c r="F924" s="23">
        <f t="shared" si="146"/>
        <v>700</v>
      </c>
      <c r="G924" s="23">
        <f t="shared" ca="1" si="147"/>
        <v>201</v>
      </c>
      <c r="H924" s="23">
        <f t="shared" ca="1" si="148"/>
        <v>730</v>
      </c>
      <c r="I924" s="23">
        <f t="shared" ca="1" si="149"/>
        <v>369</v>
      </c>
      <c r="J924" s="23">
        <f t="shared" ca="1" si="150"/>
        <v>730</v>
      </c>
      <c r="K924" s="23">
        <f t="shared" ca="1" si="151"/>
        <v>1099</v>
      </c>
      <c r="L924" s="23">
        <f t="shared" ca="1" si="144"/>
        <v>75565</v>
      </c>
    </row>
    <row r="925" spans="3:12">
      <c r="C925" s="23">
        <f t="shared" si="142"/>
        <v>420</v>
      </c>
      <c r="D925" s="23">
        <f t="shared" si="143"/>
        <v>168</v>
      </c>
      <c r="E925" s="23">
        <f t="shared" si="145"/>
        <v>252</v>
      </c>
      <c r="F925" s="23">
        <f t="shared" si="146"/>
        <v>700</v>
      </c>
      <c r="G925" s="23">
        <f t="shared" ca="1" si="147"/>
        <v>221</v>
      </c>
      <c r="H925" s="23">
        <f t="shared" ca="1" si="148"/>
        <v>644</v>
      </c>
      <c r="I925" s="23">
        <f t="shared" ca="1" si="149"/>
        <v>389</v>
      </c>
      <c r="J925" s="23">
        <f t="shared" ca="1" si="150"/>
        <v>644</v>
      </c>
      <c r="K925" s="23">
        <f t="shared" ca="1" si="151"/>
        <v>1033</v>
      </c>
      <c r="L925" s="23">
        <f t="shared" ca="1" si="144"/>
        <v>66655</v>
      </c>
    </row>
    <row r="926" spans="3:12">
      <c r="C926" s="23">
        <f t="shared" si="142"/>
        <v>420</v>
      </c>
      <c r="D926" s="23">
        <f t="shared" si="143"/>
        <v>168</v>
      </c>
      <c r="E926" s="23">
        <f t="shared" si="145"/>
        <v>252</v>
      </c>
      <c r="F926" s="23">
        <f t="shared" si="146"/>
        <v>700</v>
      </c>
      <c r="G926" s="23">
        <f t="shared" ca="1" si="147"/>
        <v>225</v>
      </c>
      <c r="H926" s="23">
        <f t="shared" ca="1" si="148"/>
        <v>709</v>
      </c>
      <c r="I926" s="23">
        <f t="shared" ca="1" si="149"/>
        <v>393</v>
      </c>
      <c r="J926" s="23">
        <f t="shared" ca="1" si="150"/>
        <v>709</v>
      </c>
      <c r="K926" s="23">
        <f t="shared" ca="1" si="151"/>
        <v>1102</v>
      </c>
      <c r="L926" s="23">
        <f t="shared" ca="1" si="144"/>
        <v>75970</v>
      </c>
    </row>
    <row r="927" spans="3:12">
      <c r="C927" s="23">
        <f t="shared" si="142"/>
        <v>420</v>
      </c>
      <c r="D927" s="23">
        <f t="shared" si="143"/>
        <v>168</v>
      </c>
      <c r="E927" s="23">
        <f t="shared" si="145"/>
        <v>252</v>
      </c>
      <c r="F927" s="23">
        <f t="shared" si="146"/>
        <v>700</v>
      </c>
      <c r="G927" s="23">
        <f t="shared" ca="1" si="147"/>
        <v>205</v>
      </c>
      <c r="H927" s="23">
        <f t="shared" ca="1" si="148"/>
        <v>593</v>
      </c>
      <c r="I927" s="23">
        <f t="shared" ca="1" si="149"/>
        <v>373</v>
      </c>
      <c r="J927" s="23">
        <f t="shared" ca="1" si="150"/>
        <v>593</v>
      </c>
      <c r="K927" s="23">
        <f t="shared" ca="1" si="151"/>
        <v>966</v>
      </c>
      <c r="L927" s="23">
        <f t="shared" ca="1" si="144"/>
        <v>57610</v>
      </c>
    </row>
    <row r="928" spans="3:12">
      <c r="C928" s="23">
        <f t="shared" si="142"/>
        <v>420</v>
      </c>
      <c r="D928" s="23">
        <f t="shared" si="143"/>
        <v>168</v>
      </c>
      <c r="E928" s="23">
        <f t="shared" si="145"/>
        <v>252</v>
      </c>
      <c r="F928" s="23">
        <f t="shared" si="146"/>
        <v>700</v>
      </c>
      <c r="G928" s="23">
        <f t="shared" ca="1" si="147"/>
        <v>227</v>
      </c>
      <c r="H928" s="23">
        <f t="shared" ca="1" si="148"/>
        <v>657</v>
      </c>
      <c r="I928" s="23">
        <f t="shared" ca="1" si="149"/>
        <v>395</v>
      </c>
      <c r="J928" s="23">
        <f t="shared" ca="1" si="150"/>
        <v>657</v>
      </c>
      <c r="K928" s="23">
        <f t="shared" ca="1" si="151"/>
        <v>1052</v>
      </c>
      <c r="L928" s="23">
        <f t="shared" ca="1" si="144"/>
        <v>69220</v>
      </c>
    </row>
    <row r="929" spans="3:12">
      <c r="C929" s="23">
        <f t="shared" si="142"/>
        <v>420</v>
      </c>
      <c r="D929" s="23">
        <f t="shared" si="143"/>
        <v>168</v>
      </c>
      <c r="E929" s="23">
        <f t="shared" si="145"/>
        <v>252</v>
      </c>
      <c r="F929" s="23">
        <f t="shared" si="146"/>
        <v>700</v>
      </c>
      <c r="G929" s="23">
        <f t="shared" ca="1" si="147"/>
        <v>215</v>
      </c>
      <c r="H929" s="23">
        <f t="shared" ca="1" si="148"/>
        <v>563</v>
      </c>
      <c r="I929" s="23">
        <f t="shared" ca="1" si="149"/>
        <v>383</v>
      </c>
      <c r="J929" s="23">
        <f t="shared" ca="1" si="150"/>
        <v>563</v>
      </c>
      <c r="K929" s="23">
        <f t="shared" ca="1" si="151"/>
        <v>946</v>
      </c>
      <c r="L929" s="23">
        <f t="shared" ca="1" si="144"/>
        <v>54910</v>
      </c>
    </row>
    <row r="930" spans="3:12">
      <c r="C930" s="23">
        <f t="shared" si="142"/>
        <v>420</v>
      </c>
      <c r="D930" s="23">
        <f t="shared" si="143"/>
        <v>168</v>
      </c>
      <c r="E930" s="23">
        <f t="shared" si="145"/>
        <v>252</v>
      </c>
      <c r="F930" s="23">
        <f t="shared" si="146"/>
        <v>700</v>
      </c>
      <c r="G930" s="23">
        <f t="shared" ca="1" si="147"/>
        <v>208</v>
      </c>
      <c r="H930" s="23">
        <f t="shared" ca="1" si="148"/>
        <v>632</v>
      </c>
      <c r="I930" s="23">
        <f t="shared" ca="1" si="149"/>
        <v>376</v>
      </c>
      <c r="J930" s="23">
        <f t="shared" ca="1" si="150"/>
        <v>632</v>
      </c>
      <c r="K930" s="23">
        <f t="shared" ca="1" si="151"/>
        <v>1008</v>
      </c>
      <c r="L930" s="23">
        <f t="shared" ca="1" si="144"/>
        <v>63280</v>
      </c>
    </row>
    <row r="931" spans="3:12">
      <c r="C931" s="23">
        <f t="shared" si="142"/>
        <v>420</v>
      </c>
      <c r="D931" s="23">
        <f t="shared" si="143"/>
        <v>168</v>
      </c>
      <c r="E931" s="23">
        <f t="shared" si="145"/>
        <v>252</v>
      </c>
      <c r="F931" s="23">
        <f t="shared" si="146"/>
        <v>700</v>
      </c>
      <c r="G931" s="23">
        <f t="shared" ca="1" si="147"/>
        <v>195</v>
      </c>
      <c r="H931" s="23">
        <f t="shared" ca="1" si="148"/>
        <v>586</v>
      </c>
      <c r="I931" s="23">
        <f t="shared" ca="1" si="149"/>
        <v>363</v>
      </c>
      <c r="J931" s="23">
        <f t="shared" ca="1" si="150"/>
        <v>586</v>
      </c>
      <c r="K931" s="23">
        <f t="shared" ca="1" si="151"/>
        <v>949</v>
      </c>
      <c r="L931" s="23">
        <f t="shared" ca="1" si="144"/>
        <v>55315</v>
      </c>
    </row>
    <row r="932" spans="3:12">
      <c r="C932" s="23">
        <f t="shared" si="142"/>
        <v>420</v>
      </c>
      <c r="D932" s="23">
        <f t="shared" si="143"/>
        <v>168</v>
      </c>
      <c r="E932" s="23">
        <f t="shared" si="145"/>
        <v>252</v>
      </c>
      <c r="F932" s="23">
        <f t="shared" si="146"/>
        <v>700</v>
      </c>
      <c r="G932" s="23">
        <f t="shared" ca="1" si="147"/>
        <v>187</v>
      </c>
      <c r="H932" s="23">
        <f t="shared" ca="1" si="148"/>
        <v>702</v>
      </c>
      <c r="I932" s="23">
        <f t="shared" ca="1" si="149"/>
        <v>355</v>
      </c>
      <c r="J932" s="23">
        <f t="shared" ca="1" si="150"/>
        <v>702</v>
      </c>
      <c r="K932" s="23">
        <f t="shared" ca="1" si="151"/>
        <v>1057</v>
      </c>
      <c r="L932" s="23">
        <f t="shared" ca="1" si="144"/>
        <v>69895</v>
      </c>
    </row>
    <row r="933" spans="3:12">
      <c r="C933" s="23">
        <f t="shared" si="142"/>
        <v>420</v>
      </c>
      <c r="D933" s="23">
        <f t="shared" si="143"/>
        <v>168</v>
      </c>
      <c r="E933" s="23">
        <f t="shared" si="145"/>
        <v>252</v>
      </c>
      <c r="F933" s="23">
        <f t="shared" si="146"/>
        <v>700</v>
      </c>
      <c r="G933" s="23">
        <f t="shared" ca="1" si="147"/>
        <v>239</v>
      </c>
      <c r="H933" s="23">
        <f t="shared" ca="1" si="148"/>
        <v>683</v>
      </c>
      <c r="I933" s="23">
        <f t="shared" ca="1" si="149"/>
        <v>407</v>
      </c>
      <c r="J933" s="23">
        <f t="shared" ca="1" si="150"/>
        <v>683</v>
      </c>
      <c r="K933" s="23">
        <f t="shared" ca="1" si="151"/>
        <v>1090</v>
      </c>
      <c r="L933" s="23">
        <f t="shared" ca="1" si="144"/>
        <v>74350</v>
      </c>
    </row>
    <row r="934" spans="3:12">
      <c r="C934" s="23">
        <f t="shared" si="142"/>
        <v>420</v>
      </c>
      <c r="D934" s="23">
        <f t="shared" si="143"/>
        <v>168</v>
      </c>
      <c r="E934" s="23">
        <f t="shared" si="145"/>
        <v>252</v>
      </c>
      <c r="F934" s="23">
        <f t="shared" si="146"/>
        <v>700</v>
      </c>
      <c r="G934" s="23">
        <f t="shared" ca="1" si="147"/>
        <v>235</v>
      </c>
      <c r="H934" s="23">
        <f t="shared" ca="1" si="148"/>
        <v>611</v>
      </c>
      <c r="I934" s="23">
        <f t="shared" ca="1" si="149"/>
        <v>403</v>
      </c>
      <c r="J934" s="23">
        <f t="shared" ca="1" si="150"/>
        <v>611</v>
      </c>
      <c r="K934" s="23">
        <f t="shared" ca="1" si="151"/>
        <v>1014</v>
      </c>
      <c r="L934" s="23">
        <f t="shared" ca="1" si="144"/>
        <v>64090</v>
      </c>
    </row>
    <row r="935" spans="3:12">
      <c r="C935" s="23">
        <f t="shared" si="142"/>
        <v>420</v>
      </c>
      <c r="D935" s="23">
        <f t="shared" si="143"/>
        <v>168</v>
      </c>
      <c r="E935" s="23">
        <f t="shared" si="145"/>
        <v>252</v>
      </c>
      <c r="F935" s="23">
        <f t="shared" si="146"/>
        <v>700</v>
      </c>
      <c r="G935" s="23">
        <f t="shared" ca="1" si="147"/>
        <v>204</v>
      </c>
      <c r="H935" s="23">
        <f t="shared" ca="1" si="148"/>
        <v>583</v>
      </c>
      <c r="I935" s="23">
        <f t="shared" ca="1" si="149"/>
        <v>372</v>
      </c>
      <c r="J935" s="23">
        <f t="shared" ca="1" si="150"/>
        <v>583</v>
      </c>
      <c r="K935" s="23">
        <f t="shared" ca="1" si="151"/>
        <v>955</v>
      </c>
      <c r="L935" s="23">
        <f t="shared" ca="1" si="144"/>
        <v>56125</v>
      </c>
    </row>
    <row r="936" spans="3:12">
      <c r="C936" s="23">
        <f t="shared" si="142"/>
        <v>420</v>
      </c>
      <c r="D936" s="23">
        <f t="shared" si="143"/>
        <v>168</v>
      </c>
      <c r="E936" s="23">
        <f t="shared" si="145"/>
        <v>252</v>
      </c>
      <c r="F936" s="23">
        <f t="shared" si="146"/>
        <v>700</v>
      </c>
      <c r="G936" s="23">
        <f t="shared" ca="1" si="147"/>
        <v>245</v>
      </c>
      <c r="H936" s="23">
        <f t="shared" ca="1" si="148"/>
        <v>672</v>
      </c>
      <c r="I936" s="23">
        <f t="shared" ca="1" si="149"/>
        <v>413</v>
      </c>
      <c r="J936" s="23">
        <f t="shared" ca="1" si="150"/>
        <v>672</v>
      </c>
      <c r="K936" s="23">
        <f t="shared" ca="1" si="151"/>
        <v>1085</v>
      </c>
      <c r="L936" s="23">
        <f t="shared" ca="1" si="144"/>
        <v>73675</v>
      </c>
    </row>
    <row r="937" spans="3:12">
      <c r="C937" s="23">
        <f t="shared" si="142"/>
        <v>420</v>
      </c>
      <c r="D937" s="23">
        <f t="shared" si="143"/>
        <v>168</v>
      </c>
      <c r="E937" s="23">
        <f t="shared" si="145"/>
        <v>252</v>
      </c>
      <c r="F937" s="23">
        <f t="shared" si="146"/>
        <v>700</v>
      </c>
      <c r="G937" s="23">
        <f t="shared" ca="1" si="147"/>
        <v>201</v>
      </c>
      <c r="H937" s="23">
        <f t="shared" ca="1" si="148"/>
        <v>530</v>
      </c>
      <c r="I937" s="23">
        <f t="shared" ca="1" si="149"/>
        <v>369</v>
      </c>
      <c r="J937" s="23">
        <f t="shared" ca="1" si="150"/>
        <v>530</v>
      </c>
      <c r="K937" s="23">
        <f t="shared" ca="1" si="151"/>
        <v>899</v>
      </c>
      <c r="L937" s="23">
        <f t="shared" ca="1" si="144"/>
        <v>48565</v>
      </c>
    </row>
    <row r="938" spans="3:12">
      <c r="C938" s="23">
        <f t="shared" si="142"/>
        <v>420</v>
      </c>
      <c r="D938" s="23">
        <f t="shared" si="143"/>
        <v>168</v>
      </c>
      <c r="E938" s="23">
        <f t="shared" si="145"/>
        <v>252</v>
      </c>
      <c r="F938" s="23">
        <f t="shared" si="146"/>
        <v>700</v>
      </c>
      <c r="G938" s="23">
        <f t="shared" ca="1" si="147"/>
        <v>202</v>
      </c>
      <c r="H938" s="23">
        <f t="shared" ca="1" si="148"/>
        <v>614</v>
      </c>
      <c r="I938" s="23">
        <f t="shared" ca="1" si="149"/>
        <v>370</v>
      </c>
      <c r="J938" s="23">
        <f t="shared" ca="1" si="150"/>
        <v>614</v>
      </c>
      <c r="K938" s="23">
        <f t="shared" ca="1" si="151"/>
        <v>984</v>
      </c>
      <c r="L938" s="23">
        <f t="shared" ca="1" si="144"/>
        <v>60040</v>
      </c>
    </row>
    <row r="939" spans="3:12">
      <c r="C939" s="23">
        <f t="shared" si="142"/>
        <v>420</v>
      </c>
      <c r="D939" s="23">
        <f t="shared" si="143"/>
        <v>168</v>
      </c>
      <c r="E939" s="23">
        <f t="shared" si="145"/>
        <v>252</v>
      </c>
      <c r="F939" s="23">
        <f t="shared" si="146"/>
        <v>700</v>
      </c>
      <c r="G939" s="23">
        <f t="shared" ca="1" si="147"/>
        <v>167</v>
      </c>
      <c r="H939" s="23">
        <f t="shared" ca="1" si="148"/>
        <v>635</v>
      </c>
      <c r="I939" s="23">
        <f t="shared" ca="1" si="149"/>
        <v>335</v>
      </c>
      <c r="J939" s="23">
        <f t="shared" ca="1" si="150"/>
        <v>635</v>
      </c>
      <c r="K939" s="23">
        <f t="shared" ca="1" si="151"/>
        <v>970</v>
      </c>
      <c r="L939" s="23">
        <f t="shared" ca="1" si="144"/>
        <v>58150</v>
      </c>
    </row>
    <row r="940" spans="3:12">
      <c r="C940" s="23">
        <f t="shared" si="142"/>
        <v>420</v>
      </c>
      <c r="D940" s="23">
        <f t="shared" si="143"/>
        <v>168</v>
      </c>
      <c r="E940" s="23">
        <f t="shared" si="145"/>
        <v>252</v>
      </c>
      <c r="F940" s="23">
        <f t="shared" si="146"/>
        <v>700</v>
      </c>
      <c r="G940" s="23">
        <f t="shared" ca="1" si="147"/>
        <v>246</v>
      </c>
      <c r="H940" s="23">
        <f t="shared" ca="1" si="148"/>
        <v>590</v>
      </c>
      <c r="I940" s="23">
        <f t="shared" ca="1" si="149"/>
        <v>414</v>
      </c>
      <c r="J940" s="23">
        <f t="shared" ca="1" si="150"/>
        <v>590</v>
      </c>
      <c r="K940" s="23">
        <f t="shared" ca="1" si="151"/>
        <v>1004</v>
      </c>
      <c r="L940" s="23">
        <f t="shared" ca="1" si="144"/>
        <v>62740</v>
      </c>
    </row>
    <row r="941" spans="3:12">
      <c r="C941" s="23">
        <f t="shared" si="142"/>
        <v>420</v>
      </c>
      <c r="D941" s="23">
        <f t="shared" si="143"/>
        <v>168</v>
      </c>
      <c r="E941" s="23">
        <f t="shared" si="145"/>
        <v>252</v>
      </c>
      <c r="F941" s="23">
        <f t="shared" si="146"/>
        <v>700</v>
      </c>
      <c r="G941" s="23">
        <f t="shared" ca="1" si="147"/>
        <v>222</v>
      </c>
      <c r="H941" s="23">
        <f t="shared" ca="1" si="148"/>
        <v>717</v>
      </c>
      <c r="I941" s="23">
        <f t="shared" ca="1" si="149"/>
        <v>390</v>
      </c>
      <c r="J941" s="23">
        <f t="shared" ca="1" si="150"/>
        <v>717</v>
      </c>
      <c r="K941" s="23">
        <f t="shared" ca="1" si="151"/>
        <v>1107</v>
      </c>
      <c r="L941" s="23">
        <f t="shared" ca="1" si="144"/>
        <v>76645</v>
      </c>
    </row>
    <row r="942" spans="3:12">
      <c r="C942" s="23">
        <f t="shared" si="142"/>
        <v>420</v>
      </c>
      <c r="D942" s="23">
        <f t="shared" si="143"/>
        <v>168</v>
      </c>
      <c r="E942" s="23">
        <f t="shared" si="145"/>
        <v>252</v>
      </c>
      <c r="F942" s="23">
        <f t="shared" si="146"/>
        <v>700</v>
      </c>
      <c r="G942" s="23">
        <f t="shared" ca="1" si="147"/>
        <v>239</v>
      </c>
      <c r="H942" s="23">
        <f t="shared" ca="1" si="148"/>
        <v>735</v>
      </c>
      <c r="I942" s="23">
        <f t="shared" ca="1" si="149"/>
        <v>407</v>
      </c>
      <c r="J942" s="23">
        <f t="shared" ca="1" si="150"/>
        <v>713</v>
      </c>
      <c r="K942" s="23">
        <f t="shared" ca="1" si="151"/>
        <v>1120</v>
      </c>
      <c r="L942" s="23">
        <f t="shared" ca="1" si="144"/>
        <v>78400</v>
      </c>
    </row>
    <row r="943" spans="3:12">
      <c r="C943" s="23">
        <f t="shared" si="142"/>
        <v>420</v>
      </c>
      <c r="D943" s="23">
        <f t="shared" si="143"/>
        <v>168</v>
      </c>
      <c r="E943" s="23">
        <f t="shared" si="145"/>
        <v>252</v>
      </c>
      <c r="F943" s="23">
        <f t="shared" si="146"/>
        <v>700</v>
      </c>
      <c r="G943" s="23">
        <f t="shared" ca="1" si="147"/>
        <v>223</v>
      </c>
      <c r="H943" s="23">
        <f t="shared" ca="1" si="148"/>
        <v>662</v>
      </c>
      <c r="I943" s="23">
        <f t="shared" ca="1" si="149"/>
        <v>391</v>
      </c>
      <c r="J943" s="23">
        <f t="shared" ca="1" si="150"/>
        <v>662</v>
      </c>
      <c r="K943" s="23">
        <f t="shared" ca="1" si="151"/>
        <v>1053</v>
      </c>
      <c r="L943" s="23">
        <f t="shared" ca="1" si="144"/>
        <v>69355</v>
      </c>
    </row>
    <row r="944" spans="3:12">
      <c r="C944" s="23">
        <f t="shared" si="142"/>
        <v>420</v>
      </c>
      <c r="D944" s="23">
        <f t="shared" si="143"/>
        <v>168</v>
      </c>
      <c r="E944" s="23">
        <f t="shared" si="145"/>
        <v>252</v>
      </c>
      <c r="F944" s="23">
        <f t="shared" si="146"/>
        <v>700</v>
      </c>
      <c r="G944" s="23">
        <f t="shared" ca="1" si="147"/>
        <v>239</v>
      </c>
      <c r="H944" s="23">
        <f t="shared" ca="1" si="148"/>
        <v>672</v>
      </c>
      <c r="I944" s="23">
        <f t="shared" ca="1" si="149"/>
        <v>407</v>
      </c>
      <c r="J944" s="23">
        <f t="shared" ca="1" si="150"/>
        <v>672</v>
      </c>
      <c r="K944" s="23">
        <f t="shared" ca="1" si="151"/>
        <v>1079</v>
      </c>
      <c r="L944" s="23">
        <f t="shared" ca="1" si="144"/>
        <v>72865</v>
      </c>
    </row>
    <row r="945" spans="3:12">
      <c r="C945" s="23">
        <f t="shared" si="142"/>
        <v>420</v>
      </c>
      <c r="D945" s="23">
        <f t="shared" si="143"/>
        <v>168</v>
      </c>
      <c r="E945" s="23">
        <f t="shared" si="145"/>
        <v>252</v>
      </c>
      <c r="F945" s="23">
        <f t="shared" si="146"/>
        <v>700</v>
      </c>
      <c r="G945" s="23">
        <f t="shared" ca="1" si="147"/>
        <v>245</v>
      </c>
      <c r="H945" s="23">
        <f t="shared" ca="1" si="148"/>
        <v>605</v>
      </c>
      <c r="I945" s="23">
        <f t="shared" ca="1" si="149"/>
        <v>413</v>
      </c>
      <c r="J945" s="23">
        <f t="shared" ca="1" si="150"/>
        <v>605</v>
      </c>
      <c r="K945" s="23">
        <f t="shared" ca="1" si="151"/>
        <v>1018</v>
      </c>
      <c r="L945" s="23">
        <f t="shared" ca="1" si="144"/>
        <v>64630</v>
      </c>
    </row>
    <row r="946" spans="3:12">
      <c r="C946" s="23">
        <f t="shared" si="142"/>
        <v>420</v>
      </c>
      <c r="D946" s="23">
        <f t="shared" si="143"/>
        <v>168</v>
      </c>
      <c r="E946" s="23">
        <f t="shared" si="145"/>
        <v>252</v>
      </c>
      <c r="F946" s="23">
        <f t="shared" si="146"/>
        <v>700</v>
      </c>
      <c r="G946" s="23">
        <f t="shared" ca="1" si="147"/>
        <v>196</v>
      </c>
      <c r="H946" s="23">
        <f t="shared" ca="1" si="148"/>
        <v>654</v>
      </c>
      <c r="I946" s="23">
        <f t="shared" ca="1" si="149"/>
        <v>364</v>
      </c>
      <c r="J946" s="23">
        <f t="shared" ca="1" si="150"/>
        <v>654</v>
      </c>
      <c r="K946" s="23">
        <f t="shared" ca="1" si="151"/>
        <v>1018</v>
      </c>
      <c r="L946" s="23">
        <f t="shared" ca="1" si="144"/>
        <v>64630</v>
      </c>
    </row>
    <row r="947" spans="3:12">
      <c r="C947" s="23">
        <f t="shared" si="142"/>
        <v>420</v>
      </c>
      <c r="D947" s="23">
        <f t="shared" si="143"/>
        <v>168</v>
      </c>
      <c r="E947" s="23">
        <f t="shared" si="145"/>
        <v>252</v>
      </c>
      <c r="F947" s="23">
        <f t="shared" si="146"/>
        <v>700</v>
      </c>
      <c r="G947" s="23">
        <f t="shared" ca="1" si="147"/>
        <v>202</v>
      </c>
      <c r="H947" s="23">
        <f t="shared" ca="1" si="148"/>
        <v>643</v>
      </c>
      <c r="I947" s="23">
        <f t="shared" ca="1" si="149"/>
        <v>370</v>
      </c>
      <c r="J947" s="23">
        <f t="shared" ca="1" si="150"/>
        <v>643</v>
      </c>
      <c r="K947" s="23">
        <f t="shared" ca="1" si="151"/>
        <v>1013</v>
      </c>
      <c r="L947" s="23">
        <f t="shared" ca="1" si="144"/>
        <v>63955</v>
      </c>
    </row>
    <row r="948" spans="3:12">
      <c r="C948" s="23">
        <f t="shared" si="142"/>
        <v>420</v>
      </c>
      <c r="D948" s="23">
        <f t="shared" si="143"/>
        <v>168</v>
      </c>
      <c r="E948" s="23">
        <f t="shared" si="145"/>
        <v>252</v>
      </c>
      <c r="F948" s="23">
        <f t="shared" si="146"/>
        <v>700</v>
      </c>
      <c r="G948" s="23">
        <f t="shared" ca="1" si="147"/>
        <v>228</v>
      </c>
      <c r="H948" s="23">
        <f t="shared" ca="1" si="148"/>
        <v>613</v>
      </c>
      <c r="I948" s="23">
        <f t="shared" ca="1" si="149"/>
        <v>396</v>
      </c>
      <c r="J948" s="23">
        <f t="shared" ca="1" si="150"/>
        <v>613</v>
      </c>
      <c r="K948" s="23">
        <f t="shared" ca="1" si="151"/>
        <v>1009</v>
      </c>
      <c r="L948" s="23">
        <f t="shared" ca="1" si="144"/>
        <v>63415</v>
      </c>
    </row>
    <row r="949" spans="3:12">
      <c r="C949" s="23">
        <f t="shared" si="142"/>
        <v>420</v>
      </c>
      <c r="D949" s="23">
        <f t="shared" si="143"/>
        <v>168</v>
      </c>
      <c r="E949" s="23">
        <f t="shared" si="145"/>
        <v>252</v>
      </c>
      <c r="F949" s="23">
        <f t="shared" si="146"/>
        <v>700</v>
      </c>
      <c r="G949" s="23">
        <f t="shared" ca="1" si="147"/>
        <v>187</v>
      </c>
      <c r="H949" s="23">
        <f t="shared" ca="1" si="148"/>
        <v>786</v>
      </c>
      <c r="I949" s="23">
        <f t="shared" ca="1" si="149"/>
        <v>355</v>
      </c>
      <c r="J949" s="23">
        <f t="shared" ca="1" si="150"/>
        <v>765</v>
      </c>
      <c r="K949" s="23">
        <f t="shared" ca="1" si="151"/>
        <v>1120</v>
      </c>
      <c r="L949" s="23">
        <f t="shared" ca="1" si="144"/>
        <v>78400</v>
      </c>
    </row>
    <row r="950" spans="3:12">
      <c r="C950" s="23">
        <f t="shared" si="142"/>
        <v>420</v>
      </c>
      <c r="D950" s="23">
        <f t="shared" si="143"/>
        <v>168</v>
      </c>
      <c r="E950" s="23">
        <f t="shared" si="145"/>
        <v>252</v>
      </c>
      <c r="F950" s="23">
        <f t="shared" si="146"/>
        <v>700</v>
      </c>
      <c r="G950" s="23">
        <f t="shared" ca="1" si="147"/>
        <v>245</v>
      </c>
      <c r="H950" s="23">
        <f t="shared" ca="1" si="148"/>
        <v>523</v>
      </c>
      <c r="I950" s="23">
        <f t="shared" ca="1" si="149"/>
        <v>413</v>
      </c>
      <c r="J950" s="23">
        <f t="shared" ca="1" si="150"/>
        <v>523</v>
      </c>
      <c r="K950" s="23">
        <f t="shared" ca="1" si="151"/>
        <v>936</v>
      </c>
      <c r="L950" s="23">
        <f t="shared" ca="1" si="144"/>
        <v>53560</v>
      </c>
    </row>
    <row r="951" spans="3:12">
      <c r="C951" s="23">
        <f t="shared" si="142"/>
        <v>420</v>
      </c>
      <c r="D951" s="23">
        <f t="shared" si="143"/>
        <v>168</v>
      </c>
      <c r="E951" s="23">
        <f t="shared" si="145"/>
        <v>252</v>
      </c>
      <c r="F951" s="23">
        <f t="shared" si="146"/>
        <v>700</v>
      </c>
      <c r="G951" s="23">
        <f t="shared" ca="1" si="147"/>
        <v>199</v>
      </c>
      <c r="H951" s="23">
        <f t="shared" ca="1" si="148"/>
        <v>649</v>
      </c>
      <c r="I951" s="23">
        <f t="shared" ca="1" si="149"/>
        <v>367</v>
      </c>
      <c r="J951" s="23">
        <f t="shared" ca="1" si="150"/>
        <v>649</v>
      </c>
      <c r="K951" s="23">
        <f t="shared" ca="1" si="151"/>
        <v>1016</v>
      </c>
      <c r="L951" s="23">
        <f t="shared" ca="1" si="144"/>
        <v>64360</v>
      </c>
    </row>
    <row r="952" spans="3:12">
      <c r="C952" s="23">
        <f t="shared" si="142"/>
        <v>420</v>
      </c>
      <c r="D952" s="23">
        <f t="shared" si="143"/>
        <v>168</v>
      </c>
      <c r="E952" s="23">
        <f t="shared" si="145"/>
        <v>252</v>
      </c>
      <c r="F952" s="23">
        <f t="shared" si="146"/>
        <v>700</v>
      </c>
      <c r="G952" s="23">
        <f t="shared" ca="1" si="147"/>
        <v>218</v>
      </c>
      <c r="H952" s="23">
        <f t="shared" ca="1" si="148"/>
        <v>598</v>
      </c>
      <c r="I952" s="23">
        <f t="shared" ca="1" si="149"/>
        <v>386</v>
      </c>
      <c r="J952" s="23">
        <f t="shared" ca="1" si="150"/>
        <v>598</v>
      </c>
      <c r="K952" s="23">
        <f t="shared" ca="1" si="151"/>
        <v>984</v>
      </c>
      <c r="L952" s="23">
        <f t="shared" ca="1" si="144"/>
        <v>60040</v>
      </c>
    </row>
    <row r="953" spans="3:12">
      <c r="C953" s="23">
        <f t="shared" si="142"/>
        <v>420</v>
      </c>
      <c r="D953" s="23">
        <f t="shared" si="143"/>
        <v>168</v>
      </c>
      <c r="E953" s="23">
        <f t="shared" si="145"/>
        <v>252</v>
      </c>
      <c r="F953" s="23">
        <f t="shared" si="146"/>
        <v>700</v>
      </c>
      <c r="G953" s="23">
        <f t="shared" ca="1" si="147"/>
        <v>201</v>
      </c>
      <c r="H953" s="23">
        <f t="shared" ca="1" si="148"/>
        <v>483</v>
      </c>
      <c r="I953" s="23">
        <f t="shared" ca="1" si="149"/>
        <v>369</v>
      </c>
      <c r="J953" s="23">
        <f t="shared" ca="1" si="150"/>
        <v>483</v>
      </c>
      <c r="K953" s="23">
        <f t="shared" ca="1" si="151"/>
        <v>852</v>
      </c>
      <c r="L953" s="23">
        <f t="shared" ca="1" si="144"/>
        <v>42220</v>
      </c>
    </row>
    <row r="954" spans="3:12">
      <c r="C954" s="23">
        <f t="shared" si="142"/>
        <v>420</v>
      </c>
      <c r="D954" s="23">
        <f t="shared" si="143"/>
        <v>168</v>
      </c>
      <c r="E954" s="23">
        <f t="shared" si="145"/>
        <v>252</v>
      </c>
      <c r="F954" s="23">
        <f t="shared" si="146"/>
        <v>700</v>
      </c>
      <c r="G954" s="23">
        <f t="shared" ca="1" si="147"/>
        <v>181</v>
      </c>
      <c r="H954" s="23">
        <f t="shared" ca="1" si="148"/>
        <v>641</v>
      </c>
      <c r="I954" s="23">
        <f t="shared" ca="1" si="149"/>
        <v>349</v>
      </c>
      <c r="J954" s="23">
        <f t="shared" ca="1" si="150"/>
        <v>641</v>
      </c>
      <c r="K954" s="23">
        <f t="shared" ca="1" si="151"/>
        <v>990</v>
      </c>
      <c r="L954" s="23">
        <f t="shared" ca="1" si="144"/>
        <v>60850</v>
      </c>
    </row>
    <row r="955" spans="3:12">
      <c r="C955" s="23">
        <f t="shared" si="142"/>
        <v>420</v>
      </c>
      <c r="D955" s="23">
        <f t="shared" si="143"/>
        <v>168</v>
      </c>
      <c r="E955" s="23">
        <f t="shared" si="145"/>
        <v>252</v>
      </c>
      <c r="F955" s="23">
        <f t="shared" si="146"/>
        <v>700</v>
      </c>
      <c r="G955" s="23">
        <f t="shared" ca="1" si="147"/>
        <v>175</v>
      </c>
      <c r="H955" s="23">
        <f t="shared" ca="1" si="148"/>
        <v>733</v>
      </c>
      <c r="I955" s="23">
        <f t="shared" ca="1" si="149"/>
        <v>343</v>
      </c>
      <c r="J955" s="23">
        <f t="shared" ca="1" si="150"/>
        <v>733</v>
      </c>
      <c r="K955" s="23">
        <f t="shared" ca="1" si="151"/>
        <v>1076</v>
      </c>
      <c r="L955" s="23">
        <f t="shared" ca="1" si="144"/>
        <v>72460</v>
      </c>
    </row>
    <row r="956" spans="3:12">
      <c r="C956" s="23">
        <f t="shared" si="142"/>
        <v>420</v>
      </c>
      <c r="D956" s="23">
        <f t="shared" si="143"/>
        <v>168</v>
      </c>
      <c r="E956" s="23">
        <f t="shared" si="145"/>
        <v>252</v>
      </c>
      <c r="F956" s="23">
        <f t="shared" si="146"/>
        <v>700</v>
      </c>
      <c r="G956" s="23">
        <f t="shared" ca="1" si="147"/>
        <v>232</v>
      </c>
      <c r="H956" s="23">
        <f t="shared" ca="1" si="148"/>
        <v>710</v>
      </c>
      <c r="I956" s="23">
        <f t="shared" ca="1" si="149"/>
        <v>400</v>
      </c>
      <c r="J956" s="23">
        <f t="shared" ca="1" si="150"/>
        <v>710</v>
      </c>
      <c r="K956" s="23">
        <f t="shared" ca="1" si="151"/>
        <v>1110</v>
      </c>
      <c r="L956" s="23">
        <f t="shared" ca="1" si="144"/>
        <v>77050</v>
      </c>
    </row>
    <row r="957" spans="3:12">
      <c r="C957" s="23">
        <f t="shared" si="142"/>
        <v>420</v>
      </c>
      <c r="D957" s="23">
        <f t="shared" si="143"/>
        <v>168</v>
      </c>
      <c r="E957" s="23">
        <f t="shared" si="145"/>
        <v>252</v>
      </c>
      <c r="F957" s="23">
        <f t="shared" si="146"/>
        <v>700</v>
      </c>
      <c r="G957" s="23">
        <f t="shared" ca="1" si="147"/>
        <v>232</v>
      </c>
      <c r="H957" s="23">
        <f t="shared" ca="1" si="148"/>
        <v>545</v>
      </c>
      <c r="I957" s="23">
        <f t="shared" ca="1" si="149"/>
        <v>400</v>
      </c>
      <c r="J957" s="23">
        <f t="shared" ca="1" si="150"/>
        <v>545</v>
      </c>
      <c r="K957" s="23">
        <f t="shared" ca="1" si="151"/>
        <v>945</v>
      </c>
      <c r="L957" s="23">
        <f t="shared" ca="1" si="144"/>
        <v>54775</v>
      </c>
    </row>
    <row r="958" spans="3:12">
      <c r="C958" s="23">
        <f t="shared" si="142"/>
        <v>420</v>
      </c>
      <c r="D958" s="23">
        <f t="shared" si="143"/>
        <v>168</v>
      </c>
      <c r="E958" s="23">
        <f t="shared" si="145"/>
        <v>252</v>
      </c>
      <c r="F958" s="23">
        <f t="shared" si="146"/>
        <v>700</v>
      </c>
      <c r="G958" s="23">
        <f t="shared" ca="1" si="147"/>
        <v>207</v>
      </c>
      <c r="H958" s="23">
        <f t="shared" ca="1" si="148"/>
        <v>622</v>
      </c>
      <c r="I958" s="23">
        <f t="shared" ca="1" si="149"/>
        <v>375</v>
      </c>
      <c r="J958" s="23">
        <f t="shared" ca="1" si="150"/>
        <v>622</v>
      </c>
      <c r="K958" s="23">
        <f t="shared" ca="1" si="151"/>
        <v>997</v>
      </c>
      <c r="L958" s="23">
        <f t="shared" ca="1" si="144"/>
        <v>61795</v>
      </c>
    </row>
    <row r="959" spans="3:12">
      <c r="C959" s="23">
        <f t="shared" si="142"/>
        <v>420</v>
      </c>
      <c r="D959" s="23">
        <f t="shared" si="143"/>
        <v>168</v>
      </c>
      <c r="E959" s="23">
        <f t="shared" si="145"/>
        <v>252</v>
      </c>
      <c r="F959" s="23">
        <f t="shared" si="146"/>
        <v>700</v>
      </c>
      <c r="G959" s="23">
        <f t="shared" ca="1" si="147"/>
        <v>251</v>
      </c>
      <c r="H959" s="23">
        <f t="shared" ca="1" si="148"/>
        <v>714</v>
      </c>
      <c r="I959" s="23">
        <f t="shared" ca="1" si="149"/>
        <v>419</v>
      </c>
      <c r="J959" s="23">
        <f t="shared" ca="1" si="150"/>
        <v>701</v>
      </c>
      <c r="K959" s="23">
        <f t="shared" ca="1" si="151"/>
        <v>1120</v>
      </c>
      <c r="L959" s="23">
        <f t="shared" ca="1" si="144"/>
        <v>78400</v>
      </c>
    </row>
    <row r="960" spans="3:12">
      <c r="C960" s="23">
        <f t="shared" si="142"/>
        <v>420</v>
      </c>
      <c r="D960" s="23">
        <f t="shared" si="143"/>
        <v>168</v>
      </c>
      <c r="E960" s="23">
        <f t="shared" si="145"/>
        <v>252</v>
      </c>
      <c r="F960" s="23">
        <f t="shared" si="146"/>
        <v>700</v>
      </c>
      <c r="G960" s="23">
        <f t="shared" ca="1" si="147"/>
        <v>199</v>
      </c>
      <c r="H960" s="23">
        <f t="shared" ca="1" si="148"/>
        <v>550</v>
      </c>
      <c r="I960" s="23">
        <f t="shared" ca="1" si="149"/>
        <v>367</v>
      </c>
      <c r="J960" s="23">
        <f t="shared" ca="1" si="150"/>
        <v>550</v>
      </c>
      <c r="K960" s="23">
        <f t="shared" ca="1" si="151"/>
        <v>917</v>
      </c>
      <c r="L960" s="23">
        <f t="shared" ca="1" si="144"/>
        <v>50995</v>
      </c>
    </row>
    <row r="961" spans="3:12">
      <c r="C961" s="23">
        <f t="shared" si="142"/>
        <v>420</v>
      </c>
      <c r="D961" s="23">
        <f t="shared" si="143"/>
        <v>168</v>
      </c>
      <c r="E961" s="23">
        <f t="shared" si="145"/>
        <v>252</v>
      </c>
      <c r="F961" s="23">
        <f t="shared" si="146"/>
        <v>700</v>
      </c>
      <c r="G961" s="23">
        <f t="shared" ca="1" si="147"/>
        <v>207</v>
      </c>
      <c r="H961" s="23">
        <f t="shared" ca="1" si="148"/>
        <v>586</v>
      </c>
      <c r="I961" s="23">
        <f t="shared" ca="1" si="149"/>
        <v>375</v>
      </c>
      <c r="J961" s="23">
        <f t="shared" ca="1" si="150"/>
        <v>586</v>
      </c>
      <c r="K961" s="23">
        <f t="shared" ca="1" si="151"/>
        <v>961</v>
      </c>
      <c r="L961" s="23">
        <f t="shared" ca="1" si="144"/>
        <v>56935</v>
      </c>
    </row>
    <row r="962" spans="3:12">
      <c r="C962" s="23">
        <f t="shared" si="142"/>
        <v>420</v>
      </c>
      <c r="D962" s="23">
        <f t="shared" si="143"/>
        <v>168</v>
      </c>
      <c r="E962" s="23">
        <f t="shared" si="145"/>
        <v>252</v>
      </c>
      <c r="F962" s="23">
        <f t="shared" si="146"/>
        <v>700</v>
      </c>
      <c r="G962" s="23">
        <f t="shared" ca="1" si="147"/>
        <v>219</v>
      </c>
      <c r="H962" s="23">
        <f t="shared" ca="1" si="148"/>
        <v>584</v>
      </c>
      <c r="I962" s="23">
        <f t="shared" ca="1" si="149"/>
        <v>387</v>
      </c>
      <c r="J962" s="23">
        <f t="shared" ca="1" si="150"/>
        <v>584</v>
      </c>
      <c r="K962" s="23">
        <f t="shared" ca="1" si="151"/>
        <v>971</v>
      </c>
      <c r="L962" s="23">
        <f t="shared" ca="1" si="144"/>
        <v>58285</v>
      </c>
    </row>
    <row r="963" spans="3:12">
      <c r="C963" s="23">
        <f t="shared" si="142"/>
        <v>420</v>
      </c>
      <c r="D963" s="23">
        <f t="shared" si="143"/>
        <v>168</v>
      </c>
      <c r="E963" s="23">
        <f t="shared" si="145"/>
        <v>252</v>
      </c>
      <c r="F963" s="23">
        <f t="shared" si="146"/>
        <v>700</v>
      </c>
      <c r="G963" s="23">
        <f t="shared" ca="1" si="147"/>
        <v>207</v>
      </c>
      <c r="H963" s="23">
        <f t="shared" ca="1" si="148"/>
        <v>602</v>
      </c>
      <c r="I963" s="23">
        <f t="shared" ca="1" si="149"/>
        <v>375</v>
      </c>
      <c r="J963" s="23">
        <f t="shared" ca="1" si="150"/>
        <v>602</v>
      </c>
      <c r="K963" s="23">
        <f t="shared" ca="1" si="151"/>
        <v>977</v>
      </c>
      <c r="L963" s="23">
        <f t="shared" ca="1" si="144"/>
        <v>59095</v>
      </c>
    </row>
    <row r="964" spans="3:12">
      <c r="C964" s="23">
        <f t="shared" si="142"/>
        <v>420</v>
      </c>
      <c r="D964" s="23">
        <f t="shared" si="143"/>
        <v>168</v>
      </c>
      <c r="E964" s="23">
        <f t="shared" si="145"/>
        <v>252</v>
      </c>
      <c r="F964" s="23">
        <f t="shared" si="146"/>
        <v>700</v>
      </c>
      <c r="G964" s="23">
        <f t="shared" ca="1" si="147"/>
        <v>183</v>
      </c>
      <c r="H964" s="23">
        <f t="shared" ca="1" si="148"/>
        <v>608</v>
      </c>
      <c r="I964" s="23">
        <f t="shared" ca="1" si="149"/>
        <v>351</v>
      </c>
      <c r="J964" s="23">
        <f t="shared" ca="1" si="150"/>
        <v>608</v>
      </c>
      <c r="K964" s="23">
        <f t="shared" ca="1" si="151"/>
        <v>959</v>
      </c>
      <c r="L964" s="23">
        <f t="shared" ca="1" si="144"/>
        <v>56665</v>
      </c>
    </row>
    <row r="965" spans="3:12">
      <c r="C965" s="23">
        <f t="shared" si="142"/>
        <v>420</v>
      </c>
      <c r="D965" s="23">
        <f t="shared" si="143"/>
        <v>168</v>
      </c>
      <c r="E965" s="23">
        <f t="shared" si="145"/>
        <v>252</v>
      </c>
      <c r="F965" s="23">
        <f t="shared" si="146"/>
        <v>700</v>
      </c>
      <c r="G965" s="23">
        <f t="shared" ca="1" si="147"/>
        <v>188</v>
      </c>
      <c r="H965" s="23">
        <f t="shared" ca="1" si="148"/>
        <v>600</v>
      </c>
      <c r="I965" s="23">
        <f t="shared" ca="1" si="149"/>
        <v>356</v>
      </c>
      <c r="J965" s="23">
        <f t="shared" ca="1" si="150"/>
        <v>600</v>
      </c>
      <c r="K965" s="23">
        <f t="shared" ca="1" si="151"/>
        <v>956</v>
      </c>
      <c r="L965" s="23">
        <f t="shared" ca="1" si="144"/>
        <v>56260</v>
      </c>
    </row>
    <row r="966" spans="3:12">
      <c r="C966" s="23">
        <f t="shared" si="142"/>
        <v>420</v>
      </c>
      <c r="D966" s="23">
        <f t="shared" si="143"/>
        <v>168</v>
      </c>
      <c r="E966" s="23">
        <f t="shared" si="145"/>
        <v>252</v>
      </c>
      <c r="F966" s="23">
        <f t="shared" si="146"/>
        <v>700</v>
      </c>
      <c r="G966" s="23">
        <f t="shared" ca="1" si="147"/>
        <v>209</v>
      </c>
      <c r="H966" s="23">
        <f t="shared" ca="1" si="148"/>
        <v>693</v>
      </c>
      <c r="I966" s="23">
        <f t="shared" ca="1" si="149"/>
        <v>377</v>
      </c>
      <c r="J966" s="23">
        <f t="shared" ca="1" si="150"/>
        <v>693</v>
      </c>
      <c r="K966" s="23">
        <f t="shared" ca="1" si="151"/>
        <v>1070</v>
      </c>
      <c r="L966" s="23">
        <f t="shared" ca="1" si="144"/>
        <v>71650</v>
      </c>
    </row>
    <row r="967" spans="3:12">
      <c r="C967" s="23">
        <f t="shared" si="142"/>
        <v>420</v>
      </c>
      <c r="D967" s="23">
        <f t="shared" si="143"/>
        <v>168</v>
      </c>
      <c r="E967" s="23">
        <f t="shared" si="145"/>
        <v>252</v>
      </c>
      <c r="F967" s="23">
        <f t="shared" si="146"/>
        <v>700</v>
      </c>
      <c r="G967" s="23">
        <f t="shared" ca="1" si="147"/>
        <v>205</v>
      </c>
      <c r="H967" s="23">
        <f t="shared" ca="1" si="148"/>
        <v>616</v>
      </c>
      <c r="I967" s="23">
        <f t="shared" ca="1" si="149"/>
        <v>373</v>
      </c>
      <c r="J967" s="23">
        <f t="shared" ca="1" si="150"/>
        <v>616</v>
      </c>
      <c r="K967" s="23">
        <f t="shared" ca="1" si="151"/>
        <v>989</v>
      </c>
      <c r="L967" s="23">
        <f t="shared" ca="1" si="144"/>
        <v>60715</v>
      </c>
    </row>
    <row r="968" spans="3:12">
      <c r="C968" s="23">
        <f t="shared" si="142"/>
        <v>420</v>
      </c>
      <c r="D968" s="23">
        <f t="shared" si="143"/>
        <v>168</v>
      </c>
      <c r="E968" s="23">
        <f t="shared" si="145"/>
        <v>252</v>
      </c>
      <c r="F968" s="23">
        <f t="shared" si="146"/>
        <v>700</v>
      </c>
      <c r="G968" s="23">
        <f t="shared" ca="1" si="147"/>
        <v>212</v>
      </c>
      <c r="H968" s="23">
        <f t="shared" ca="1" si="148"/>
        <v>667</v>
      </c>
      <c r="I968" s="23">
        <f t="shared" ca="1" si="149"/>
        <v>380</v>
      </c>
      <c r="J968" s="23">
        <f t="shared" ca="1" si="150"/>
        <v>667</v>
      </c>
      <c r="K968" s="23">
        <f t="shared" ca="1" si="151"/>
        <v>1047</v>
      </c>
      <c r="L968" s="23">
        <f t="shared" ca="1" si="144"/>
        <v>68545</v>
      </c>
    </row>
    <row r="969" spans="3:12">
      <c r="C969" s="23">
        <f t="shared" si="142"/>
        <v>420</v>
      </c>
      <c r="D969" s="23">
        <f t="shared" si="143"/>
        <v>168</v>
      </c>
      <c r="E969" s="23">
        <f t="shared" si="145"/>
        <v>252</v>
      </c>
      <c r="F969" s="23">
        <f t="shared" si="146"/>
        <v>700</v>
      </c>
      <c r="G969" s="23">
        <f t="shared" ca="1" si="147"/>
        <v>195</v>
      </c>
      <c r="H969" s="23">
        <f t="shared" ca="1" si="148"/>
        <v>630</v>
      </c>
      <c r="I969" s="23">
        <f t="shared" ca="1" si="149"/>
        <v>363</v>
      </c>
      <c r="J969" s="23">
        <f t="shared" ca="1" si="150"/>
        <v>630</v>
      </c>
      <c r="K969" s="23">
        <f t="shared" ca="1" si="151"/>
        <v>993</v>
      </c>
      <c r="L969" s="23">
        <f t="shared" ca="1" si="144"/>
        <v>61255</v>
      </c>
    </row>
    <row r="970" spans="3:12">
      <c r="C970" s="23">
        <f t="shared" si="142"/>
        <v>420</v>
      </c>
      <c r="D970" s="23">
        <f t="shared" si="143"/>
        <v>168</v>
      </c>
      <c r="E970" s="23">
        <f t="shared" si="145"/>
        <v>252</v>
      </c>
      <c r="F970" s="23">
        <f t="shared" si="146"/>
        <v>700</v>
      </c>
      <c r="G970" s="23">
        <f t="shared" ca="1" si="147"/>
        <v>192</v>
      </c>
      <c r="H970" s="23">
        <f t="shared" ca="1" si="148"/>
        <v>688</v>
      </c>
      <c r="I970" s="23">
        <f t="shared" ca="1" si="149"/>
        <v>360</v>
      </c>
      <c r="J970" s="23">
        <f t="shared" ca="1" si="150"/>
        <v>688</v>
      </c>
      <c r="K970" s="23">
        <f t="shared" ca="1" si="151"/>
        <v>1048</v>
      </c>
      <c r="L970" s="23">
        <f t="shared" ca="1" si="144"/>
        <v>68680</v>
      </c>
    </row>
    <row r="971" spans="3:12">
      <c r="C971" s="23">
        <f t="shared" si="142"/>
        <v>420</v>
      </c>
      <c r="D971" s="23">
        <f t="shared" si="143"/>
        <v>168</v>
      </c>
      <c r="E971" s="23">
        <f t="shared" si="145"/>
        <v>252</v>
      </c>
      <c r="F971" s="23">
        <f t="shared" si="146"/>
        <v>700</v>
      </c>
      <c r="G971" s="23">
        <f t="shared" ca="1" si="147"/>
        <v>211</v>
      </c>
      <c r="H971" s="23">
        <f t="shared" ca="1" si="148"/>
        <v>644</v>
      </c>
      <c r="I971" s="23">
        <f t="shared" ca="1" si="149"/>
        <v>379</v>
      </c>
      <c r="J971" s="23">
        <f t="shared" ca="1" si="150"/>
        <v>644</v>
      </c>
      <c r="K971" s="23">
        <f t="shared" ca="1" si="151"/>
        <v>1023</v>
      </c>
      <c r="L971" s="23">
        <f t="shared" ca="1" si="144"/>
        <v>65305</v>
      </c>
    </row>
    <row r="972" spans="3:12">
      <c r="C972" s="23">
        <f t="shared" ref="C972:C1035" si="152">$B$4</f>
        <v>420</v>
      </c>
      <c r="D972" s="23">
        <f t="shared" ref="D972:D1035" si="153">$B$5</f>
        <v>168</v>
      </c>
      <c r="E972" s="23">
        <f t="shared" si="145"/>
        <v>252</v>
      </c>
      <c r="F972" s="23">
        <f t="shared" si="146"/>
        <v>700</v>
      </c>
      <c r="G972" s="23">
        <f t="shared" ca="1" si="147"/>
        <v>215</v>
      </c>
      <c r="H972" s="23">
        <f t="shared" ca="1" si="148"/>
        <v>662</v>
      </c>
      <c r="I972" s="23">
        <f t="shared" ca="1" si="149"/>
        <v>383</v>
      </c>
      <c r="J972" s="23">
        <f t="shared" ca="1" si="150"/>
        <v>662</v>
      </c>
      <c r="K972" s="23">
        <f t="shared" ca="1" si="151"/>
        <v>1045</v>
      </c>
      <c r="L972" s="23">
        <f t="shared" ref="L972:L1035" ca="1" si="154">K972*$B$2-(F972+C972)*$B$1</f>
        <v>68275</v>
      </c>
    </row>
    <row r="973" spans="3:12">
      <c r="C973" s="23">
        <f t="shared" si="152"/>
        <v>420</v>
      </c>
      <c r="D973" s="23">
        <f t="shared" si="153"/>
        <v>168</v>
      </c>
      <c r="E973" s="23">
        <f t="shared" ref="E973:E1036" si="155">MAX(0,C973-D973)</f>
        <v>252</v>
      </c>
      <c r="F973" s="23">
        <f t="shared" ref="F973:F1036" si="156">$E$8</f>
        <v>700</v>
      </c>
      <c r="G973" s="23">
        <f t="shared" ref="G973:G1036" ca="1" si="157">_xlfn.FLOOR.MATH(MAX(0,_xlfn.NORM.INV(RAND(),$B$6*$B$8,$B$3*($B$8+0.0001))))</f>
        <v>203</v>
      </c>
      <c r="H973" s="23">
        <f t="shared" ref="H973:H1036" ca="1" si="158">_xlfn.FLOOR.MATH(MAX(0,_xlfn.NORM.INV(RAND(),$B$6*(1-$B$8),$B$3*(1.00001-$B$8))))</f>
        <v>554</v>
      </c>
      <c r="I973" s="23">
        <f t="shared" ref="I973:I1036" ca="1" si="159">MIN(C973,D973+G973)</f>
        <v>371</v>
      </c>
      <c r="J973" s="23">
        <f t="shared" ref="J973:J1036" ca="1" si="160">MIN(C973-I973+F973,H973)</f>
        <v>554</v>
      </c>
      <c r="K973" s="23">
        <f t="shared" ref="K973:K1036" ca="1" si="161">I973+J973</f>
        <v>925</v>
      </c>
      <c r="L973" s="23">
        <f t="shared" ca="1" si="154"/>
        <v>52075</v>
      </c>
    </row>
    <row r="974" spans="3:12">
      <c r="C974" s="23">
        <f t="shared" si="152"/>
        <v>420</v>
      </c>
      <c r="D974" s="23">
        <f t="shared" si="153"/>
        <v>168</v>
      </c>
      <c r="E974" s="23">
        <f t="shared" si="155"/>
        <v>252</v>
      </c>
      <c r="F974" s="23">
        <f t="shared" si="156"/>
        <v>700</v>
      </c>
      <c r="G974" s="23">
        <f t="shared" ca="1" si="157"/>
        <v>260</v>
      </c>
      <c r="H974" s="23">
        <f t="shared" ca="1" si="158"/>
        <v>646</v>
      </c>
      <c r="I974" s="23">
        <f t="shared" ca="1" si="159"/>
        <v>420</v>
      </c>
      <c r="J974" s="23">
        <f t="shared" ca="1" si="160"/>
        <v>646</v>
      </c>
      <c r="K974" s="23">
        <f t="shared" ca="1" si="161"/>
        <v>1066</v>
      </c>
      <c r="L974" s="23">
        <f t="shared" ca="1" si="154"/>
        <v>71110</v>
      </c>
    </row>
    <row r="975" spans="3:12">
      <c r="C975" s="23">
        <f t="shared" si="152"/>
        <v>420</v>
      </c>
      <c r="D975" s="23">
        <f t="shared" si="153"/>
        <v>168</v>
      </c>
      <c r="E975" s="23">
        <f t="shared" si="155"/>
        <v>252</v>
      </c>
      <c r="F975" s="23">
        <f t="shared" si="156"/>
        <v>700</v>
      </c>
      <c r="G975" s="23">
        <f t="shared" ca="1" si="157"/>
        <v>199</v>
      </c>
      <c r="H975" s="23">
        <f t="shared" ca="1" si="158"/>
        <v>556</v>
      </c>
      <c r="I975" s="23">
        <f t="shared" ca="1" si="159"/>
        <v>367</v>
      </c>
      <c r="J975" s="23">
        <f t="shared" ca="1" si="160"/>
        <v>556</v>
      </c>
      <c r="K975" s="23">
        <f t="shared" ca="1" si="161"/>
        <v>923</v>
      </c>
      <c r="L975" s="23">
        <f t="shared" ca="1" si="154"/>
        <v>51805</v>
      </c>
    </row>
    <row r="976" spans="3:12">
      <c r="C976" s="23">
        <f t="shared" si="152"/>
        <v>420</v>
      </c>
      <c r="D976" s="23">
        <f t="shared" si="153"/>
        <v>168</v>
      </c>
      <c r="E976" s="23">
        <f t="shared" si="155"/>
        <v>252</v>
      </c>
      <c r="F976" s="23">
        <f t="shared" si="156"/>
        <v>700</v>
      </c>
      <c r="G976" s="23">
        <f t="shared" ca="1" si="157"/>
        <v>193</v>
      </c>
      <c r="H976" s="23">
        <f t="shared" ca="1" si="158"/>
        <v>620</v>
      </c>
      <c r="I976" s="23">
        <f t="shared" ca="1" si="159"/>
        <v>361</v>
      </c>
      <c r="J976" s="23">
        <f t="shared" ca="1" si="160"/>
        <v>620</v>
      </c>
      <c r="K976" s="23">
        <f t="shared" ca="1" si="161"/>
        <v>981</v>
      </c>
      <c r="L976" s="23">
        <f t="shared" ca="1" si="154"/>
        <v>59635</v>
      </c>
    </row>
    <row r="977" spans="3:12">
      <c r="C977" s="23">
        <f t="shared" si="152"/>
        <v>420</v>
      </c>
      <c r="D977" s="23">
        <f t="shared" si="153"/>
        <v>168</v>
      </c>
      <c r="E977" s="23">
        <f t="shared" si="155"/>
        <v>252</v>
      </c>
      <c r="F977" s="23">
        <f t="shared" si="156"/>
        <v>700</v>
      </c>
      <c r="G977" s="23">
        <f t="shared" ca="1" si="157"/>
        <v>227</v>
      </c>
      <c r="H977" s="23">
        <f t="shared" ca="1" si="158"/>
        <v>594</v>
      </c>
      <c r="I977" s="23">
        <f t="shared" ca="1" si="159"/>
        <v>395</v>
      </c>
      <c r="J977" s="23">
        <f t="shared" ca="1" si="160"/>
        <v>594</v>
      </c>
      <c r="K977" s="23">
        <f t="shared" ca="1" si="161"/>
        <v>989</v>
      </c>
      <c r="L977" s="23">
        <f t="shared" ca="1" si="154"/>
        <v>60715</v>
      </c>
    </row>
    <row r="978" spans="3:12">
      <c r="C978" s="23">
        <f t="shared" si="152"/>
        <v>420</v>
      </c>
      <c r="D978" s="23">
        <f t="shared" si="153"/>
        <v>168</v>
      </c>
      <c r="E978" s="23">
        <f t="shared" si="155"/>
        <v>252</v>
      </c>
      <c r="F978" s="23">
        <f t="shared" si="156"/>
        <v>700</v>
      </c>
      <c r="G978" s="23">
        <f t="shared" ca="1" si="157"/>
        <v>239</v>
      </c>
      <c r="H978" s="23">
        <f t="shared" ca="1" si="158"/>
        <v>648</v>
      </c>
      <c r="I978" s="23">
        <f t="shared" ca="1" si="159"/>
        <v>407</v>
      </c>
      <c r="J978" s="23">
        <f t="shared" ca="1" si="160"/>
        <v>648</v>
      </c>
      <c r="K978" s="23">
        <f t="shared" ca="1" si="161"/>
        <v>1055</v>
      </c>
      <c r="L978" s="23">
        <f t="shared" ca="1" si="154"/>
        <v>69625</v>
      </c>
    </row>
    <row r="979" spans="3:12">
      <c r="C979" s="23">
        <f t="shared" si="152"/>
        <v>420</v>
      </c>
      <c r="D979" s="23">
        <f t="shared" si="153"/>
        <v>168</v>
      </c>
      <c r="E979" s="23">
        <f t="shared" si="155"/>
        <v>252</v>
      </c>
      <c r="F979" s="23">
        <f t="shared" si="156"/>
        <v>700</v>
      </c>
      <c r="G979" s="23">
        <f t="shared" ca="1" si="157"/>
        <v>211</v>
      </c>
      <c r="H979" s="23">
        <f t="shared" ca="1" si="158"/>
        <v>641</v>
      </c>
      <c r="I979" s="23">
        <f t="shared" ca="1" si="159"/>
        <v>379</v>
      </c>
      <c r="J979" s="23">
        <f t="shared" ca="1" si="160"/>
        <v>641</v>
      </c>
      <c r="K979" s="23">
        <f t="shared" ca="1" si="161"/>
        <v>1020</v>
      </c>
      <c r="L979" s="23">
        <f t="shared" ca="1" si="154"/>
        <v>64900</v>
      </c>
    </row>
    <row r="980" spans="3:12">
      <c r="C980" s="23">
        <f t="shared" si="152"/>
        <v>420</v>
      </c>
      <c r="D980" s="23">
        <f t="shared" si="153"/>
        <v>168</v>
      </c>
      <c r="E980" s="23">
        <f t="shared" si="155"/>
        <v>252</v>
      </c>
      <c r="F980" s="23">
        <f t="shared" si="156"/>
        <v>700</v>
      </c>
      <c r="G980" s="23">
        <f t="shared" ca="1" si="157"/>
        <v>203</v>
      </c>
      <c r="H980" s="23">
        <f t="shared" ca="1" si="158"/>
        <v>693</v>
      </c>
      <c r="I980" s="23">
        <f t="shared" ca="1" si="159"/>
        <v>371</v>
      </c>
      <c r="J980" s="23">
        <f t="shared" ca="1" si="160"/>
        <v>693</v>
      </c>
      <c r="K980" s="23">
        <f t="shared" ca="1" si="161"/>
        <v>1064</v>
      </c>
      <c r="L980" s="23">
        <f t="shared" ca="1" si="154"/>
        <v>70840</v>
      </c>
    </row>
    <row r="981" spans="3:12">
      <c r="C981" s="23">
        <f t="shared" si="152"/>
        <v>420</v>
      </c>
      <c r="D981" s="23">
        <f t="shared" si="153"/>
        <v>168</v>
      </c>
      <c r="E981" s="23">
        <f t="shared" si="155"/>
        <v>252</v>
      </c>
      <c r="F981" s="23">
        <f t="shared" si="156"/>
        <v>700</v>
      </c>
      <c r="G981" s="23">
        <f t="shared" ca="1" si="157"/>
        <v>256</v>
      </c>
      <c r="H981" s="23">
        <f t="shared" ca="1" si="158"/>
        <v>740</v>
      </c>
      <c r="I981" s="23">
        <f t="shared" ca="1" si="159"/>
        <v>420</v>
      </c>
      <c r="J981" s="23">
        <f t="shared" ca="1" si="160"/>
        <v>700</v>
      </c>
      <c r="K981" s="23">
        <f t="shared" ca="1" si="161"/>
        <v>1120</v>
      </c>
      <c r="L981" s="23">
        <f t="shared" ca="1" si="154"/>
        <v>78400</v>
      </c>
    </row>
    <row r="982" spans="3:12">
      <c r="C982" s="23">
        <f t="shared" si="152"/>
        <v>420</v>
      </c>
      <c r="D982" s="23">
        <f t="shared" si="153"/>
        <v>168</v>
      </c>
      <c r="E982" s="23">
        <f t="shared" si="155"/>
        <v>252</v>
      </c>
      <c r="F982" s="23">
        <f t="shared" si="156"/>
        <v>700</v>
      </c>
      <c r="G982" s="23">
        <f t="shared" ca="1" si="157"/>
        <v>227</v>
      </c>
      <c r="H982" s="23">
        <f t="shared" ca="1" si="158"/>
        <v>682</v>
      </c>
      <c r="I982" s="23">
        <f t="shared" ca="1" si="159"/>
        <v>395</v>
      </c>
      <c r="J982" s="23">
        <f t="shared" ca="1" si="160"/>
        <v>682</v>
      </c>
      <c r="K982" s="23">
        <f t="shared" ca="1" si="161"/>
        <v>1077</v>
      </c>
      <c r="L982" s="23">
        <f t="shared" ca="1" si="154"/>
        <v>72595</v>
      </c>
    </row>
    <row r="983" spans="3:12">
      <c r="C983" s="23">
        <f t="shared" si="152"/>
        <v>420</v>
      </c>
      <c r="D983" s="23">
        <f t="shared" si="153"/>
        <v>168</v>
      </c>
      <c r="E983" s="23">
        <f t="shared" si="155"/>
        <v>252</v>
      </c>
      <c r="F983" s="23">
        <f t="shared" si="156"/>
        <v>700</v>
      </c>
      <c r="G983" s="23">
        <f t="shared" ca="1" si="157"/>
        <v>193</v>
      </c>
      <c r="H983" s="23">
        <f t="shared" ca="1" si="158"/>
        <v>673</v>
      </c>
      <c r="I983" s="23">
        <f t="shared" ca="1" si="159"/>
        <v>361</v>
      </c>
      <c r="J983" s="23">
        <f t="shared" ca="1" si="160"/>
        <v>673</v>
      </c>
      <c r="K983" s="23">
        <f t="shared" ca="1" si="161"/>
        <v>1034</v>
      </c>
      <c r="L983" s="23">
        <f t="shared" ca="1" si="154"/>
        <v>66790</v>
      </c>
    </row>
    <row r="984" spans="3:12">
      <c r="C984" s="23">
        <f t="shared" si="152"/>
        <v>420</v>
      </c>
      <c r="D984" s="23">
        <f t="shared" si="153"/>
        <v>168</v>
      </c>
      <c r="E984" s="23">
        <f t="shared" si="155"/>
        <v>252</v>
      </c>
      <c r="F984" s="23">
        <f t="shared" si="156"/>
        <v>700</v>
      </c>
      <c r="G984" s="23">
        <f t="shared" ca="1" si="157"/>
        <v>164</v>
      </c>
      <c r="H984" s="23">
        <f t="shared" ca="1" si="158"/>
        <v>681</v>
      </c>
      <c r="I984" s="23">
        <f t="shared" ca="1" si="159"/>
        <v>332</v>
      </c>
      <c r="J984" s="23">
        <f t="shared" ca="1" si="160"/>
        <v>681</v>
      </c>
      <c r="K984" s="23">
        <f t="shared" ca="1" si="161"/>
        <v>1013</v>
      </c>
      <c r="L984" s="23">
        <f t="shared" ca="1" si="154"/>
        <v>63955</v>
      </c>
    </row>
    <row r="985" spans="3:12">
      <c r="C985" s="23">
        <f t="shared" si="152"/>
        <v>420</v>
      </c>
      <c r="D985" s="23">
        <f t="shared" si="153"/>
        <v>168</v>
      </c>
      <c r="E985" s="23">
        <f t="shared" si="155"/>
        <v>252</v>
      </c>
      <c r="F985" s="23">
        <f t="shared" si="156"/>
        <v>700</v>
      </c>
      <c r="G985" s="23">
        <f t="shared" ca="1" si="157"/>
        <v>234</v>
      </c>
      <c r="H985" s="23">
        <f t="shared" ca="1" si="158"/>
        <v>575</v>
      </c>
      <c r="I985" s="23">
        <f t="shared" ca="1" si="159"/>
        <v>402</v>
      </c>
      <c r="J985" s="23">
        <f t="shared" ca="1" si="160"/>
        <v>575</v>
      </c>
      <c r="K985" s="23">
        <f t="shared" ca="1" si="161"/>
        <v>977</v>
      </c>
      <c r="L985" s="23">
        <f t="shared" ca="1" si="154"/>
        <v>59095</v>
      </c>
    </row>
    <row r="986" spans="3:12">
      <c r="C986" s="23">
        <f t="shared" si="152"/>
        <v>420</v>
      </c>
      <c r="D986" s="23">
        <f t="shared" si="153"/>
        <v>168</v>
      </c>
      <c r="E986" s="23">
        <f t="shared" si="155"/>
        <v>252</v>
      </c>
      <c r="F986" s="23">
        <f t="shared" si="156"/>
        <v>700</v>
      </c>
      <c r="G986" s="23">
        <f t="shared" ca="1" si="157"/>
        <v>198</v>
      </c>
      <c r="H986" s="23">
        <f t="shared" ca="1" si="158"/>
        <v>579</v>
      </c>
      <c r="I986" s="23">
        <f t="shared" ca="1" si="159"/>
        <v>366</v>
      </c>
      <c r="J986" s="23">
        <f t="shared" ca="1" si="160"/>
        <v>579</v>
      </c>
      <c r="K986" s="23">
        <f t="shared" ca="1" si="161"/>
        <v>945</v>
      </c>
      <c r="L986" s="23">
        <f t="shared" ca="1" si="154"/>
        <v>54775</v>
      </c>
    </row>
    <row r="987" spans="3:12">
      <c r="C987" s="23">
        <f t="shared" si="152"/>
        <v>420</v>
      </c>
      <c r="D987" s="23">
        <f t="shared" si="153"/>
        <v>168</v>
      </c>
      <c r="E987" s="23">
        <f t="shared" si="155"/>
        <v>252</v>
      </c>
      <c r="F987" s="23">
        <f t="shared" si="156"/>
        <v>700</v>
      </c>
      <c r="G987" s="23">
        <f t="shared" ca="1" si="157"/>
        <v>217</v>
      </c>
      <c r="H987" s="23">
        <f t="shared" ca="1" si="158"/>
        <v>592</v>
      </c>
      <c r="I987" s="23">
        <f t="shared" ca="1" si="159"/>
        <v>385</v>
      </c>
      <c r="J987" s="23">
        <f t="shared" ca="1" si="160"/>
        <v>592</v>
      </c>
      <c r="K987" s="23">
        <f t="shared" ca="1" si="161"/>
        <v>977</v>
      </c>
      <c r="L987" s="23">
        <f t="shared" ca="1" si="154"/>
        <v>59095</v>
      </c>
    </row>
    <row r="988" spans="3:12">
      <c r="C988" s="23">
        <f t="shared" si="152"/>
        <v>420</v>
      </c>
      <c r="D988" s="23">
        <f t="shared" si="153"/>
        <v>168</v>
      </c>
      <c r="E988" s="23">
        <f t="shared" si="155"/>
        <v>252</v>
      </c>
      <c r="F988" s="23">
        <f t="shared" si="156"/>
        <v>700</v>
      </c>
      <c r="G988" s="23">
        <f t="shared" ca="1" si="157"/>
        <v>202</v>
      </c>
      <c r="H988" s="23">
        <f t="shared" ca="1" si="158"/>
        <v>728</v>
      </c>
      <c r="I988" s="23">
        <f t="shared" ca="1" si="159"/>
        <v>370</v>
      </c>
      <c r="J988" s="23">
        <f t="shared" ca="1" si="160"/>
        <v>728</v>
      </c>
      <c r="K988" s="23">
        <f t="shared" ca="1" si="161"/>
        <v>1098</v>
      </c>
      <c r="L988" s="23">
        <f t="shared" ca="1" si="154"/>
        <v>75430</v>
      </c>
    </row>
    <row r="989" spans="3:12">
      <c r="C989" s="23">
        <f t="shared" si="152"/>
        <v>420</v>
      </c>
      <c r="D989" s="23">
        <f t="shared" si="153"/>
        <v>168</v>
      </c>
      <c r="E989" s="23">
        <f t="shared" si="155"/>
        <v>252</v>
      </c>
      <c r="F989" s="23">
        <f t="shared" si="156"/>
        <v>700</v>
      </c>
      <c r="G989" s="23">
        <f t="shared" ca="1" si="157"/>
        <v>172</v>
      </c>
      <c r="H989" s="23">
        <f t="shared" ca="1" si="158"/>
        <v>577</v>
      </c>
      <c r="I989" s="23">
        <f t="shared" ca="1" si="159"/>
        <v>340</v>
      </c>
      <c r="J989" s="23">
        <f t="shared" ca="1" si="160"/>
        <v>577</v>
      </c>
      <c r="K989" s="23">
        <f t="shared" ca="1" si="161"/>
        <v>917</v>
      </c>
      <c r="L989" s="23">
        <f t="shared" ca="1" si="154"/>
        <v>50995</v>
      </c>
    </row>
    <row r="990" spans="3:12">
      <c r="C990" s="23">
        <f t="shared" si="152"/>
        <v>420</v>
      </c>
      <c r="D990" s="23">
        <f t="shared" si="153"/>
        <v>168</v>
      </c>
      <c r="E990" s="23">
        <f t="shared" si="155"/>
        <v>252</v>
      </c>
      <c r="F990" s="23">
        <f t="shared" si="156"/>
        <v>700</v>
      </c>
      <c r="G990" s="23">
        <f t="shared" ca="1" si="157"/>
        <v>237</v>
      </c>
      <c r="H990" s="23">
        <f t="shared" ca="1" si="158"/>
        <v>672</v>
      </c>
      <c r="I990" s="23">
        <f t="shared" ca="1" si="159"/>
        <v>405</v>
      </c>
      <c r="J990" s="23">
        <f t="shared" ca="1" si="160"/>
        <v>672</v>
      </c>
      <c r="K990" s="23">
        <f t="shared" ca="1" si="161"/>
        <v>1077</v>
      </c>
      <c r="L990" s="23">
        <f t="shared" ca="1" si="154"/>
        <v>72595</v>
      </c>
    </row>
    <row r="991" spans="3:12">
      <c r="C991" s="23">
        <f t="shared" si="152"/>
        <v>420</v>
      </c>
      <c r="D991" s="23">
        <f t="shared" si="153"/>
        <v>168</v>
      </c>
      <c r="E991" s="23">
        <f t="shared" si="155"/>
        <v>252</v>
      </c>
      <c r="F991" s="23">
        <f t="shared" si="156"/>
        <v>700</v>
      </c>
      <c r="G991" s="23">
        <f t="shared" ca="1" si="157"/>
        <v>199</v>
      </c>
      <c r="H991" s="23">
        <f t="shared" ca="1" si="158"/>
        <v>603</v>
      </c>
      <c r="I991" s="23">
        <f t="shared" ca="1" si="159"/>
        <v>367</v>
      </c>
      <c r="J991" s="23">
        <f t="shared" ca="1" si="160"/>
        <v>603</v>
      </c>
      <c r="K991" s="23">
        <f t="shared" ca="1" si="161"/>
        <v>970</v>
      </c>
      <c r="L991" s="23">
        <f t="shared" ca="1" si="154"/>
        <v>58150</v>
      </c>
    </row>
    <row r="992" spans="3:12">
      <c r="C992" s="23">
        <f t="shared" si="152"/>
        <v>420</v>
      </c>
      <c r="D992" s="23">
        <f t="shared" si="153"/>
        <v>168</v>
      </c>
      <c r="E992" s="23">
        <f t="shared" si="155"/>
        <v>252</v>
      </c>
      <c r="F992" s="23">
        <f t="shared" si="156"/>
        <v>700</v>
      </c>
      <c r="G992" s="23">
        <f t="shared" ca="1" si="157"/>
        <v>245</v>
      </c>
      <c r="H992" s="23">
        <f t="shared" ca="1" si="158"/>
        <v>648</v>
      </c>
      <c r="I992" s="23">
        <f t="shared" ca="1" si="159"/>
        <v>413</v>
      </c>
      <c r="J992" s="23">
        <f t="shared" ca="1" si="160"/>
        <v>648</v>
      </c>
      <c r="K992" s="23">
        <f t="shared" ca="1" si="161"/>
        <v>1061</v>
      </c>
      <c r="L992" s="23">
        <f t="shared" ca="1" si="154"/>
        <v>70435</v>
      </c>
    </row>
    <row r="993" spans="3:12">
      <c r="C993" s="23">
        <f t="shared" si="152"/>
        <v>420</v>
      </c>
      <c r="D993" s="23">
        <f t="shared" si="153"/>
        <v>168</v>
      </c>
      <c r="E993" s="23">
        <f t="shared" si="155"/>
        <v>252</v>
      </c>
      <c r="F993" s="23">
        <f t="shared" si="156"/>
        <v>700</v>
      </c>
      <c r="G993" s="23">
        <f t="shared" ca="1" si="157"/>
        <v>179</v>
      </c>
      <c r="H993" s="23">
        <f t="shared" ca="1" si="158"/>
        <v>471</v>
      </c>
      <c r="I993" s="23">
        <f t="shared" ca="1" si="159"/>
        <v>347</v>
      </c>
      <c r="J993" s="23">
        <f t="shared" ca="1" si="160"/>
        <v>471</v>
      </c>
      <c r="K993" s="23">
        <f t="shared" ca="1" si="161"/>
        <v>818</v>
      </c>
      <c r="L993" s="23">
        <f t="shared" ca="1" si="154"/>
        <v>37630</v>
      </c>
    </row>
    <row r="994" spans="3:12">
      <c r="C994" s="23">
        <f t="shared" si="152"/>
        <v>420</v>
      </c>
      <c r="D994" s="23">
        <f t="shared" si="153"/>
        <v>168</v>
      </c>
      <c r="E994" s="23">
        <f t="shared" si="155"/>
        <v>252</v>
      </c>
      <c r="F994" s="23">
        <f t="shared" si="156"/>
        <v>700</v>
      </c>
      <c r="G994" s="23">
        <f t="shared" ca="1" si="157"/>
        <v>185</v>
      </c>
      <c r="H994" s="23">
        <f t="shared" ca="1" si="158"/>
        <v>652</v>
      </c>
      <c r="I994" s="23">
        <f t="shared" ca="1" si="159"/>
        <v>353</v>
      </c>
      <c r="J994" s="23">
        <f t="shared" ca="1" si="160"/>
        <v>652</v>
      </c>
      <c r="K994" s="23">
        <f t="shared" ca="1" si="161"/>
        <v>1005</v>
      </c>
      <c r="L994" s="23">
        <f t="shared" ca="1" si="154"/>
        <v>62875</v>
      </c>
    </row>
    <row r="995" spans="3:12">
      <c r="C995" s="23">
        <f t="shared" si="152"/>
        <v>420</v>
      </c>
      <c r="D995" s="23">
        <f t="shared" si="153"/>
        <v>168</v>
      </c>
      <c r="E995" s="23">
        <f t="shared" si="155"/>
        <v>252</v>
      </c>
      <c r="F995" s="23">
        <f t="shared" si="156"/>
        <v>700</v>
      </c>
      <c r="G995" s="23">
        <f t="shared" ca="1" si="157"/>
        <v>225</v>
      </c>
      <c r="H995" s="23">
        <f t="shared" ca="1" si="158"/>
        <v>544</v>
      </c>
      <c r="I995" s="23">
        <f t="shared" ca="1" si="159"/>
        <v>393</v>
      </c>
      <c r="J995" s="23">
        <f t="shared" ca="1" si="160"/>
        <v>544</v>
      </c>
      <c r="K995" s="23">
        <f t="shared" ca="1" si="161"/>
        <v>937</v>
      </c>
      <c r="L995" s="23">
        <f t="shared" ca="1" si="154"/>
        <v>53695</v>
      </c>
    </row>
    <row r="996" spans="3:12">
      <c r="C996" s="23">
        <f t="shared" si="152"/>
        <v>420</v>
      </c>
      <c r="D996" s="23">
        <f t="shared" si="153"/>
        <v>168</v>
      </c>
      <c r="E996" s="23">
        <f t="shared" si="155"/>
        <v>252</v>
      </c>
      <c r="F996" s="23">
        <f t="shared" si="156"/>
        <v>700</v>
      </c>
      <c r="G996" s="23">
        <f t="shared" ca="1" si="157"/>
        <v>222</v>
      </c>
      <c r="H996" s="23">
        <f t="shared" ca="1" si="158"/>
        <v>714</v>
      </c>
      <c r="I996" s="23">
        <f t="shared" ca="1" si="159"/>
        <v>390</v>
      </c>
      <c r="J996" s="23">
        <f t="shared" ca="1" si="160"/>
        <v>714</v>
      </c>
      <c r="K996" s="23">
        <f t="shared" ca="1" si="161"/>
        <v>1104</v>
      </c>
      <c r="L996" s="23">
        <f t="shared" ca="1" si="154"/>
        <v>76240</v>
      </c>
    </row>
    <row r="997" spans="3:12">
      <c r="C997" s="23">
        <f t="shared" si="152"/>
        <v>420</v>
      </c>
      <c r="D997" s="23">
        <f t="shared" si="153"/>
        <v>168</v>
      </c>
      <c r="E997" s="23">
        <f t="shared" si="155"/>
        <v>252</v>
      </c>
      <c r="F997" s="23">
        <f t="shared" si="156"/>
        <v>700</v>
      </c>
      <c r="G997" s="23">
        <f t="shared" ca="1" si="157"/>
        <v>235</v>
      </c>
      <c r="H997" s="23">
        <f t="shared" ca="1" si="158"/>
        <v>640</v>
      </c>
      <c r="I997" s="23">
        <f t="shared" ca="1" si="159"/>
        <v>403</v>
      </c>
      <c r="J997" s="23">
        <f t="shared" ca="1" si="160"/>
        <v>640</v>
      </c>
      <c r="K997" s="23">
        <f t="shared" ca="1" si="161"/>
        <v>1043</v>
      </c>
      <c r="L997" s="23">
        <f t="shared" ca="1" si="154"/>
        <v>68005</v>
      </c>
    </row>
    <row r="998" spans="3:12">
      <c r="C998" s="23">
        <f t="shared" si="152"/>
        <v>420</v>
      </c>
      <c r="D998" s="23">
        <f t="shared" si="153"/>
        <v>168</v>
      </c>
      <c r="E998" s="23">
        <f t="shared" si="155"/>
        <v>252</v>
      </c>
      <c r="F998" s="23">
        <f t="shared" si="156"/>
        <v>700</v>
      </c>
      <c r="G998" s="23">
        <f t="shared" ca="1" si="157"/>
        <v>192</v>
      </c>
      <c r="H998" s="23">
        <f t="shared" ca="1" si="158"/>
        <v>665</v>
      </c>
      <c r="I998" s="23">
        <f t="shared" ca="1" si="159"/>
        <v>360</v>
      </c>
      <c r="J998" s="23">
        <f t="shared" ca="1" si="160"/>
        <v>665</v>
      </c>
      <c r="K998" s="23">
        <f t="shared" ca="1" si="161"/>
        <v>1025</v>
      </c>
      <c r="L998" s="23">
        <f t="shared" ca="1" si="154"/>
        <v>65575</v>
      </c>
    </row>
    <row r="999" spans="3:12">
      <c r="C999" s="23">
        <f t="shared" si="152"/>
        <v>420</v>
      </c>
      <c r="D999" s="23">
        <f t="shared" si="153"/>
        <v>168</v>
      </c>
      <c r="E999" s="23">
        <f t="shared" si="155"/>
        <v>252</v>
      </c>
      <c r="F999" s="23">
        <f t="shared" si="156"/>
        <v>700</v>
      </c>
      <c r="G999" s="23">
        <f t="shared" ca="1" si="157"/>
        <v>233</v>
      </c>
      <c r="H999" s="23">
        <f t="shared" ca="1" si="158"/>
        <v>610</v>
      </c>
      <c r="I999" s="23">
        <f t="shared" ca="1" si="159"/>
        <v>401</v>
      </c>
      <c r="J999" s="23">
        <f t="shared" ca="1" si="160"/>
        <v>610</v>
      </c>
      <c r="K999" s="23">
        <f t="shared" ca="1" si="161"/>
        <v>1011</v>
      </c>
      <c r="L999" s="23">
        <f t="shared" ca="1" si="154"/>
        <v>63685</v>
      </c>
    </row>
    <row r="1000" spans="3:12">
      <c r="C1000" s="23">
        <f t="shared" si="152"/>
        <v>420</v>
      </c>
      <c r="D1000" s="23">
        <f t="shared" si="153"/>
        <v>168</v>
      </c>
      <c r="E1000" s="23">
        <f t="shared" si="155"/>
        <v>252</v>
      </c>
      <c r="F1000" s="23">
        <f t="shared" si="156"/>
        <v>700</v>
      </c>
      <c r="G1000" s="23">
        <f t="shared" ca="1" si="157"/>
        <v>200</v>
      </c>
      <c r="H1000" s="23">
        <f t="shared" ca="1" si="158"/>
        <v>574</v>
      </c>
      <c r="I1000" s="23">
        <f t="shared" ca="1" si="159"/>
        <v>368</v>
      </c>
      <c r="J1000" s="23">
        <f t="shared" ca="1" si="160"/>
        <v>574</v>
      </c>
      <c r="K1000" s="23">
        <f t="shared" ca="1" si="161"/>
        <v>942</v>
      </c>
      <c r="L1000" s="23">
        <f t="shared" ca="1" si="154"/>
        <v>54370</v>
      </c>
    </row>
    <row r="1001" spans="3:12">
      <c r="C1001" s="23">
        <f t="shared" si="152"/>
        <v>420</v>
      </c>
      <c r="D1001" s="23">
        <f t="shared" si="153"/>
        <v>168</v>
      </c>
      <c r="E1001" s="23">
        <f t="shared" si="155"/>
        <v>252</v>
      </c>
      <c r="F1001" s="23">
        <f t="shared" si="156"/>
        <v>700</v>
      </c>
      <c r="G1001" s="23">
        <f t="shared" ca="1" si="157"/>
        <v>226</v>
      </c>
      <c r="H1001" s="23">
        <f t="shared" ca="1" si="158"/>
        <v>520</v>
      </c>
      <c r="I1001" s="23">
        <f t="shared" ca="1" si="159"/>
        <v>394</v>
      </c>
      <c r="J1001" s="23">
        <f t="shared" ca="1" si="160"/>
        <v>520</v>
      </c>
      <c r="K1001" s="23">
        <f t="shared" ca="1" si="161"/>
        <v>914</v>
      </c>
      <c r="L1001" s="23">
        <f t="shared" ca="1" si="154"/>
        <v>50590</v>
      </c>
    </row>
    <row r="1002" spans="3:12">
      <c r="C1002" s="23">
        <f t="shared" si="152"/>
        <v>420</v>
      </c>
      <c r="D1002" s="23">
        <f t="shared" si="153"/>
        <v>168</v>
      </c>
      <c r="E1002" s="23">
        <f t="shared" si="155"/>
        <v>252</v>
      </c>
      <c r="F1002" s="23">
        <f t="shared" si="156"/>
        <v>700</v>
      </c>
      <c r="G1002" s="23">
        <f t="shared" ca="1" si="157"/>
        <v>232</v>
      </c>
      <c r="H1002" s="23">
        <f t="shared" ca="1" si="158"/>
        <v>754</v>
      </c>
      <c r="I1002" s="23">
        <f t="shared" ca="1" si="159"/>
        <v>400</v>
      </c>
      <c r="J1002" s="23">
        <f t="shared" ca="1" si="160"/>
        <v>720</v>
      </c>
      <c r="K1002" s="23">
        <f t="shared" ca="1" si="161"/>
        <v>1120</v>
      </c>
      <c r="L1002" s="23">
        <f t="shared" ca="1" si="154"/>
        <v>78400</v>
      </c>
    </row>
    <row r="1003" spans="3:12">
      <c r="C1003" s="23">
        <f t="shared" si="152"/>
        <v>420</v>
      </c>
      <c r="D1003" s="23">
        <f t="shared" si="153"/>
        <v>168</v>
      </c>
      <c r="E1003" s="23">
        <f t="shared" si="155"/>
        <v>252</v>
      </c>
      <c r="F1003" s="23">
        <f t="shared" si="156"/>
        <v>700</v>
      </c>
      <c r="G1003" s="23">
        <f t="shared" ca="1" si="157"/>
        <v>232</v>
      </c>
      <c r="H1003" s="23">
        <f t="shared" ca="1" si="158"/>
        <v>598</v>
      </c>
      <c r="I1003" s="23">
        <f t="shared" ca="1" si="159"/>
        <v>400</v>
      </c>
      <c r="J1003" s="23">
        <f t="shared" ca="1" si="160"/>
        <v>598</v>
      </c>
      <c r="K1003" s="23">
        <f t="shared" ca="1" si="161"/>
        <v>998</v>
      </c>
      <c r="L1003" s="23">
        <f t="shared" ca="1" si="154"/>
        <v>61930</v>
      </c>
    </row>
    <row r="1004" spans="3:12">
      <c r="C1004" s="23">
        <f t="shared" si="152"/>
        <v>420</v>
      </c>
      <c r="D1004" s="23">
        <f t="shared" si="153"/>
        <v>168</v>
      </c>
      <c r="E1004" s="23">
        <f t="shared" si="155"/>
        <v>252</v>
      </c>
      <c r="F1004" s="23">
        <f t="shared" si="156"/>
        <v>700</v>
      </c>
      <c r="G1004" s="23">
        <f t="shared" ca="1" si="157"/>
        <v>220</v>
      </c>
      <c r="H1004" s="23">
        <f t="shared" ca="1" si="158"/>
        <v>600</v>
      </c>
      <c r="I1004" s="23">
        <f t="shared" ca="1" si="159"/>
        <v>388</v>
      </c>
      <c r="J1004" s="23">
        <f t="shared" ca="1" si="160"/>
        <v>600</v>
      </c>
      <c r="K1004" s="23">
        <f t="shared" ca="1" si="161"/>
        <v>988</v>
      </c>
      <c r="L1004" s="23">
        <f t="shared" ca="1" si="154"/>
        <v>60580</v>
      </c>
    </row>
    <row r="1005" spans="3:12">
      <c r="C1005" s="23">
        <f t="shared" si="152"/>
        <v>420</v>
      </c>
      <c r="D1005" s="23">
        <f t="shared" si="153"/>
        <v>168</v>
      </c>
      <c r="E1005" s="23">
        <f t="shared" si="155"/>
        <v>252</v>
      </c>
      <c r="F1005" s="23">
        <f t="shared" si="156"/>
        <v>700</v>
      </c>
      <c r="G1005" s="23">
        <f t="shared" ca="1" si="157"/>
        <v>228</v>
      </c>
      <c r="H1005" s="23">
        <f t="shared" ca="1" si="158"/>
        <v>702</v>
      </c>
      <c r="I1005" s="23">
        <f t="shared" ca="1" si="159"/>
        <v>396</v>
      </c>
      <c r="J1005" s="23">
        <f t="shared" ca="1" si="160"/>
        <v>702</v>
      </c>
      <c r="K1005" s="23">
        <f t="shared" ca="1" si="161"/>
        <v>1098</v>
      </c>
      <c r="L1005" s="23">
        <f t="shared" ca="1" si="154"/>
        <v>75430</v>
      </c>
    </row>
    <row r="1006" spans="3:12">
      <c r="C1006" s="23">
        <f t="shared" si="152"/>
        <v>420</v>
      </c>
      <c r="D1006" s="23">
        <f t="shared" si="153"/>
        <v>168</v>
      </c>
      <c r="E1006" s="23">
        <f t="shared" si="155"/>
        <v>252</v>
      </c>
      <c r="F1006" s="23">
        <f t="shared" si="156"/>
        <v>700</v>
      </c>
      <c r="G1006" s="23">
        <f t="shared" ca="1" si="157"/>
        <v>194</v>
      </c>
      <c r="H1006" s="23">
        <f t="shared" ca="1" si="158"/>
        <v>650</v>
      </c>
      <c r="I1006" s="23">
        <f t="shared" ca="1" si="159"/>
        <v>362</v>
      </c>
      <c r="J1006" s="23">
        <f t="shared" ca="1" si="160"/>
        <v>650</v>
      </c>
      <c r="K1006" s="23">
        <f t="shared" ca="1" si="161"/>
        <v>1012</v>
      </c>
      <c r="L1006" s="23">
        <f t="shared" ca="1" si="154"/>
        <v>63820</v>
      </c>
    </row>
    <row r="1007" spans="3:12">
      <c r="C1007" s="23">
        <f t="shared" si="152"/>
        <v>420</v>
      </c>
      <c r="D1007" s="23">
        <f t="shared" si="153"/>
        <v>168</v>
      </c>
      <c r="E1007" s="23">
        <f t="shared" si="155"/>
        <v>252</v>
      </c>
      <c r="F1007" s="23">
        <f t="shared" si="156"/>
        <v>700</v>
      </c>
      <c r="G1007" s="23">
        <f t="shared" ca="1" si="157"/>
        <v>225</v>
      </c>
      <c r="H1007" s="23">
        <f t="shared" ca="1" si="158"/>
        <v>659</v>
      </c>
      <c r="I1007" s="23">
        <f t="shared" ca="1" si="159"/>
        <v>393</v>
      </c>
      <c r="J1007" s="23">
        <f t="shared" ca="1" si="160"/>
        <v>659</v>
      </c>
      <c r="K1007" s="23">
        <f t="shared" ca="1" si="161"/>
        <v>1052</v>
      </c>
      <c r="L1007" s="23">
        <f t="shared" ca="1" si="154"/>
        <v>69220</v>
      </c>
    </row>
    <row r="1008" spans="3:12">
      <c r="C1008" s="23">
        <f t="shared" si="152"/>
        <v>420</v>
      </c>
      <c r="D1008" s="23">
        <f t="shared" si="153"/>
        <v>168</v>
      </c>
      <c r="E1008" s="23">
        <f t="shared" si="155"/>
        <v>252</v>
      </c>
      <c r="F1008" s="23">
        <f t="shared" si="156"/>
        <v>700</v>
      </c>
      <c r="G1008" s="23">
        <f t="shared" ca="1" si="157"/>
        <v>259</v>
      </c>
      <c r="H1008" s="23">
        <f t="shared" ca="1" si="158"/>
        <v>815</v>
      </c>
      <c r="I1008" s="23">
        <f t="shared" ca="1" si="159"/>
        <v>420</v>
      </c>
      <c r="J1008" s="23">
        <f t="shared" ca="1" si="160"/>
        <v>700</v>
      </c>
      <c r="K1008" s="23">
        <f t="shared" ca="1" si="161"/>
        <v>1120</v>
      </c>
      <c r="L1008" s="23">
        <f t="shared" ca="1" si="154"/>
        <v>78400</v>
      </c>
    </row>
    <row r="1009" spans="3:12">
      <c r="C1009" s="23">
        <f t="shared" si="152"/>
        <v>420</v>
      </c>
      <c r="D1009" s="23">
        <f t="shared" si="153"/>
        <v>168</v>
      </c>
      <c r="E1009" s="23">
        <f t="shared" si="155"/>
        <v>252</v>
      </c>
      <c r="F1009" s="23">
        <f t="shared" si="156"/>
        <v>700</v>
      </c>
      <c r="G1009" s="23">
        <f t="shared" ca="1" si="157"/>
        <v>198</v>
      </c>
      <c r="H1009" s="23">
        <f t="shared" ca="1" si="158"/>
        <v>627</v>
      </c>
      <c r="I1009" s="23">
        <f t="shared" ca="1" si="159"/>
        <v>366</v>
      </c>
      <c r="J1009" s="23">
        <f t="shared" ca="1" si="160"/>
        <v>627</v>
      </c>
      <c r="K1009" s="23">
        <f t="shared" ca="1" si="161"/>
        <v>993</v>
      </c>
      <c r="L1009" s="23">
        <f t="shared" ca="1" si="154"/>
        <v>61255</v>
      </c>
    </row>
    <row r="1010" spans="3:12">
      <c r="C1010" s="23">
        <f t="shared" si="152"/>
        <v>420</v>
      </c>
      <c r="D1010" s="23">
        <f t="shared" si="153"/>
        <v>168</v>
      </c>
      <c r="E1010" s="23">
        <f t="shared" si="155"/>
        <v>252</v>
      </c>
      <c r="F1010" s="23">
        <f t="shared" si="156"/>
        <v>700</v>
      </c>
      <c r="G1010" s="23">
        <f t="shared" ca="1" si="157"/>
        <v>211</v>
      </c>
      <c r="H1010" s="23">
        <f t="shared" ca="1" si="158"/>
        <v>655</v>
      </c>
      <c r="I1010" s="23">
        <f t="shared" ca="1" si="159"/>
        <v>379</v>
      </c>
      <c r="J1010" s="23">
        <f t="shared" ca="1" si="160"/>
        <v>655</v>
      </c>
      <c r="K1010" s="23">
        <f t="shared" ca="1" si="161"/>
        <v>1034</v>
      </c>
      <c r="L1010" s="23">
        <f t="shared" ca="1" si="154"/>
        <v>66790</v>
      </c>
    </row>
    <row r="1011" spans="3:12">
      <c r="C1011" s="23">
        <f t="shared" si="152"/>
        <v>420</v>
      </c>
      <c r="D1011" s="23">
        <f t="shared" si="153"/>
        <v>168</v>
      </c>
      <c r="E1011" s="23">
        <f t="shared" si="155"/>
        <v>252</v>
      </c>
      <c r="F1011" s="23">
        <f t="shared" si="156"/>
        <v>700</v>
      </c>
      <c r="G1011" s="23">
        <f t="shared" ca="1" si="157"/>
        <v>210</v>
      </c>
      <c r="H1011" s="23">
        <f t="shared" ca="1" si="158"/>
        <v>679</v>
      </c>
      <c r="I1011" s="23">
        <f t="shared" ca="1" si="159"/>
        <v>378</v>
      </c>
      <c r="J1011" s="23">
        <f t="shared" ca="1" si="160"/>
        <v>679</v>
      </c>
      <c r="K1011" s="23">
        <f t="shared" ca="1" si="161"/>
        <v>1057</v>
      </c>
      <c r="L1011" s="23">
        <f t="shared" ca="1" si="154"/>
        <v>69895</v>
      </c>
    </row>
    <row r="1012" spans="3:12">
      <c r="C1012" s="23">
        <f t="shared" si="152"/>
        <v>420</v>
      </c>
      <c r="D1012" s="23">
        <f t="shared" si="153"/>
        <v>168</v>
      </c>
      <c r="E1012" s="23">
        <f t="shared" si="155"/>
        <v>252</v>
      </c>
      <c r="F1012" s="23">
        <f t="shared" si="156"/>
        <v>700</v>
      </c>
      <c r="G1012" s="23">
        <f t="shared" ca="1" si="157"/>
        <v>221</v>
      </c>
      <c r="H1012" s="23">
        <f t="shared" ca="1" si="158"/>
        <v>570</v>
      </c>
      <c r="I1012" s="23">
        <f t="shared" ca="1" si="159"/>
        <v>389</v>
      </c>
      <c r="J1012" s="23">
        <f t="shared" ca="1" si="160"/>
        <v>570</v>
      </c>
      <c r="K1012" s="23">
        <f t="shared" ca="1" si="161"/>
        <v>959</v>
      </c>
      <c r="L1012" s="23">
        <f t="shared" ca="1" si="154"/>
        <v>56665</v>
      </c>
    </row>
    <row r="1013" spans="3:12">
      <c r="C1013" s="23">
        <f t="shared" si="152"/>
        <v>420</v>
      </c>
      <c r="D1013" s="23">
        <f t="shared" si="153"/>
        <v>168</v>
      </c>
      <c r="E1013" s="23">
        <f t="shared" si="155"/>
        <v>252</v>
      </c>
      <c r="F1013" s="23">
        <f t="shared" si="156"/>
        <v>700</v>
      </c>
      <c r="G1013" s="23">
        <f t="shared" ca="1" si="157"/>
        <v>207</v>
      </c>
      <c r="H1013" s="23">
        <f t="shared" ca="1" si="158"/>
        <v>655</v>
      </c>
      <c r="I1013" s="23">
        <f t="shared" ca="1" si="159"/>
        <v>375</v>
      </c>
      <c r="J1013" s="23">
        <f t="shared" ca="1" si="160"/>
        <v>655</v>
      </c>
      <c r="K1013" s="23">
        <f t="shared" ca="1" si="161"/>
        <v>1030</v>
      </c>
      <c r="L1013" s="23">
        <f t="shared" ca="1" si="154"/>
        <v>66250</v>
      </c>
    </row>
    <row r="1014" spans="3:12">
      <c r="C1014" s="23">
        <f t="shared" si="152"/>
        <v>420</v>
      </c>
      <c r="D1014" s="23">
        <f t="shared" si="153"/>
        <v>168</v>
      </c>
      <c r="E1014" s="23">
        <f t="shared" si="155"/>
        <v>252</v>
      </c>
      <c r="F1014" s="23">
        <f t="shared" si="156"/>
        <v>700</v>
      </c>
      <c r="G1014" s="23">
        <f t="shared" ca="1" si="157"/>
        <v>196</v>
      </c>
      <c r="H1014" s="23">
        <f t="shared" ca="1" si="158"/>
        <v>636</v>
      </c>
      <c r="I1014" s="23">
        <f t="shared" ca="1" si="159"/>
        <v>364</v>
      </c>
      <c r="J1014" s="23">
        <f t="shared" ca="1" si="160"/>
        <v>636</v>
      </c>
      <c r="K1014" s="23">
        <f t="shared" ca="1" si="161"/>
        <v>1000</v>
      </c>
      <c r="L1014" s="23">
        <f t="shared" ca="1" si="154"/>
        <v>62200</v>
      </c>
    </row>
    <row r="1015" spans="3:12">
      <c r="C1015" s="23">
        <f t="shared" si="152"/>
        <v>420</v>
      </c>
      <c r="D1015" s="23">
        <f t="shared" si="153"/>
        <v>168</v>
      </c>
      <c r="E1015" s="23">
        <f t="shared" si="155"/>
        <v>252</v>
      </c>
      <c r="F1015" s="23">
        <f t="shared" si="156"/>
        <v>700</v>
      </c>
      <c r="G1015" s="23">
        <f t="shared" ca="1" si="157"/>
        <v>197</v>
      </c>
      <c r="H1015" s="23">
        <f t="shared" ca="1" si="158"/>
        <v>732</v>
      </c>
      <c r="I1015" s="23">
        <f t="shared" ca="1" si="159"/>
        <v>365</v>
      </c>
      <c r="J1015" s="23">
        <f t="shared" ca="1" si="160"/>
        <v>732</v>
      </c>
      <c r="K1015" s="23">
        <f t="shared" ca="1" si="161"/>
        <v>1097</v>
      </c>
      <c r="L1015" s="23">
        <f t="shared" ca="1" si="154"/>
        <v>75295</v>
      </c>
    </row>
    <row r="1016" spans="3:12">
      <c r="C1016" s="23">
        <f t="shared" si="152"/>
        <v>420</v>
      </c>
      <c r="D1016" s="23">
        <f t="shared" si="153"/>
        <v>168</v>
      </c>
      <c r="E1016" s="23">
        <f t="shared" si="155"/>
        <v>252</v>
      </c>
      <c r="F1016" s="23">
        <f t="shared" si="156"/>
        <v>700</v>
      </c>
      <c r="G1016" s="23">
        <f t="shared" ca="1" si="157"/>
        <v>180</v>
      </c>
      <c r="H1016" s="23">
        <f t="shared" ca="1" si="158"/>
        <v>674</v>
      </c>
      <c r="I1016" s="23">
        <f t="shared" ca="1" si="159"/>
        <v>348</v>
      </c>
      <c r="J1016" s="23">
        <f t="shared" ca="1" si="160"/>
        <v>674</v>
      </c>
      <c r="K1016" s="23">
        <f t="shared" ca="1" si="161"/>
        <v>1022</v>
      </c>
      <c r="L1016" s="23">
        <f t="shared" ca="1" si="154"/>
        <v>65170</v>
      </c>
    </row>
    <row r="1017" spans="3:12">
      <c r="C1017" s="23">
        <f t="shared" si="152"/>
        <v>420</v>
      </c>
      <c r="D1017" s="23">
        <f t="shared" si="153"/>
        <v>168</v>
      </c>
      <c r="E1017" s="23">
        <f t="shared" si="155"/>
        <v>252</v>
      </c>
      <c r="F1017" s="23">
        <f t="shared" si="156"/>
        <v>700</v>
      </c>
      <c r="G1017" s="23">
        <f t="shared" ca="1" si="157"/>
        <v>192</v>
      </c>
      <c r="H1017" s="23">
        <f t="shared" ca="1" si="158"/>
        <v>687</v>
      </c>
      <c r="I1017" s="23">
        <f t="shared" ca="1" si="159"/>
        <v>360</v>
      </c>
      <c r="J1017" s="23">
        <f t="shared" ca="1" si="160"/>
        <v>687</v>
      </c>
      <c r="K1017" s="23">
        <f t="shared" ca="1" si="161"/>
        <v>1047</v>
      </c>
      <c r="L1017" s="23">
        <f t="shared" ca="1" si="154"/>
        <v>68545</v>
      </c>
    </row>
    <row r="1018" spans="3:12">
      <c r="C1018" s="23">
        <f t="shared" si="152"/>
        <v>420</v>
      </c>
      <c r="D1018" s="23">
        <f t="shared" si="153"/>
        <v>168</v>
      </c>
      <c r="E1018" s="23">
        <f t="shared" si="155"/>
        <v>252</v>
      </c>
      <c r="F1018" s="23">
        <f t="shared" si="156"/>
        <v>700</v>
      </c>
      <c r="G1018" s="23">
        <f t="shared" ca="1" si="157"/>
        <v>199</v>
      </c>
      <c r="H1018" s="23">
        <f t="shared" ca="1" si="158"/>
        <v>757</v>
      </c>
      <c r="I1018" s="23">
        <f t="shared" ca="1" si="159"/>
        <v>367</v>
      </c>
      <c r="J1018" s="23">
        <f t="shared" ca="1" si="160"/>
        <v>753</v>
      </c>
      <c r="K1018" s="23">
        <f t="shared" ca="1" si="161"/>
        <v>1120</v>
      </c>
      <c r="L1018" s="23">
        <f t="shared" ca="1" si="154"/>
        <v>78400</v>
      </c>
    </row>
    <row r="1019" spans="3:12">
      <c r="C1019" s="23">
        <f t="shared" si="152"/>
        <v>420</v>
      </c>
      <c r="D1019" s="23">
        <f t="shared" si="153"/>
        <v>168</v>
      </c>
      <c r="E1019" s="23">
        <f t="shared" si="155"/>
        <v>252</v>
      </c>
      <c r="F1019" s="23">
        <f t="shared" si="156"/>
        <v>700</v>
      </c>
      <c r="G1019" s="23">
        <f t="shared" ca="1" si="157"/>
        <v>195</v>
      </c>
      <c r="H1019" s="23">
        <f t="shared" ca="1" si="158"/>
        <v>618</v>
      </c>
      <c r="I1019" s="23">
        <f t="shared" ca="1" si="159"/>
        <v>363</v>
      </c>
      <c r="J1019" s="23">
        <f t="shared" ca="1" si="160"/>
        <v>618</v>
      </c>
      <c r="K1019" s="23">
        <f t="shared" ca="1" si="161"/>
        <v>981</v>
      </c>
      <c r="L1019" s="23">
        <f t="shared" ca="1" si="154"/>
        <v>59635</v>
      </c>
    </row>
    <row r="1020" spans="3:12">
      <c r="C1020" s="23">
        <f t="shared" si="152"/>
        <v>420</v>
      </c>
      <c r="D1020" s="23">
        <f t="shared" si="153"/>
        <v>168</v>
      </c>
      <c r="E1020" s="23">
        <f t="shared" si="155"/>
        <v>252</v>
      </c>
      <c r="F1020" s="23">
        <f t="shared" si="156"/>
        <v>700</v>
      </c>
      <c r="G1020" s="23">
        <f t="shared" ca="1" si="157"/>
        <v>182</v>
      </c>
      <c r="H1020" s="23">
        <f t="shared" ca="1" si="158"/>
        <v>628</v>
      </c>
      <c r="I1020" s="23">
        <f t="shared" ca="1" si="159"/>
        <v>350</v>
      </c>
      <c r="J1020" s="23">
        <f t="shared" ca="1" si="160"/>
        <v>628</v>
      </c>
      <c r="K1020" s="23">
        <f t="shared" ca="1" si="161"/>
        <v>978</v>
      </c>
      <c r="L1020" s="23">
        <f t="shared" ca="1" si="154"/>
        <v>59230</v>
      </c>
    </row>
    <row r="1021" spans="3:12">
      <c r="C1021" s="23">
        <f t="shared" si="152"/>
        <v>420</v>
      </c>
      <c r="D1021" s="23">
        <f t="shared" si="153"/>
        <v>168</v>
      </c>
      <c r="E1021" s="23">
        <f t="shared" si="155"/>
        <v>252</v>
      </c>
      <c r="F1021" s="23">
        <f t="shared" si="156"/>
        <v>700</v>
      </c>
      <c r="G1021" s="23">
        <f t="shared" ca="1" si="157"/>
        <v>226</v>
      </c>
      <c r="H1021" s="23">
        <f t="shared" ca="1" si="158"/>
        <v>513</v>
      </c>
      <c r="I1021" s="23">
        <f t="shared" ca="1" si="159"/>
        <v>394</v>
      </c>
      <c r="J1021" s="23">
        <f t="shared" ca="1" si="160"/>
        <v>513</v>
      </c>
      <c r="K1021" s="23">
        <f t="shared" ca="1" si="161"/>
        <v>907</v>
      </c>
      <c r="L1021" s="23">
        <f t="shared" ca="1" si="154"/>
        <v>49645</v>
      </c>
    </row>
    <row r="1022" spans="3:12">
      <c r="C1022" s="23">
        <f t="shared" si="152"/>
        <v>420</v>
      </c>
      <c r="D1022" s="23">
        <f t="shared" si="153"/>
        <v>168</v>
      </c>
      <c r="E1022" s="23">
        <f t="shared" si="155"/>
        <v>252</v>
      </c>
      <c r="F1022" s="23">
        <f t="shared" si="156"/>
        <v>700</v>
      </c>
      <c r="G1022" s="23">
        <f t="shared" ca="1" si="157"/>
        <v>228</v>
      </c>
      <c r="H1022" s="23">
        <f t="shared" ca="1" si="158"/>
        <v>673</v>
      </c>
      <c r="I1022" s="23">
        <f t="shared" ca="1" si="159"/>
        <v>396</v>
      </c>
      <c r="J1022" s="23">
        <f t="shared" ca="1" si="160"/>
        <v>673</v>
      </c>
      <c r="K1022" s="23">
        <f t="shared" ca="1" si="161"/>
        <v>1069</v>
      </c>
      <c r="L1022" s="23">
        <f t="shared" ca="1" si="154"/>
        <v>71515</v>
      </c>
    </row>
    <row r="1023" spans="3:12">
      <c r="C1023" s="23">
        <f t="shared" si="152"/>
        <v>420</v>
      </c>
      <c r="D1023" s="23">
        <f t="shared" si="153"/>
        <v>168</v>
      </c>
      <c r="E1023" s="23">
        <f t="shared" si="155"/>
        <v>252</v>
      </c>
      <c r="F1023" s="23">
        <f t="shared" si="156"/>
        <v>700</v>
      </c>
      <c r="G1023" s="23">
        <f t="shared" ca="1" si="157"/>
        <v>224</v>
      </c>
      <c r="H1023" s="23">
        <f t="shared" ca="1" si="158"/>
        <v>622</v>
      </c>
      <c r="I1023" s="23">
        <f t="shared" ca="1" si="159"/>
        <v>392</v>
      </c>
      <c r="J1023" s="23">
        <f t="shared" ca="1" si="160"/>
        <v>622</v>
      </c>
      <c r="K1023" s="23">
        <f t="shared" ca="1" si="161"/>
        <v>1014</v>
      </c>
      <c r="L1023" s="23">
        <f t="shared" ca="1" si="154"/>
        <v>64090</v>
      </c>
    </row>
    <row r="1024" spans="3:12">
      <c r="C1024" s="23">
        <f t="shared" si="152"/>
        <v>420</v>
      </c>
      <c r="D1024" s="23">
        <f t="shared" si="153"/>
        <v>168</v>
      </c>
      <c r="E1024" s="23">
        <f t="shared" si="155"/>
        <v>252</v>
      </c>
      <c r="F1024" s="23">
        <f t="shared" si="156"/>
        <v>700</v>
      </c>
      <c r="G1024" s="23">
        <f t="shared" ca="1" si="157"/>
        <v>239</v>
      </c>
      <c r="H1024" s="23">
        <f t="shared" ca="1" si="158"/>
        <v>564</v>
      </c>
      <c r="I1024" s="23">
        <f t="shared" ca="1" si="159"/>
        <v>407</v>
      </c>
      <c r="J1024" s="23">
        <f t="shared" ca="1" si="160"/>
        <v>564</v>
      </c>
      <c r="K1024" s="23">
        <f t="shared" ca="1" si="161"/>
        <v>971</v>
      </c>
      <c r="L1024" s="23">
        <f t="shared" ca="1" si="154"/>
        <v>58285</v>
      </c>
    </row>
    <row r="1025" spans="3:12">
      <c r="C1025" s="23">
        <f t="shared" si="152"/>
        <v>420</v>
      </c>
      <c r="D1025" s="23">
        <f t="shared" si="153"/>
        <v>168</v>
      </c>
      <c r="E1025" s="23">
        <f t="shared" si="155"/>
        <v>252</v>
      </c>
      <c r="F1025" s="23">
        <f t="shared" si="156"/>
        <v>700</v>
      </c>
      <c r="G1025" s="23">
        <f t="shared" ca="1" si="157"/>
        <v>202</v>
      </c>
      <c r="H1025" s="23">
        <f t="shared" ca="1" si="158"/>
        <v>572</v>
      </c>
      <c r="I1025" s="23">
        <f t="shared" ca="1" si="159"/>
        <v>370</v>
      </c>
      <c r="J1025" s="23">
        <f t="shared" ca="1" si="160"/>
        <v>572</v>
      </c>
      <c r="K1025" s="23">
        <f t="shared" ca="1" si="161"/>
        <v>942</v>
      </c>
      <c r="L1025" s="23">
        <f t="shared" ca="1" si="154"/>
        <v>54370</v>
      </c>
    </row>
    <row r="1026" spans="3:12">
      <c r="C1026" s="23">
        <f t="shared" si="152"/>
        <v>420</v>
      </c>
      <c r="D1026" s="23">
        <f t="shared" si="153"/>
        <v>168</v>
      </c>
      <c r="E1026" s="23">
        <f t="shared" si="155"/>
        <v>252</v>
      </c>
      <c r="F1026" s="23">
        <f t="shared" si="156"/>
        <v>700</v>
      </c>
      <c r="G1026" s="23">
        <f t="shared" ca="1" si="157"/>
        <v>249</v>
      </c>
      <c r="H1026" s="23">
        <f t="shared" ca="1" si="158"/>
        <v>620</v>
      </c>
      <c r="I1026" s="23">
        <f t="shared" ca="1" si="159"/>
        <v>417</v>
      </c>
      <c r="J1026" s="23">
        <f t="shared" ca="1" si="160"/>
        <v>620</v>
      </c>
      <c r="K1026" s="23">
        <f t="shared" ca="1" si="161"/>
        <v>1037</v>
      </c>
      <c r="L1026" s="23">
        <f t="shared" ca="1" si="154"/>
        <v>67195</v>
      </c>
    </row>
    <row r="1027" spans="3:12">
      <c r="C1027" s="23">
        <f t="shared" si="152"/>
        <v>420</v>
      </c>
      <c r="D1027" s="23">
        <f t="shared" si="153"/>
        <v>168</v>
      </c>
      <c r="E1027" s="23">
        <f t="shared" si="155"/>
        <v>252</v>
      </c>
      <c r="F1027" s="23">
        <f t="shared" si="156"/>
        <v>700</v>
      </c>
      <c r="G1027" s="23">
        <f t="shared" ca="1" si="157"/>
        <v>216</v>
      </c>
      <c r="H1027" s="23">
        <f t="shared" ca="1" si="158"/>
        <v>625</v>
      </c>
      <c r="I1027" s="23">
        <f t="shared" ca="1" si="159"/>
        <v>384</v>
      </c>
      <c r="J1027" s="23">
        <f t="shared" ca="1" si="160"/>
        <v>625</v>
      </c>
      <c r="K1027" s="23">
        <f t="shared" ca="1" si="161"/>
        <v>1009</v>
      </c>
      <c r="L1027" s="23">
        <f t="shared" ca="1" si="154"/>
        <v>63415</v>
      </c>
    </row>
    <row r="1028" spans="3:12">
      <c r="C1028" s="23">
        <f t="shared" si="152"/>
        <v>420</v>
      </c>
      <c r="D1028" s="23">
        <f t="shared" si="153"/>
        <v>168</v>
      </c>
      <c r="E1028" s="23">
        <f t="shared" si="155"/>
        <v>252</v>
      </c>
      <c r="F1028" s="23">
        <f t="shared" si="156"/>
        <v>700</v>
      </c>
      <c r="G1028" s="23">
        <f t="shared" ca="1" si="157"/>
        <v>216</v>
      </c>
      <c r="H1028" s="23">
        <f t="shared" ca="1" si="158"/>
        <v>629</v>
      </c>
      <c r="I1028" s="23">
        <f t="shared" ca="1" si="159"/>
        <v>384</v>
      </c>
      <c r="J1028" s="23">
        <f t="shared" ca="1" si="160"/>
        <v>629</v>
      </c>
      <c r="K1028" s="23">
        <f t="shared" ca="1" si="161"/>
        <v>1013</v>
      </c>
      <c r="L1028" s="23">
        <f t="shared" ca="1" si="154"/>
        <v>63955</v>
      </c>
    </row>
    <row r="1029" spans="3:12">
      <c r="C1029" s="23">
        <f t="shared" si="152"/>
        <v>420</v>
      </c>
      <c r="D1029" s="23">
        <f t="shared" si="153"/>
        <v>168</v>
      </c>
      <c r="E1029" s="23">
        <f t="shared" si="155"/>
        <v>252</v>
      </c>
      <c r="F1029" s="23">
        <f t="shared" si="156"/>
        <v>700</v>
      </c>
      <c r="G1029" s="23">
        <f t="shared" ca="1" si="157"/>
        <v>190</v>
      </c>
      <c r="H1029" s="23">
        <f t="shared" ca="1" si="158"/>
        <v>735</v>
      </c>
      <c r="I1029" s="23">
        <f t="shared" ca="1" si="159"/>
        <v>358</v>
      </c>
      <c r="J1029" s="23">
        <f t="shared" ca="1" si="160"/>
        <v>735</v>
      </c>
      <c r="K1029" s="23">
        <f t="shared" ca="1" si="161"/>
        <v>1093</v>
      </c>
      <c r="L1029" s="23">
        <f t="shared" ca="1" si="154"/>
        <v>74755</v>
      </c>
    </row>
    <row r="1030" spans="3:12">
      <c r="C1030" s="23">
        <f t="shared" si="152"/>
        <v>420</v>
      </c>
      <c r="D1030" s="23">
        <f t="shared" si="153"/>
        <v>168</v>
      </c>
      <c r="E1030" s="23">
        <f t="shared" si="155"/>
        <v>252</v>
      </c>
      <c r="F1030" s="23">
        <f t="shared" si="156"/>
        <v>700</v>
      </c>
      <c r="G1030" s="23">
        <f t="shared" ca="1" si="157"/>
        <v>202</v>
      </c>
      <c r="H1030" s="23">
        <f t="shared" ca="1" si="158"/>
        <v>705</v>
      </c>
      <c r="I1030" s="23">
        <f t="shared" ca="1" si="159"/>
        <v>370</v>
      </c>
      <c r="J1030" s="23">
        <f t="shared" ca="1" si="160"/>
        <v>705</v>
      </c>
      <c r="K1030" s="23">
        <f t="shared" ca="1" si="161"/>
        <v>1075</v>
      </c>
      <c r="L1030" s="23">
        <f t="shared" ca="1" si="154"/>
        <v>72325</v>
      </c>
    </row>
    <row r="1031" spans="3:12">
      <c r="C1031" s="23">
        <f t="shared" si="152"/>
        <v>420</v>
      </c>
      <c r="D1031" s="23">
        <f t="shared" si="153"/>
        <v>168</v>
      </c>
      <c r="E1031" s="23">
        <f t="shared" si="155"/>
        <v>252</v>
      </c>
      <c r="F1031" s="23">
        <f t="shared" si="156"/>
        <v>700</v>
      </c>
      <c r="G1031" s="23">
        <f t="shared" ca="1" si="157"/>
        <v>228</v>
      </c>
      <c r="H1031" s="23">
        <f t="shared" ca="1" si="158"/>
        <v>640</v>
      </c>
      <c r="I1031" s="23">
        <f t="shared" ca="1" si="159"/>
        <v>396</v>
      </c>
      <c r="J1031" s="23">
        <f t="shared" ca="1" si="160"/>
        <v>640</v>
      </c>
      <c r="K1031" s="23">
        <f t="shared" ca="1" si="161"/>
        <v>1036</v>
      </c>
      <c r="L1031" s="23">
        <f t="shared" ca="1" si="154"/>
        <v>67060</v>
      </c>
    </row>
    <row r="1032" spans="3:12">
      <c r="C1032" s="23">
        <f t="shared" si="152"/>
        <v>420</v>
      </c>
      <c r="D1032" s="23">
        <f t="shared" si="153"/>
        <v>168</v>
      </c>
      <c r="E1032" s="23">
        <f t="shared" si="155"/>
        <v>252</v>
      </c>
      <c r="F1032" s="23">
        <f t="shared" si="156"/>
        <v>700</v>
      </c>
      <c r="G1032" s="23">
        <f t="shared" ca="1" si="157"/>
        <v>198</v>
      </c>
      <c r="H1032" s="23">
        <f t="shared" ca="1" si="158"/>
        <v>715</v>
      </c>
      <c r="I1032" s="23">
        <f t="shared" ca="1" si="159"/>
        <v>366</v>
      </c>
      <c r="J1032" s="23">
        <f t="shared" ca="1" si="160"/>
        <v>715</v>
      </c>
      <c r="K1032" s="23">
        <f t="shared" ca="1" si="161"/>
        <v>1081</v>
      </c>
      <c r="L1032" s="23">
        <f t="shared" ca="1" si="154"/>
        <v>73135</v>
      </c>
    </row>
    <row r="1033" spans="3:12">
      <c r="C1033" s="23">
        <f t="shared" si="152"/>
        <v>420</v>
      </c>
      <c r="D1033" s="23">
        <f t="shared" si="153"/>
        <v>168</v>
      </c>
      <c r="E1033" s="23">
        <f t="shared" si="155"/>
        <v>252</v>
      </c>
      <c r="F1033" s="23">
        <f t="shared" si="156"/>
        <v>700</v>
      </c>
      <c r="G1033" s="23">
        <f t="shared" ca="1" si="157"/>
        <v>244</v>
      </c>
      <c r="H1033" s="23">
        <f t="shared" ca="1" si="158"/>
        <v>519</v>
      </c>
      <c r="I1033" s="23">
        <f t="shared" ca="1" si="159"/>
        <v>412</v>
      </c>
      <c r="J1033" s="23">
        <f t="shared" ca="1" si="160"/>
        <v>519</v>
      </c>
      <c r="K1033" s="23">
        <f t="shared" ca="1" si="161"/>
        <v>931</v>
      </c>
      <c r="L1033" s="23">
        <f t="shared" ca="1" si="154"/>
        <v>52885</v>
      </c>
    </row>
    <row r="1034" spans="3:12">
      <c r="C1034" s="23">
        <f t="shared" si="152"/>
        <v>420</v>
      </c>
      <c r="D1034" s="23">
        <f t="shared" si="153"/>
        <v>168</v>
      </c>
      <c r="E1034" s="23">
        <f t="shared" si="155"/>
        <v>252</v>
      </c>
      <c r="F1034" s="23">
        <f t="shared" si="156"/>
        <v>700</v>
      </c>
      <c r="G1034" s="23">
        <f t="shared" ca="1" si="157"/>
        <v>213</v>
      </c>
      <c r="H1034" s="23">
        <f t="shared" ca="1" si="158"/>
        <v>562</v>
      </c>
      <c r="I1034" s="23">
        <f t="shared" ca="1" si="159"/>
        <v>381</v>
      </c>
      <c r="J1034" s="23">
        <f t="shared" ca="1" si="160"/>
        <v>562</v>
      </c>
      <c r="K1034" s="23">
        <f t="shared" ca="1" si="161"/>
        <v>943</v>
      </c>
      <c r="L1034" s="23">
        <f t="shared" ca="1" si="154"/>
        <v>54505</v>
      </c>
    </row>
    <row r="1035" spans="3:12">
      <c r="C1035" s="23">
        <f t="shared" si="152"/>
        <v>420</v>
      </c>
      <c r="D1035" s="23">
        <f t="shared" si="153"/>
        <v>168</v>
      </c>
      <c r="E1035" s="23">
        <f t="shared" si="155"/>
        <v>252</v>
      </c>
      <c r="F1035" s="23">
        <f t="shared" si="156"/>
        <v>700</v>
      </c>
      <c r="G1035" s="23">
        <f t="shared" ca="1" si="157"/>
        <v>187</v>
      </c>
      <c r="H1035" s="23">
        <f t="shared" ca="1" si="158"/>
        <v>562</v>
      </c>
      <c r="I1035" s="23">
        <f t="shared" ca="1" si="159"/>
        <v>355</v>
      </c>
      <c r="J1035" s="23">
        <f t="shared" ca="1" si="160"/>
        <v>562</v>
      </c>
      <c r="K1035" s="23">
        <f t="shared" ca="1" si="161"/>
        <v>917</v>
      </c>
      <c r="L1035" s="23">
        <f t="shared" ca="1" si="154"/>
        <v>50995</v>
      </c>
    </row>
    <row r="1036" spans="3:12">
      <c r="C1036" s="23">
        <f t="shared" ref="C1036:C1099" si="162">$B$4</f>
        <v>420</v>
      </c>
      <c r="D1036" s="23">
        <f t="shared" ref="D1036:D1099" si="163">$B$5</f>
        <v>168</v>
      </c>
      <c r="E1036" s="23">
        <f t="shared" si="155"/>
        <v>252</v>
      </c>
      <c r="F1036" s="23">
        <f t="shared" si="156"/>
        <v>700</v>
      </c>
      <c r="G1036" s="23">
        <f t="shared" ca="1" si="157"/>
        <v>168</v>
      </c>
      <c r="H1036" s="23">
        <f t="shared" ca="1" si="158"/>
        <v>818</v>
      </c>
      <c r="I1036" s="23">
        <f t="shared" ca="1" si="159"/>
        <v>336</v>
      </c>
      <c r="J1036" s="23">
        <f t="shared" ca="1" si="160"/>
        <v>784</v>
      </c>
      <c r="K1036" s="23">
        <f t="shared" ca="1" si="161"/>
        <v>1120</v>
      </c>
      <c r="L1036" s="23">
        <f t="shared" ref="L1036:L1099" ca="1" si="164">K1036*$B$2-(F1036+C1036)*$B$1</f>
        <v>78400</v>
      </c>
    </row>
    <row r="1037" spans="3:12">
      <c r="C1037" s="23">
        <f t="shared" si="162"/>
        <v>420</v>
      </c>
      <c r="D1037" s="23">
        <f t="shared" si="163"/>
        <v>168</v>
      </c>
      <c r="E1037" s="23">
        <f t="shared" ref="E1037:E1100" si="165">MAX(0,C1037-D1037)</f>
        <v>252</v>
      </c>
      <c r="F1037" s="23">
        <f t="shared" ref="F1037:F1100" si="166">$E$8</f>
        <v>700</v>
      </c>
      <c r="G1037" s="23">
        <f t="shared" ref="G1037:G1100" ca="1" si="167">_xlfn.FLOOR.MATH(MAX(0,_xlfn.NORM.INV(RAND(),$B$6*$B$8,$B$3*($B$8+0.0001))))</f>
        <v>220</v>
      </c>
      <c r="H1037" s="23">
        <f t="shared" ref="H1037:H1100" ca="1" si="168">_xlfn.FLOOR.MATH(MAX(0,_xlfn.NORM.INV(RAND(),$B$6*(1-$B$8),$B$3*(1.00001-$B$8))))</f>
        <v>656</v>
      </c>
      <c r="I1037" s="23">
        <f t="shared" ref="I1037:I1100" ca="1" si="169">MIN(C1037,D1037+G1037)</f>
        <v>388</v>
      </c>
      <c r="J1037" s="23">
        <f t="shared" ref="J1037:J1100" ca="1" si="170">MIN(C1037-I1037+F1037,H1037)</f>
        <v>656</v>
      </c>
      <c r="K1037" s="23">
        <f t="shared" ref="K1037:K1100" ca="1" si="171">I1037+J1037</f>
        <v>1044</v>
      </c>
      <c r="L1037" s="23">
        <f t="shared" ca="1" si="164"/>
        <v>68140</v>
      </c>
    </row>
    <row r="1038" spans="3:12">
      <c r="C1038" s="23">
        <f t="shared" si="162"/>
        <v>420</v>
      </c>
      <c r="D1038" s="23">
        <f t="shared" si="163"/>
        <v>168</v>
      </c>
      <c r="E1038" s="23">
        <f t="shared" si="165"/>
        <v>252</v>
      </c>
      <c r="F1038" s="23">
        <f t="shared" si="166"/>
        <v>700</v>
      </c>
      <c r="G1038" s="23">
        <f t="shared" ca="1" si="167"/>
        <v>203</v>
      </c>
      <c r="H1038" s="23">
        <f t="shared" ca="1" si="168"/>
        <v>735</v>
      </c>
      <c r="I1038" s="23">
        <f t="shared" ca="1" si="169"/>
        <v>371</v>
      </c>
      <c r="J1038" s="23">
        <f t="shared" ca="1" si="170"/>
        <v>735</v>
      </c>
      <c r="K1038" s="23">
        <f t="shared" ca="1" si="171"/>
        <v>1106</v>
      </c>
      <c r="L1038" s="23">
        <f t="shared" ca="1" si="164"/>
        <v>76510</v>
      </c>
    </row>
    <row r="1039" spans="3:12">
      <c r="C1039" s="23">
        <f t="shared" si="162"/>
        <v>420</v>
      </c>
      <c r="D1039" s="23">
        <f t="shared" si="163"/>
        <v>168</v>
      </c>
      <c r="E1039" s="23">
        <f t="shared" si="165"/>
        <v>252</v>
      </c>
      <c r="F1039" s="23">
        <f t="shared" si="166"/>
        <v>700</v>
      </c>
      <c r="G1039" s="23">
        <f t="shared" ca="1" si="167"/>
        <v>202</v>
      </c>
      <c r="H1039" s="23">
        <f t="shared" ca="1" si="168"/>
        <v>692</v>
      </c>
      <c r="I1039" s="23">
        <f t="shared" ca="1" si="169"/>
        <v>370</v>
      </c>
      <c r="J1039" s="23">
        <f t="shared" ca="1" si="170"/>
        <v>692</v>
      </c>
      <c r="K1039" s="23">
        <f t="shared" ca="1" si="171"/>
        <v>1062</v>
      </c>
      <c r="L1039" s="23">
        <f t="shared" ca="1" si="164"/>
        <v>70570</v>
      </c>
    </row>
    <row r="1040" spans="3:12">
      <c r="C1040" s="23">
        <f t="shared" si="162"/>
        <v>420</v>
      </c>
      <c r="D1040" s="23">
        <f t="shared" si="163"/>
        <v>168</v>
      </c>
      <c r="E1040" s="23">
        <f t="shared" si="165"/>
        <v>252</v>
      </c>
      <c r="F1040" s="23">
        <f t="shared" si="166"/>
        <v>700</v>
      </c>
      <c r="G1040" s="23">
        <f t="shared" ca="1" si="167"/>
        <v>232</v>
      </c>
      <c r="H1040" s="23">
        <f t="shared" ca="1" si="168"/>
        <v>606</v>
      </c>
      <c r="I1040" s="23">
        <f t="shared" ca="1" si="169"/>
        <v>400</v>
      </c>
      <c r="J1040" s="23">
        <f t="shared" ca="1" si="170"/>
        <v>606</v>
      </c>
      <c r="K1040" s="23">
        <f t="shared" ca="1" si="171"/>
        <v>1006</v>
      </c>
      <c r="L1040" s="23">
        <f t="shared" ca="1" si="164"/>
        <v>63010</v>
      </c>
    </row>
    <row r="1041" spans="3:12">
      <c r="C1041" s="23">
        <f t="shared" si="162"/>
        <v>420</v>
      </c>
      <c r="D1041" s="23">
        <f t="shared" si="163"/>
        <v>168</v>
      </c>
      <c r="E1041" s="23">
        <f t="shared" si="165"/>
        <v>252</v>
      </c>
      <c r="F1041" s="23">
        <f t="shared" si="166"/>
        <v>700</v>
      </c>
      <c r="G1041" s="23">
        <f t="shared" ca="1" si="167"/>
        <v>233</v>
      </c>
      <c r="H1041" s="23">
        <f t="shared" ca="1" si="168"/>
        <v>665</v>
      </c>
      <c r="I1041" s="23">
        <f t="shared" ca="1" si="169"/>
        <v>401</v>
      </c>
      <c r="J1041" s="23">
        <f t="shared" ca="1" si="170"/>
        <v>665</v>
      </c>
      <c r="K1041" s="23">
        <f t="shared" ca="1" si="171"/>
        <v>1066</v>
      </c>
      <c r="L1041" s="23">
        <f t="shared" ca="1" si="164"/>
        <v>71110</v>
      </c>
    </row>
    <row r="1042" spans="3:12">
      <c r="C1042" s="23">
        <f t="shared" si="162"/>
        <v>420</v>
      </c>
      <c r="D1042" s="23">
        <f t="shared" si="163"/>
        <v>168</v>
      </c>
      <c r="E1042" s="23">
        <f t="shared" si="165"/>
        <v>252</v>
      </c>
      <c r="F1042" s="23">
        <f t="shared" si="166"/>
        <v>700</v>
      </c>
      <c r="G1042" s="23">
        <f t="shared" ca="1" si="167"/>
        <v>197</v>
      </c>
      <c r="H1042" s="23">
        <f t="shared" ca="1" si="168"/>
        <v>681</v>
      </c>
      <c r="I1042" s="23">
        <f t="shared" ca="1" si="169"/>
        <v>365</v>
      </c>
      <c r="J1042" s="23">
        <f t="shared" ca="1" si="170"/>
        <v>681</v>
      </c>
      <c r="K1042" s="23">
        <f t="shared" ca="1" si="171"/>
        <v>1046</v>
      </c>
      <c r="L1042" s="23">
        <f t="shared" ca="1" si="164"/>
        <v>68410</v>
      </c>
    </row>
    <row r="1043" spans="3:12">
      <c r="C1043" s="23">
        <f t="shared" si="162"/>
        <v>420</v>
      </c>
      <c r="D1043" s="23">
        <f t="shared" si="163"/>
        <v>168</v>
      </c>
      <c r="E1043" s="23">
        <f t="shared" si="165"/>
        <v>252</v>
      </c>
      <c r="F1043" s="23">
        <f t="shared" si="166"/>
        <v>700</v>
      </c>
      <c r="G1043" s="23">
        <f t="shared" ca="1" si="167"/>
        <v>213</v>
      </c>
      <c r="H1043" s="23">
        <f t="shared" ca="1" si="168"/>
        <v>680</v>
      </c>
      <c r="I1043" s="23">
        <f t="shared" ca="1" si="169"/>
        <v>381</v>
      </c>
      <c r="J1043" s="23">
        <f t="shared" ca="1" si="170"/>
        <v>680</v>
      </c>
      <c r="K1043" s="23">
        <f t="shared" ca="1" si="171"/>
        <v>1061</v>
      </c>
      <c r="L1043" s="23">
        <f t="shared" ca="1" si="164"/>
        <v>70435</v>
      </c>
    </row>
    <row r="1044" spans="3:12">
      <c r="C1044" s="23">
        <f t="shared" si="162"/>
        <v>420</v>
      </c>
      <c r="D1044" s="23">
        <f t="shared" si="163"/>
        <v>168</v>
      </c>
      <c r="E1044" s="23">
        <f t="shared" si="165"/>
        <v>252</v>
      </c>
      <c r="F1044" s="23">
        <f t="shared" si="166"/>
        <v>700</v>
      </c>
      <c r="G1044" s="23">
        <f t="shared" ca="1" si="167"/>
        <v>205</v>
      </c>
      <c r="H1044" s="23">
        <f t="shared" ca="1" si="168"/>
        <v>773</v>
      </c>
      <c r="I1044" s="23">
        <f t="shared" ca="1" si="169"/>
        <v>373</v>
      </c>
      <c r="J1044" s="23">
        <f t="shared" ca="1" si="170"/>
        <v>747</v>
      </c>
      <c r="K1044" s="23">
        <f t="shared" ca="1" si="171"/>
        <v>1120</v>
      </c>
      <c r="L1044" s="23">
        <f t="shared" ca="1" si="164"/>
        <v>78400</v>
      </c>
    </row>
    <row r="1045" spans="3:12">
      <c r="C1045" s="23">
        <f t="shared" si="162"/>
        <v>420</v>
      </c>
      <c r="D1045" s="23">
        <f t="shared" si="163"/>
        <v>168</v>
      </c>
      <c r="E1045" s="23">
        <f t="shared" si="165"/>
        <v>252</v>
      </c>
      <c r="F1045" s="23">
        <f t="shared" si="166"/>
        <v>700</v>
      </c>
      <c r="G1045" s="23">
        <f t="shared" ca="1" si="167"/>
        <v>222</v>
      </c>
      <c r="H1045" s="23">
        <f t="shared" ca="1" si="168"/>
        <v>679</v>
      </c>
      <c r="I1045" s="23">
        <f t="shared" ca="1" si="169"/>
        <v>390</v>
      </c>
      <c r="J1045" s="23">
        <f t="shared" ca="1" si="170"/>
        <v>679</v>
      </c>
      <c r="K1045" s="23">
        <f t="shared" ca="1" si="171"/>
        <v>1069</v>
      </c>
      <c r="L1045" s="23">
        <f t="shared" ca="1" si="164"/>
        <v>71515</v>
      </c>
    </row>
    <row r="1046" spans="3:12">
      <c r="C1046" s="23">
        <f t="shared" si="162"/>
        <v>420</v>
      </c>
      <c r="D1046" s="23">
        <f t="shared" si="163"/>
        <v>168</v>
      </c>
      <c r="E1046" s="23">
        <f t="shared" si="165"/>
        <v>252</v>
      </c>
      <c r="F1046" s="23">
        <f t="shared" si="166"/>
        <v>700</v>
      </c>
      <c r="G1046" s="23">
        <f t="shared" ca="1" si="167"/>
        <v>185</v>
      </c>
      <c r="H1046" s="23">
        <f t="shared" ca="1" si="168"/>
        <v>662</v>
      </c>
      <c r="I1046" s="23">
        <f t="shared" ca="1" si="169"/>
        <v>353</v>
      </c>
      <c r="J1046" s="23">
        <f t="shared" ca="1" si="170"/>
        <v>662</v>
      </c>
      <c r="K1046" s="23">
        <f t="shared" ca="1" si="171"/>
        <v>1015</v>
      </c>
      <c r="L1046" s="23">
        <f t="shared" ca="1" si="164"/>
        <v>64225</v>
      </c>
    </row>
    <row r="1047" spans="3:12">
      <c r="C1047" s="23">
        <f t="shared" si="162"/>
        <v>420</v>
      </c>
      <c r="D1047" s="23">
        <f t="shared" si="163"/>
        <v>168</v>
      </c>
      <c r="E1047" s="23">
        <f t="shared" si="165"/>
        <v>252</v>
      </c>
      <c r="F1047" s="23">
        <f t="shared" si="166"/>
        <v>700</v>
      </c>
      <c r="G1047" s="23">
        <f t="shared" ca="1" si="167"/>
        <v>236</v>
      </c>
      <c r="H1047" s="23">
        <f t="shared" ca="1" si="168"/>
        <v>655</v>
      </c>
      <c r="I1047" s="23">
        <f t="shared" ca="1" si="169"/>
        <v>404</v>
      </c>
      <c r="J1047" s="23">
        <f t="shared" ca="1" si="170"/>
        <v>655</v>
      </c>
      <c r="K1047" s="23">
        <f t="shared" ca="1" si="171"/>
        <v>1059</v>
      </c>
      <c r="L1047" s="23">
        <f t="shared" ca="1" si="164"/>
        <v>70165</v>
      </c>
    </row>
    <row r="1048" spans="3:12">
      <c r="C1048" s="23">
        <f t="shared" si="162"/>
        <v>420</v>
      </c>
      <c r="D1048" s="23">
        <f t="shared" si="163"/>
        <v>168</v>
      </c>
      <c r="E1048" s="23">
        <f t="shared" si="165"/>
        <v>252</v>
      </c>
      <c r="F1048" s="23">
        <f t="shared" si="166"/>
        <v>700</v>
      </c>
      <c r="G1048" s="23">
        <f t="shared" ca="1" si="167"/>
        <v>245</v>
      </c>
      <c r="H1048" s="23">
        <f t="shared" ca="1" si="168"/>
        <v>499</v>
      </c>
      <c r="I1048" s="23">
        <f t="shared" ca="1" si="169"/>
        <v>413</v>
      </c>
      <c r="J1048" s="23">
        <f t="shared" ca="1" si="170"/>
        <v>499</v>
      </c>
      <c r="K1048" s="23">
        <f t="shared" ca="1" si="171"/>
        <v>912</v>
      </c>
      <c r="L1048" s="23">
        <f t="shared" ca="1" si="164"/>
        <v>50320</v>
      </c>
    </row>
    <row r="1049" spans="3:12">
      <c r="C1049" s="23">
        <f t="shared" si="162"/>
        <v>420</v>
      </c>
      <c r="D1049" s="23">
        <f t="shared" si="163"/>
        <v>168</v>
      </c>
      <c r="E1049" s="23">
        <f t="shared" si="165"/>
        <v>252</v>
      </c>
      <c r="F1049" s="23">
        <f t="shared" si="166"/>
        <v>700</v>
      </c>
      <c r="G1049" s="23">
        <f t="shared" ca="1" si="167"/>
        <v>195</v>
      </c>
      <c r="H1049" s="23">
        <f t="shared" ca="1" si="168"/>
        <v>677</v>
      </c>
      <c r="I1049" s="23">
        <f t="shared" ca="1" si="169"/>
        <v>363</v>
      </c>
      <c r="J1049" s="23">
        <f t="shared" ca="1" si="170"/>
        <v>677</v>
      </c>
      <c r="K1049" s="23">
        <f t="shared" ca="1" si="171"/>
        <v>1040</v>
      </c>
      <c r="L1049" s="23">
        <f t="shared" ca="1" si="164"/>
        <v>67600</v>
      </c>
    </row>
    <row r="1050" spans="3:12">
      <c r="C1050" s="23">
        <f t="shared" si="162"/>
        <v>420</v>
      </c>
      <c r="D1050" s="23">
        <f t="shared" si="163"/>
        <v>168</v>
      </c>
      <c r="E1050" s="23">
        <f t="shared" si="165"/>
        <v>252</v>
      </c>
      <c r="F1050" s="23">
        <f t="shared" si="166"/>
        <v>700</v>
      </c>
      <c r="G1050" s="23">
        <f t="shared" ca="1" si="167"/>
        <v>198</v>
      </c>
      <c r="H1050" s="23">
        <f t="shared" ca="1" si="168"/>
        <v>621</v>
      </c>
      <c r="I1050" s="23">
        <f t="shared" ca="1" si="169"/>
        <v>366</v>
      </c>
      <c r="J1050" s="23">
        <f t="shared" ca="1" si="170"/>
        <v>621</v>
      </c>
      <c r="K1050" s="23">
        <f t="shared" ca="1" si="171"/>
        <v>987</v>
      </c>
      <c r="L1050" s="23">
        <f t="shared" ca="1" si="164"/>
        <v>60445</v>
      </c>
    </row>
    <row r="1051" spans="3:12">
      <c r="C1051" s="23">
        <f t="shared" si="162"/>
        <v>420</v>
      </c>
      <c r="D1051" s="23">
        <f t="shared" si="163"/>
        <v>168</v>
      </c>
      <c r="E1051" s="23">
        <f t="shared" si="165"/>
        <v>252</v>
      </c>
      <c r="F1051" s="23">
        <f t="shared" si="166"/>
        <v>700</v>
      </c>
      <c r="G1051" s="23">
        <f t="shared" ca="1" si="167"/>
        <v>205</v>
      </c>
      <c r="H1051" s="23">
        <f t="shared" ca="1" si="168"/>
        <v>590</v>
      </c>
      <c r="I1051" s="23">
        <f t="shared" ca="1" si="169"/>
        <v>373</v>
      </c>
      <c r="J1051" s="23">
        <f t="shared" ca="1" si="170"/>
        <v>590</v>
      </c>
      <c r="K1051" s="23">
        <f t="shared" ca="1" si="171"/>
        <v>963</v>
      </c>
      <c r="L1051" s="23">
        <f t="shared" ca="1" si="164"/>
        <v>57205</v>
      </c>
    </row>
    <row r="1052" spans="3:12">
      <c r="C1052" s="23">
        <f t="shared" si="162"/>
        <v>420</v>
      </c>
      <c r="D1052" s="23">
        <f t="shared" si="163"/>
        <v>168</v>
      </c>
      <c r="E1052" s="23">
        <f t="shared" si="165"/>
        <v>252</v>
      </c>
      <c r="F1052" s="23">
        <f t="shared" si="166"/>
        <v>700</v>
      </c>
      <c r="G1052" s="23">
        <f t="shared" ca="1" si="167"/>
        <v>206</v>
      </c>
      <c r="H1052" s="23">
        <f t="shared" ca="1" si="168"/>
        <v>729</v>
      </c>
      <c r="I1052" s="23">
        <f t="shared" ca="1" si="169"/>
        <v>374</v>
      </c>
      <c r="J1052" s="23">
        <f t="shared" ca="1" si="170"/>
        <v>729</v>
      </c>
      <c r="K1052" s="23">
        <f t="shared" ca="1" si="171"/>
        <v>1103</v>
      </c>
      <c r="L1052" s="23">
        <f t="shared" ca="1" si="164"/>
        <v>76105</v>
      </c>
    </row>
    <row r="1053" spans="3:12">
      <c r="C1053" s="23">
        <f t="shared" si="162"/>
        <v>420</v>
      </c>
      <c r="D1053" s="23">
        <f t="shared" si="163"/>
        <v>168</v>
      </c>
      <c r="E1053" s="23">
        <f t="shared" si="165"/>
        <v>252</v>
      </c>
      <c r="F1053" s="23">
        <f t="shared" si="166"/>
        <v>700</v>
      </c>
      <c r="G1053" s="23">
        <f t="shared" ca="1" si="167"/>
        <v>230</v>
      </c>
      <c r="H1053" s="23">
        <f t="shared" ca="1" si="168"/>
        <v>719</v>
      </c>
      <c r="I1053" s="23">
        <f t="shared" ca="1" si="169"/>
        <v>398</v>
      </c>
      <c r="J1053" s="23">
        <f t="shared" ca="1" si="170"/>
        <v>719</v>
      </c>
      <c r="K1053" s="23">
        <f t="shared" ca="1" si="171"/>
        <v>1117</v>
      </c>
      <c r="L1053" s="23">
        <f t="shared" ca="1" si="164"/>
        <v>77995</v>
      </c>
    </row>
    <row r="1054" spans="3:12">
      <c r="C1054" s="23">
        <f t="shared" si="162"/>
        <v>420</v>
      </c>
      <c r="D1054" s="23">
        <f t="shared" si="163"/>
        <v>168</v>
      </c>
      <c r="E1054" s="23">
        <f t="shared" si="165"/>
        <v>252</v>
      </c>
      <c r="F1054" s="23">
        <f t="shared" si="166"/>
        <v>700</v>
      </c>
      <c r="G1054" s="23">
        <f t="shared" ca="1" si="167"/>
        <v>213</v>
      </c>
      <c r="H1054" s="23">
        <f t="shared" ca="1" si="168"/>
        <v>577</v>
      </c>
      <c r="I1054" s="23">
        <f t="shared" ca="1" si="169"/>
        <v>381</v>
      </c>
      <c r="J1054" s="23">
        <f t="shared" ca="1" si="170"/>
        <v>577</v>
      </c>
      <c r="K1054" s="23">
        <f t="shared" ca="1" si="171"/>
        <v>958</v>
      </c>
      <c r="L1054" s="23">
        <f t="shared" ca="1" si="164"/>
        <v>56530</v>
      </c>
    </row>
    <row r="1055" spans="3:12">
      <c r="C1055" s="23">
        <f t="shared" si="162"/>
        <v>420</v>
      </c>
      <c r="D1055" s="23">
        <f t="shared" si="163"/>
        <v>168</v>
      </c>
      <c r="E1055" s="23">
        <f t="shared" si="165"/>
        <v>252</v>
      </c>
      <c r="F1055" s="23">
        <f t="shared" si="166"/>
        <v>700</v>
      </c>
      <c r="G1055" s="23">
        <f t="shared" ca="1" si="167"/>
        <v>218</v>
      </c>
      <c r="H1055" s="23">
        <f t="shared" ca="1" si="168"/>
        <v>542</v>
      </c>
      <c r="I1055" s="23">
        <f t="shared" ca="1" si="169"/>
        <v>386</v>
      </c>
      <c r="J1055" s="23">
        <f t="shared" ca="1" si="170"/>
        <v>542</v>
      </c>
      <c r="K1055" s="23">
        <f t="shared" ca="1" si="171"/>
        <v>928</v>
      </c>
      <c r="L1055" s="23">
        <f t="shared" ca="1" si="164"/>
        <v>52480</v>
      </c>
    </row>
    <row r="1056" spans="3:12">
      <c r="C1056" s="23">
        <f t="shared" si="162"/>
        <v>420</v>
      </c>
      <c r="D1056" s="23">
        <f t="shared" si="163"/>
        <v>168</v>
      </c>
      <c r="E1056" s="23">
        <f t="shared" si="165"/>
        <v>252</v>
      </c>
      <c r="F1056" s="23">
        <f t="shared" si="166"/>
        <v>700</v>
      </c>
      <c r="G1056" s="23">
        <f t="shared" ca="1" si="167"/>
        <v>176</v>
      </c>
      <c r="H1056" s="23">
        <f t="shared" ca="1" si="168"/>
        <v>691</v>
      </c>
      <c r="I1056" s="23">
        <f t="shared" ca="1" si="169"/>
        <v>344</v>
      </c>
      <c r="J1056" s="23">
        <f t="shared" ca="1" si="170"/>
        <v>691</v>
      </c>
      <c r="K1056" s="23">
        <f t="shared" ca="1" si="171"/>
        <v>1035</v>
      </c>
      <c r="L1056" s="23">
        <f t="shared" ca="1" si="164"/>
        <v>66925</v>
      </c>
    </row>
    <row r="1057" spans="3:12">
      <c r="C1057" s="23">
        <f t="shared" si="162"/>
        <v>420</v>
      </c>
      <c r="D1057" s="23">
        <f t="shared" si="163"/>
        <v>168</v>
      </c>
      <c r="E1057" s="23">
        <f t="shared" si="165"/>
        <v>252</v>
      </c>
      <c r="F1057" s="23">
        <f t="shared" si="166"/>
        <v>700</v>
      </c>
      <c r="G1057" s="23">
        <f t="shared" ca="1" si="167"/>
        <v>231</v>
      </c>
      <c r="H1057" s="23">
        <f t="shared" ca="1" si="168"/>
        <v>678</v>
      </c>
      <c r="I1057" s="23">
        <f t="shared" ca="1" si="169"/>
        <v>399</v>
      </c>
      <c r="J1057" s="23">
        <f t="shared" ca="1" si="170"/>
        <v>678</v>
      </c>
      <c r="K1057" s="23">
        <f t="shared" ca="1" si="171"/>
        <v>1077</v>
      </c>
      <c r="L1057" s="23">
        <f t="shared" ca="1" si="164"/>
        <v>72595</v>
      </c>
    </row>
    <row r="1058" spans="3:12">
      <c r="C1058" s="23">
        <f t="shared" si="162"/>
        <v>420</v>
      </c>
      <c r="D1058" s="23">
        <f t="shared" si="163"/>
        <v>168</v>
      </c>
      <c r="E1058" s="23">
        <f t="shared" si="165"/>
        <v>252</v>
      </c>
      <c r="F1058" s="23">
        <f t="shared" si="166"/>
        <v>700</v>
      </c>
      <c r="G1058" s="23">
        <f t="shared" ca="1" si="167"/>
        <v>233</v>
      </c>
      <c r="H1058" s="23">
        <f t="shared" ca="1" si="168"/>
        <v>468</v>
      </c>
      <c r="I1058" s="23">
        <f t="shared" ca="1" si="169"/>
        <v>401</v>
      </c>
      <c r="J1058" s="23">
        <f t="shared" ca="1" si="170"/>
        <v>468</v>
      </c>
      <c r="K1058" s="23">
        <f t="shared" ca="1" si="171"/>
        <v>869</v>
      </c>
      <c r="L1058" s="23">
        <f t="shared" ca="1" si="164"/>
        <v>44515</v>
      </c>
    </row>
    <row r="1059" spans="3:12">
      <c r="C1059" s="23">
        <f t="shared" si="162"/>
        <v>420</v>
      </c>
      <c r="D1059" s="23">
        <f t="shared" si="163"/>
        <v>168</v>
      </c>
      <c r="E1059" s="23">
        <f t="shared" si="165"/>
        <v>252</v>
      </c>
      <c r="F1059" s="23">
        <f t="shared" si="166"/>
        <v>700</v>
      </c>
      <c r="G1059" s="23">
        <f t="shared" ca="1" si="167"/>
        <v>204</v>
      </c>
      <c r="H1059" s="23">
        <f t="shared" ca="1" si="168"/>
        <v>654</v>
      </c>
      <c r="I1059" s="23">
        <f t="shared" ca="1" si="169"/>
        <v>372</v>
      </c>
      <c r="J1059" s="23">
        <f t="shared" ca="1" si="170"/>
        <v>654</v>
      </c>
      <c r="K1059" s="23">
        <f t="shared" ca="1" si="171"/>
        <v>1026</v>
      </c>
      <c r="L1059" s="23">
        <f t="shared" ca="1" si="164"/>
        <v>65710</v>
      </c>
    </row>
    <row r="1060" spans="3:12">
      <c r="C1060" s="23">
        <f t="shared" si="162"/>
        <v>420</v>
      </c>
      <c r="D1060" s="23">
        <f t="shared" si="163"/>
        <v>168</v>
      </c>
      <c r="E1060" s="23">
        <f t="shared" si="165"/>
        <v>252</v>
      </c>
      <c r="F1060" s="23">
        <f t="shared" si="166"/>
        <v>700</v>
      </c>
      <c r="G1060" s="23">
        <f t="shared" ca="1" si="167"/>
        <v>216</v>
      </c>
      <c r="H1060" s="23">
        <f t="shared" ca="1" si="168"/>
        <v>652</v>
      </c>
      <c r="I1060" s="23">
        <f t="shared" ca="1" si="169"/>
        <v>384</v>
      </c>
      <c r="J1060" s="23">
        <f t="shared" ca="1" si="170"/>
        <v>652</v>
      </c>
      <c r="K1060" s="23">
        <f t="shared" ca="1" si="171"/>
        <v>1036</v>
      </c>
      <c r="L1060" s="23">
        <f t="shared" ca="1" si="164"/>
        <v>67060</v>
      </c>
    </row>
    <row r="1061" spans="3:12">
      <c r="C1061" s="23">
        <f t="shared" si="162"/>
        <v>420</v>
      </c>
      <c r="D1061" s="23">
        <f t="shared" si="163"/>
        <v>168</v>
      </c>
      <c r="E1061" s="23">
        <f t="shared" si="165"/>
        <v>252</v>
      </c>
      <c r="F1061" s="23">
        <f t="shared" si="166"/>
        <v>700</v>
      </c>
      <c r="G1061" s="23">
        <f t="shared" ca="1" si="167"/>
        <v>208</v>
      </c>
      <c r="H1061" s="23">
        <f t="shared" ca="1" si="168"/>
        <v>591</v>
      </c>
      <c r="I1061" s="23">
        <f t="shared" ca="1" si="169"/>
        <v>376</v>
      </c>
      <c r="J1061" s="23">
        <f t="shared" ca="1" si="170"/>
        <v>591</v>
      </c>
      <c r="K1061" s="23">
        <f t="shared" ca="1" si="171"/>
        <v>967</v>
      </c>
      <c r="L1061" s="23">
        <f t="shared" ca="1" si="164"/>
        <v>57745</v>
      </c>
    </row>
    <row r="1062" spans="3:12">
      <c r="C1062" s="23">
        <f t="shared" si="162"/>
        <v>420</v>
      </c>
      <c r="D1062" s="23">
        <f t="shared" si="163"/>
        <v>168</v>
      </c>
      <c r="E1062" s="23">
        <f t="shared" si="165"/>
        <v>252</v>
      </c>
      <c r="F1062" s="23">
        <f t="shared" si="166"/>
        <v>700</v>
      </c>
      <c r="G1062" s="23">
        <f t="shared" ca="1" si="167"/>
        <v>211</v>
      </c>
      <c r="H1062" s="23">
        <f t="shared" ca="1" si="168"/>
        <v>513</v>
      </c>
      <c r="I1062" s="23">
        <f t="shared" ca="1" si="169"/>
        <v>379</v>
      </c>
      <c r="J1062" s="23">
        <f t="shared" ca="1" si="170"/>
        <v>513</v>
      </c>
      <c r="K1062" s="23">
        <f t="shared" ca="1" si="171"/>
        <v>892</v>
      </c>
      <c r="L1062" s="23">
        <f t="shared" ca="1" si="164"/>
        <v>47620</v>
      </c>
    </row>
    <row r="1063" spans="3:12">
      <c r="C1063" s="23">
        <f t="shared" si="162"/>
        <v>420</v>
      </c>
      <c r="D1063" s="23">
        <f t="shared" si="163"/>
        <v>168</v>
      </c>
      <c r="E1063" s="23">
        <f t="shared" si="165"/>
        <v>252</v>
      </c>
      <c r="F1063" s="23">
        <f t="shared" si="166"/>
        <v>700</v>
      </c>
      <c r="G1063" s="23">
        <f t="shared" ca="1" si="167"/>
        <v>194</v>
      </c>
      <c r="H1063" s="23">
        <f t="shared" ca="1" si="168"/>
        <v>696</v>
      </c>
      <c r="I1063" s="23">
        <f t="shared" ca="1" si="169"/>
        <v>362</v>
      </c>
      <c r="J1063" s="23">
        <f t="shared" ca="1" si="170"/>
        <v>696</v>
      </c>
      <c r="K1063" s="23">
        <f t="shared" ca="1" si="171"/>
        <v>1058</v>
      </c>
      <c r="L1063" s="23">
        <f t="shared" ca="1" si="164"/>
        <v>70030</v>
      </c>
    </row>
    <row r="1064" spans="3:12">
      <c r="C1064" s="23">
        <f t="shared" si="162"/>
        <v>420</v>
      </c>
      <c r="D1064" s="23">
        <f t="shared" si="163"/>
        <v>168</v>
      </c>
      <c r="E1064" s="23">
        <f t="shared" si="165"/>
        <v>252</v>
      </c>
      <c r="F1064" s="23">
        <f t="shared" si="166"/>
        <v>700</v>
      </c>
      <c r="G1064" s="23">
        <f t="shared" ca="1" si="167"/>
        <v>211</v>
      </c>
      <c r="H1064" s="23">
        <f t="shared" ca="1" si="168"/>
        <v>755</v>
      </c>
      <c r="I1064" s="23">
        <f t="shared" ca="1" si="169"/>
        <v>379</v>
      </c>
      <c r="J1064" s="23">
        <f t="shared" ca="1" si="170"/>
        <v>741</v>
      </c>
      <c r="K1064" s="23">
        <f t="shared" ca="1" si="171"/>
        <v>1120</v>
      </c>
      <c r="L1064" s="23">
        <f t="shared" ca="1" si="164"/>
        <v>78400</v>
      </c>
    </row>
    <row r="1065" spans="3:12">
      <c r="C1065" s="23">
        <f t="shared" si="162"/>
        <v>420</v>
      </c>
      <c r="D1065" s="23">
        <f t="shared" si="163"/>
        <v>168</v>
      </c>
      <c r="E1065" s="23">
        <f t="shared" si="165"/>
        <v>252</v>
      </c>
      <c r="F1065" s="23">
        <f t="shared" si="166"/>
        <v>700</v>
      </c>
      <c r="G1065" s="23">
        <f t="shared" ca="1" si="167"/>
        <v>190</v>
      </c>
      <c r="H1065" s="23">
        <f t="shared" ca="1" si="168"/>
        <v>629</v>
      </c>
      <c r="I1065" s="23">
        <f t="shared" ca="1" si="169"/>
        <v>358</v>
      </c>
      <c r="J1065" s="23">
        <f t="shared" ca="1" si="170"/>
        <v>629</v>
      </c>
      <c r="K1065" s="23">
        <f t="shared" ca="1" si="171"/>
        <v>987</v>
      </c>
      <c r="L1065" s="23">
        <f t="shared" ca="1" si="164"/>
        <v>60445</v>
      </c>
    </row>
    <row r="1066" spans="3:12">
      <c r="C1066" s="23">
        <f t="shared" si="162"/>
        <v>420</v>
      </c>
      <c r="D1066" s="23">
        <f t="shared" si="163"/>
        <v>168</v>
      </c>
      <c r="E1066" s="23">
        <f t="shared" si="165"/>
        <v>252</v>
      </c>
      <c r="F1066" s="23">
        <f t="shared" si="166"/>
        <v>700</v>
      </c>
      <c r="G1066" s="23">
        <f t="shared" ca="1" si="167"/>
        <v>214</v>
      </c>
      <c r="H1066" s="23">
        <f t="shared" ca="1" si="168"/>
        <v>642</v>
      </c>
      <c r="I1066" s="23">
        <f t="shared" ca="1" si="169"/>
        <v>382</v>
      </c>
      <c r="J1066" s="23">
        <f t="shared" ca="1" si="170"/>
        <v>642</v>
      </c>
      <c r="K1066" s="23">
        <f t="shared" ca="1" si="171"/>
        <v>1024</v>
      </c>
      <c r="L1066" s="23">
        <f t="shared" ca="1" si="164"/>
        <v>65440</v>
      </c>
    </row>
    <row r="1067" spans="3:12">
      <c r="C1067" s="23">
        <f t="shared" si="162"/>
        <v>420</v>
      </c>
      <c r="D1067" s="23">
        <f t="shared" si="163"/>
        <v>168</v>
      </c>
      <c r="E1067" s="23">
        <f t="shared" si="165"/>
        <v>252</v>
      </c>
      <c r="F1067" s="23">
        <f t="shared" si="166"/>
        <v>700</v>
      </c>
      <c r="G1067" s="23">
        <f t="shared" ca="1" si="167"/>
        <v>204</v>
      </c>
      <c r="H1067" s="23">
        <f t="shared" ca="1" si="168"/>
        <v>646</v>
      </c>
      <c r="I1067" s="23">
        <f t="shared" ca="1" si="169"/>
        <v>372</v>
      </c>
      <c r="J1067" s="23">
        <f t="shared" ca="1" si="170"/>
        <v>646</v>
      </c>
      <c r="K1067" s="23">
        <f t="shared" ca="1" si="171"/>
        <v>1018</v>
      </c>
      <c r="L1067" s="23">
        <f t="shared" ca="1" si="164"/>
        <v>64630</v>
      </c>
    </row>
    <row r="1068" spans="3:12">
      <c r="C1068" s="23">
        <f t="shared" si="162"/>
        <v>420</v>
      </c>
      <c r="D1068" s="23">
        <f t="shared" si="163"/>
        <v>168</v>
      </c>
      <c r="E1068" s="23">
        <f t="shared" si="165"/>
        <v>252</v>
      </c>
      <c r="F1068" s="23">
        <f t="shared" si="166"/>
        <v>700</v>
      </c>
      <c r="G1068" s="23">
        <f t="shared" ca="1" si="167"/>
        <v>225</v>
      </c>
      <c r="H1068" s="23">
        <f t="shared" ca="1" si="168"/>
        <v>544</v>
      </c>
      <c r="I1068" s="23">
        <f t="shared" ca="1" si="169"/>
        <v>393</v>
      </c>
      <c r="J1068" s="23">
        <f t="shared" ca="1" si="170"/>
        <v>544</v>
      </c>
      <c r="K1068" s="23">
        <f t="shared" ca="1" si="171"/>
        <v>937</v>
      </c>
      <c r="L1068" s="23">
        <f t="shared" ca="1" si="164"/>
        <v>53695</v>
      </c>
    </row>
    <row r="1069" spans="3:12">
      <c r="C1069" s="23">
        <f t="shared" si="162"/>
        <v>420</v>
      </c>
      <c r="D1069" s="23">
        <f t="shared" si="163"/>
        <v>168</v>
      </c>
      <c r="E1069" s="23">
        <f t="shared" si="165"/>
        <v>252</v>
      </c>
      <c r="F1069" s="23">
        <f t="shared" si="166"/>
        <v>700</v>
      </c>
      <c r="G1069" s="23">
        <f t="shared" ca="1" si="167"/>
        <v>210</v>
      </c>
      <c r="H1069" s="23">
        <f t="shared" ca="1" si="168"/>
        <v>653</v>
      </c>
      <c r="I1069" s="23">
        <f t="shared" ca="1" si="169"/>
        <v>378</v>
      </c>
      <c r="J1069" s="23">
        <f t="shared" ca="1" si="170"/>
        <v>653</v>
      </c>
      <c r="K1069" s="23">
        <f t="shared" ca="1" si="171"/>
        <v>1031</v>
      </c>
      <c r="L1069" s="23">
        <f t="shared" ca="1" si="164"/>
        <v>66385</v>
      </c>
    </row>
    <row r="1070" spans="3:12">
      <c r="C1070" s="23">
        <f t="shared" si="162"/>
        <v>420</v>
      </c>
      <c r="D1070" s="23">
        <f t="shared" si="163"/>
        <v>168</v>
      </c>
      <c r="E1070" s="23">
        <f t="shared" si="165"/>
        <v>252</v>
      </c>
      <c r="F1070" s="23">
        <f t="shared" si="166"/>
        <v>700</v>
      </c>
      <c r="G1070" s="23">
        <f t="shared" ca="1" si="167"/>
        <v>195</v>
      </c>
      <c r="H1070" s="23">
        <f t="shared" ca="1" si="168"/>
        <v>560</v>
      </c>
      <c r="I1070" s="23">
        <f t="shared" ca="1" si="169"/>
        <v>363</v>
      </c>
      <c r="J1070" s="23">
        <f t="shared" ca="1" si="170"/>
        <v>560</v>
      </c>
      <c r="K1070" s="23">
        <f t="shared" ca="1" si="171"/>
        <v>923</v>
      </c>
      <c r="L1070" s="23">
        <f t="shared" ca="1" si="164"/>
        <v>51805</v>
      </c>
    </row>
    <row r="1071" spans="3:12">
      <c r="C1071" s="23">
        <f t="shared" si="162"/>
        <v>420</v>
      </c>
      <c r="D1071" s="23">
        <f t="shared" si="163"/>
        <v>168</v>
      </c>
      <c r="E1071" s="23">
        <f t="shared" si="165"/>
        <v>252</v>
      </c>
      <c r="F1071" s="23">
        <f t="shared" si="166"/>
        <v>700</v>
      </c>
      <c r="G1071" s="23">
        <f t="shared" ca="1" si="167"/>
        <v>228</v>
      </c>
      <c r="H1071" s="23">
        <f t="shared" ca="1" si="168"/>
        <v>627</v>
      </c>
      <c r="I1071" s="23">
        <f t="shared" ca="1" si="169"/>
        <v>396</v>
      </c>
      <c r="J1071" s="23">
        <f t="shared" ca="1" si="170"/>
        <v>627</v>
      </c>
      <c r="K1071" s="23">
        <f t="shared" ca="1" si="171"/>
        <v>1023</v>
      </c>
      <c r="L1071" s="23">
        <f t="shared" ca="1" si="164"/>
        <v>65305</v>
      </c>
    </row>
    <row r="1072" spans="3:12">
      <c r="C1072" s="23">
        <f t="shared" si="162"/>
        <v>420</v>
      </c>
      <c r="D1072" s="23">
        <f t="shared" si="163"/>
        <v>168</v>
      </c>
      <c r="E1072" s="23">
        <f t="shared" si="165"/>
        <v>252</v>
      </c>
      <c r="F1072" s="23">
        <f t="shared" si="166"/>
        <v>700</v>
      </c>
      <c r="G1072" s="23">
        <f t="shared" ca="1" si="167"/>
        <v>207</v>
      </c>
      <c r="H1072" s="23">
        <f t="shared" ca="1" si="168"/>
        <v>524</v>
      </c>
      <c r="I1072" s="23">
        <f t="shared" ca="1" si="169"/>
        <v>375</v>
      </c>
      <c r="J1072" s="23">
        <f t="shared" ca="1" si="170"/>
        <v>524</v>
      </c>
      <c r="K1072" s="23">
        <f t="shared" ca="1" si="171"/>
        <v>899</v>
      </c>
      <c r="L1072" s="23">
        <f t="shared" ca="1" si="164"/>
        <v>48565</v>
      </c>
    </row>
    <row r="1073" spans="3:12">
      <c r="C1073" s="23">
        <f t="shared" si="162"/>
        <v>420</v>
      </c>
      <c r="D1073" s="23">
        <f t="shared" si="163"/>
        <v>168</v>
      </c>
      <c r="E1073" s="23">
        <f t="shared" si="165"/>
        <v>252</v>
      </c>
      <c r="F1073" s="23">
        <f t="shared" si="166"/>
        <v>700</v>
      </c>
      <c r="G1073" s="23">
        <f t="shared" ca="1" si="167"/>
        <v>234</v>
      </c>
      <c r="H1073" s="23">
        <f t="shared" ca="1" si="168"/>
        <v>577</v>
      </c>
      <c r="I1073" s="23">
        <f t="shared" ca="1" si="169"/>
        <v>402</v>
      </c>
      <c r="J1073" s="23">
        <f t="shared" ca="1" si="170"/>
        <v>577</v>
      </c>
      <c r="K1073" s="23">
        <f t="shared" ca="1" si="171"/>
        <v>979</v>
      </c>
      <c r="L1073" s="23">
        <f t="shared" ca="1" si="164"/>
        <v>59365</v>
      </c>
    </row>
    <row r="1074" spans="3:12">
      <c r="C1074" s="23">
        <f t="shared" si="162"/>
        <v>420</v>
      </c>
      <c r="D1074" s="23">
        <f t="shared" si="163"/>
        <v>168</v>
      </c>
      <c r="E1074" s="23">
        <f t="shared" si="165"/>
        <v>252</v>
      </c>
      <c r="F1074" s="23">
        <f t="shared" si="166"/>
        <v>700</v>
      </c>
      <c r="G1074" s="23">
        <f t="shared" ca="1" si="167"/>
        <v>203</v>
      </c>
      <c r="H1074" s="23">
        <f t="shared" ca="1" si="168"/>
        <v>728</v>
      </c>
      <c r="I1074" s="23">
        <f t="shared" ca="1" si="169"/>
        <v>371</v>
      </c>
      <c r="J1074" s="23">
        <f t="shared" ca="1" si="170"/>
        <v>728</v>
      </c>
      <c r="K1074" s="23">
        <f t="shared" ca="1" si="171"/>
        <v>1099</v>
      </c>
      <c r="L1074" s="23">
        <f t="shared" ca="1" si="164"/>
        <v>75565</v>
      </c>
    </row>
    <row r="1075" spans="3:12">
      <c r="C1075" s="23">
        <f t="shared" si="162"/>
        <v>420</v>
      </c>
      <c r="D1075" s="23">
        <f t="shared" si="163"/>
        <v>168</v>
      </c>
      <c r="E1075" s="23">
        <f t="shared" si="165"/>
        <v>252</v>
      </c>
      <c r="F1075" s="23">
        <f t="shared" si="166"/>
        <v>700</v>
      </c>
      <c r="G1075" s="23">
        <f t="shared" ca="1" si="167"/>
        <v>223</v>
      </c>
      <c r="H1075" s="23">
        <f t="shared" ca="1" si="168"/>
        <v>624</v>
      </c>
      <c r="I1075" s="23">
        <f t="shared" ca="1" si="169"/>
        <v>391</v>
      </c>
      <c r="J1075" s="23">
        <f t="shared" ca="1" si="170"/>
        <v>624</v>
      </c>
      <c r="K1075" s="23">
        <f t="shared" ca="1" si="171"/>
        <v>1015</v>
      </c>
      <c r="L1075" s="23">
        <f t="shared" ca="1" si="164"/>
        <v>64225</v>
      </c>
    </row>
    <row r="1076" spans="3:12">
      <c r="C1076" s="23">
        <f t="shared" si="162"/>
        <v>420</v>
      </c>
      <c r="D1076" s="23">
        <f t="shared" si="163"/>
        <v>168</v>
      </c>
      <c r="E1076" s="23">
        <f t="shared" si="165"/>
        <v>252</v>
      </c>
      <c r="F1076" s="23">
        <f t="shared" si="166"/>
        <v>700</v>
      </c>
      <c r="G1076" s="23">
        <f t="shared" ca="1" si="167"/>
        <v>238</v>
      </c>
      <c r="H1076" s="23">
        <f t="shared" ca="1" si="168"/>
        <v>595</v>
      </c>
      <c r="I1076" s="23">
        <f t="shared" ca="1" si="169"/>
        <v>406</v>
      </c>
      <c r="J1076" s="23">
        <f t="shared" ca="1" si="170"/>
        <v>595</v>
      </c>
      <c r="K1076" s="23">
        <f t="shared" ca="1" si="171"/>
        <v>1001</v>
      </c>
      <c r="L1076" s="23">
        <f t="shared" ca="1" si="164"/>
        <v>62335</v>
      </c>
    </row>
    <row r="1077" spans="3:12">
      <c r="C1077" s="23">
        <f t="shared" si="162"/>
        <v>420</v>
      </c>
      <c r="D1077" s="23">
        <f t="shared" si="163"/>
        <v>168</v>
      </c>
      <c r="E1077" s="23">
        <f t="shared" si="165"/>
        <v>252</v>
      </c>
      <c r="F1077" s="23">
        <f t="shared" si="166"/>
        <v>700</v>
      </c>
      <c r="G1077" s="23">
        <f t="shared" ca="1" si="167"/>
        <v>208</v>
      </c>
      <c r="H1077" s="23">
        <f t="shared" ca="1" si="168"/>
        <v>621</v>
      </c>
      <c r="I1077" s="23">
        <f t="shared" ca="1" si="169"/>
        <v>376</v>
      </c>
      <c r="J1077" s="23">
        <f t="shared" ca="1" si="170"/>
        <v>621</v>
      </c>
      <c r="K1077" s="23">
        <f t="shared" ca="1" si="171"/>
        <v>997</v>
      </c>
      <c r="L1077" s="23">
        <f t="shared" ca="1" si="164"/>
        <v>61795</v>
      </c>
    </row>
    <row r="1078" spans="3:12">
      <c r="C1078" s="23">
        <f t="shared" si="162"/>
        <v>420</v>
      </c>
      <c r="D1078" s="23">
        <f t="shared" si="163"/>
        <v>168</v>
      </c>
      <c r="E1078" s="23">
        <f t="shared" si="165"/>
        <v>252</v>
      </c>
      <c r="F1078" s="23">
        <f t="shared" si="166"/>
        <v>700</v>
      </c>
      <c r="G1078" s="23">
        <f t="shared" ca="1" si="167"/>
        <v>244</v>
      </c>
      <c r="H1078" s="23">
        <f t="shared" ca="1" si="168"/>
        <v>717</v>
      </c>
      <c r="I1078" s="23">
        <f t="shared" ca="1" si="169"/>
        <v>412</v>
      </c>
      <c r="J1078" s="23">
        <f t="shared" ca="1" si="170"/>
        <v>708</v>
      </c>
      <c r="K1078" s="23">
        <f t="shared" ca="1" si="171"/>
        <v>1120</v>
      </c>
      <c r="L1078" s="23">
        <f t="shared" ca="1" si="164"/>
        <v>78400</v>
      </c>
    </row>
    <row r="1079" spans="3:12">
      <c r="C1079" s="23">
        <f t="shared" si="162"/>
        <v>420</v>
      </c>
      <c r="D1079" s="23">
        <f t="shared" si="163"/>
        <v>168</v>
      </c>
      <c r="E1079" s="23">
        <f t="shared" si="165"/>
        <v>252</v>
      </c>
      <c r="F1079" s="23">
        <f t="shared" si="166"/>
        <v>700</v>
      </c>
      <c r="G1079" s="23">
        <f t="shared" ca="1" si="167"/>
        <v>220</v>
      </c>
      <c r="H1079" s="23">
        <f t="shared" ca="1" si="168"/>
        <v>555</v>
      </c>
      <c r="I1079" s="23">
        <f t="shared" ca="1" si="169"/>
        <v>388</v>
      </c>
      <c r="J1079" s="23">
        <f t="shared" ca="1" si="170"/>
        <v>555</v>
      </c>
      <c r="K1079" s="23">
        <f t="shared" ca="1" si="171"/>
        <v>943</v>
      </c>
      <c r="L1079" s="23">
        <f t="shared" ca="1" si="164"/>
        <v>54505</v>
      </c>
    </row>
    <row r="1080" spans="3:12">
      <c r="C1080" s="23">
        <f t="shared" si="162"/>
        <v>420</v>
      </c>
      <c r="D1080" s="23">
        <f t="shared" si="163"/>
        <v>168</v>
      </c>
      <c r="E1080" s="23">
        <f t="shared" si="165"/>
        <v>252</v>
      </c>
      <c r="F1080" s="23">
        <f t="shared" si="166"/>
        <v>700</v>
      </c>
      <c r="G1080" s="23">
        <f t="shared" ca="1" si="167"/>
        <v>209</v>
      </c>
      <c r="H1080" s="23">
        <f t="shared" ca="1" si="168"/>
        <v>612</v>
      </c>
      <c r="I1080" s="23">
        <f t="shared" ca="1" si="169"/>
        <v>377</v>
      </c>
      <c r="J1080" s="23">
        <f t="shared" ca="1" si="170"/>
        <v>612</v>
      </c>
      <c r="K1080" s="23">
        <f t="shared" ca="1" si="171"/>
        <v>989</v>
      </c>
      <c r="L1080" s="23">
        <f t="shared" ca="1" si="164"/>
        <v>60715</v>
      </c>
    </row>
    <row r="1081" spans="3:12">
      <c r="C1081" s="23">
        <f t="shared" si="162"/>
        <v>420</v>
      </c>
      <c r="D1081" s="23">
        <f t="shared" si="163"/>
        <v>168</v>
      </c>
      <c r="E1081" s="23">
        <f t="shared" si="165"/>
        <v>252</v>
      </c>
      <c r="F1081" s="23">
        <f t="shared" si="166"/>
        <v>700</v>
      </c>
      <c r="G1081" s="23">
        <f t="shared" ca="1" si="167"/>
        <v>203</v>
      </c>
      <c r="H1081" s="23">
        <f t="shared" ca="1" si="168"/>
        <v>704</v>
      </c>
      <c r="I1081" s="23">
        <f t="shared" ca="1" si="169"/>
        <v>371</v>
      </c>
      <c r="J1081" s="23">
        <f t="shared" ca="1" si="170"/>
        <v>704</v>
      </c>
      <c r="K1081" s="23">
        <f t="shared" ca="1" si="171"/>
        <v>1075</v>
      </c>
      <c r="L1081" s="23">
        <f t="shared" ca="1" si="164"/>
        <v>72325</v>
      </c>
    </row>
    <row r="1082" spans="3:12">
      <c r="C1082" s="23">
        <f t="shared" si="162"/>
        <v>420</v>
      </c>
      <c r="D1082" s="23">
        <f t="shared" si="163"/>
        <v>168</v>
      </c>
      <c r="E1082" s="23">
        <f t="shared" si="165"/>
        <v>252</v>
      </c>
      <c r="F1082" s="23">
        <f t="shared" si="166"/>
        <v>700</v>
      </c>
      <c r="G1082" s="23">
        <f t="shared" ca="1" si="167"/>
        <v>178</v>
      </c>
      <c r="H1082" s="23">
        <f t="shared" ca="1" si="168"/>
        <v>718</v>
      </c>
      <c r="I1082" s="23">
        <f t="shared" ca="1" si="169"/>
        <v>346</v>
      </c>
      <c r="J1082" s="23">
        <f t="shared" ca="1" si="170"/>
        <v>718</v>
      </c>
      <c r="K1082" s="23">
        <f t="shared" ca="1" si="171"/>
        <v>1064</v>
      </c>
      <c r="L1082" s="23">
        <f t="shared" ca="1" si="164"/>
        <v>70840</v>
      </c>
    </row>
    <row r="1083" spans="3:12">
      <c r="C1083" s="23">
        <f t="shared" si="162"/>
        <v>420</v>
      </c>
      <c r="D1083" s="23">
        <f t="shared" si="163"/>
        <v>168</v>
      </c>
      <c r="E1083" s="23">
        <f t="shared" si="165"/>
        <v>252</v>
      </c>
      <c r="F1083" s="23">
        <f t="shared" si="166"/>
        <v>700</v>
      </c>
      <c r="G1083" s="23">
        <f t="shared" ca="1" si="167"/>
        <v>222</v>
      </c>
      <c r="H1083" s="23">
        <f t="shared" ca="1" si="168"/>
        <v>653</v>
      </c>
      <c r="I1083" s="23">
        <f t="shared" ca="1" si="169"/>
        <v>390</v>
      </c>
      <c r="J1083" s="23">
        <f t="shared" ca="1" si="170"/>
        <v>653</v>
      </c>
      <c r="K1083" s="23">
        <f t="shared" ca="1" si="171"/>
        <v>1043</v>
      </c>
      <c r="L1083" s="23">
        <f t="shared" ca="1" si="164"/>
        <v>68005</v>
      </c>
    </row>
    <row r="1084" spans="3:12">
      <c r="C1084" s="23">
        <f t="shared" si="162"/>
        <v>420</v>
      </c>
      <c r="D1084" s="23">
        <f t="shared" si="163"/>
        <v>168</v>
      </c>
      <c r="E1084" s="23">
        <f t="shared" si="165"/>
        <v>252</v>
      </c>
      <c r="F1084" s="23">
        <f t="shared" si="166"/>
        <v>700</v>
      </c>
      <c r="G1084" s="23">
        <f t="shared" ca="1" si="167"/>
        <v>247</v>
      </c>
      <c r="H1084" s="23">
        <f t="shared" ca="1" si="168"/>
        <v>601</v>
      </c>
      <c r="I1084" s="23">
        <f t="shared" ca="1" si="169"/>
        <v>415</v>
      </c>
      <c r="J1084" s="23">
        <f t="shared" ca="1" si="170"/>
        <v>601</v>
      </c>
      <c r="K1084" s="23">
        <f t="shared" ca="1" si="171"/>
        <v>1016</v>
      </c>
      <c r="L1084" s="23">
        <f t="shared" ca="1" si="164"/>
        <v>64360</v>
      </c>
    </row>
    <row r="1085" spans="3:12">
      <c r="C1085" s="23">
        <f t="shared" si="162"/>
        <v>420</v>
      </c>
      <c r="D1085" s="23">
        <f t="shared" si="163"/>
        <v>168</v>
      </c>
      <c r="E1085" s="23">
        <f t="shared" si="165"/>
        <v>252</v>
      </c>
      <c r="F1085" s="23">
        <f t="shared" si="166"/>
        <v>700</v>
      </c>
      <c r="G1085" s="23">
        <f t="shared" ca="1" si="167"/>
        <v>192</v>
      </c>
      <c r="H1085" s="23">
        <f t="shared" ca="1" si="168"/>
        <v>580</v>
      </c>
      <c r="I1085" s="23">
        <f t="shared" ca="1" si="169"/>
        <v>360</v>
      </c>
      <c r="J1085" s="23">
        <f t="shared" ca="1" si="170"/>
        <v>580</v>
      </c>
      <c r="K1085" s="23">
        <f t="shared" ca="1" si="171"/>
        <v>940</v>
      </c>
      <c r="L1085" s="23">
        <f t="shared" ca="1" si="164"/>
        <v>54100</v>
      </c>
    </row>
    <row r="1086" spans="3:12">
      <c r="C1086" s="23">
        <f t="shared" si="162"/>
        <v>420</v>
      </c>
      <c r="D1086" s="23">
        <f t="shared" si="163"/>
        <v>168</v>
      </c>
      <c r="E1086" s="23">
        <f t="shared" si="165"/>
        <v>252</v>
      </c>
      <c r="F1086" s="23">
        <f t="shared" si="166"/>
        <v>700</v>
      </c>
      <c r="G1086" s="23">
        <f t="shared" ca="1" si="167"/>
        <v>174</v>
      </c>
      <c r="H1086" s="23">
        <f t="shared" ca="1" si="168"/>
        <v>576</v>
      </c>
      <c r="I1086" s="23">
        <f t="shared" ca="1" si="169"/>
        <v>342</v>
      </c>
      <c r="J1086" s="23">
        <f t="shared" ca="1" si="170"/>
        <v>576</v>
      </c>
      <c r="K1086" s="23">
        <f t="shared" ca="1" si="171"/>
        <v>918</v>
      </c>
      <c r="L1086" s="23">
        <f t="shared" ca="1" si="164"/>
        <v>51130</v>
      </c>
    </row>
    <row r="1087" spans="3:12">
      <c r="C1087" s="23">
        <f t="shared" si="162"/>
        <v>420</v>
      </c>
      <c r="D1087" s="23">
        <f t="shared" si="163"/>
        <v>168</v>
      </c>
      <c r="E1087" s="23">
        <f t="shared" si="165"/>
        <v>252</v>
      </c>
      <c r="F1087" s="23">
        <f t="shared" si="166"/>
        <v>700</v>
      </c>
      <c r="G1087" s="23">
        <f t="shared" ca="1" si="167"/>
        <v>204</v>
      </c>
      <c r="H1087" s="23">
        <f t="shared" ca="1" si="168"/>
        <v>870</v>
      </c>
      <c r="I1087" s="23">
        <f t="shared" ca="1" si="169"/>
        <v>372</v>
      </c>
      <c r="J1087" s="23">
        <f t="shared" ca="1" si="170"/>
        <v>748</v>
      </c>
      <c r="K1087" s="23">
        <f t="shared" ca="1" si="171"/>
        <v>1120</v>
      </c>
      <c r="L1087" s="23">
        <f t="shared" ca="1" si="164"/>
        <v>78400</v>
      </c>
    </row>
    <row r="1088" spans="3:12">
      <c r="C1088" s="23">
        <f t="shared" si="162"/>
        <v>420</v>
      </c>
      <c r="D1088" s="23">
        <f t="shared" si="163"/>
        <v>168</v>
      </c>
      <c r="E1088" s="23">
        <f t="shared" si="165"/>
        <v>252</v>
      </c>
      <c r="F1088" s="23">
        <f t="shared" si="166"/>
        <v>700</v>
      </c>
      <c r="G1088" s="23">
        <f t="shared" ca="1" si="167"/>
        <v>195</v>
      </c>
      <c r="H1088" s="23">
        <f t="shared" ca="1" si="168"/>
        <v>642</v>
      </c>
      <c r="I1088" s="23">
        <f t="shared" ca="1" si="169"/>
        <v>363</v>
      </c>
      <c r="J1088" s="23">
        <f t="shared" ca="1" si="170"/>
        <v>642</v>
      </c>
      <c r="K1088" s="23">
        <f t="shared" ca="1" si="171"/>
        <v>1005</v>
      </c>
      <c r="L1088" s="23">
        <f t="shared" ca="1" si="164"/>
        <v>62875</v>
      </c>
    </row>
    <row r="1089" spans="3:12">
      <c r="C1089" s="23">
        <f t="shared" si="162"/>
        <v>420</v>
      </c>
      <c r="D1089" s="23">
        <f t="shared" si="163"/>
        <v>168</v>
      </c>
      <c r="E1089" s="23">
        <f t="shared" si="165"/>
        <v>252</v>
      </c>
      <c r="F1089" s="23">
        <f t="shared" si="166"/>
        <v>700</v>
      </c>
      <c r="G1089" s="23">
        <f t="shared" ca="1" si="167"/>
        <v>185</v>
      </c>
      <c r="H1089" s="23">
        <f t="shared" ca="1" si="168"/>
        <v>802</v>
      </c>
      <c r="I1089" s="23">
        <f t="shared" ca="1" si="169"/>
        <v>353</v>
      </c>
      <c r="J1089" s="23">
        <f t="shared" ca="1" si="170"/>
        <v>767</v>
      </c>
      <c r="K1089" s="23">
        <f t="shared" ca="1" si="171"/>
        <v>1120</v>
      </c>
      <c r="L1089" s="23">
        <f t="shared" ca="1" si="164"/>
        <v>78400</v>
      </c>
    </row>
    <row r="1090" spans="3:12">
      <c r="C1090" s="23">
        <f t="shared" si="162"/>
        <v>420</v>
      </c>
      <c r="D1090" s="23">
        <f t="shared" si="163"/>
        <v>168</v>
      </c>
      <c r="E1090" s="23">
        <f t="shared" si="165"/>
        <v>252</v>
      </c>
      <c r="F1090" s="23">
        <f t="shared" si="166"/>
        <v>700</v>
      </c>
      <c r="G1090" s="23">
        <f t="shared" ca="1" si="167"/>
        <v>230</v>
      </c>
      <c r="H1090" s="23">
        <f t="shared" ca="1" si="168"/>
        <v>712</v>
      </c>
      <c r="I1090" s="23">
        <f t="shared" ca="1" si="169"/>
        <v>398</v>
      </c>
      <c r="J1090" s="23">
        <f t="shared" ca="1" si="170"/>
        <v>712</v>
      </c>
      <c r="K1090" s="23">
        <f t="shared" ca="1" si="171"/>
        <v>1110</v>
      </c>
      <c r="L1090" s="23">
        <f t="shared" ca="1" si="164"/>
        <v>77050</v>
      </c>
    </row>
    <row r="1091" spans="3:12">
      <c r="C1091" s="23">
        <f t="shared" si="162"/>
        <v>420</v>
      </c>
      <c r="D1091" s="23">
        <f t="shared" si="163"/>
        <v>168</v>
      </c>
      <c r="E1091" s="23">
        <f t="shared" si="165"/>
        <v>252</v>
      </c>
      <c r="F1091" s="23">
        <f t="shared" si="166"/>
        <v>700</v>
      </c>
      <c r="G1091" s="23">
        <f t="shared" ca="1" si="167"/>
        <v>209</v>
      </c>
      <c r="H1091" s="23">
        <f t="shared" ca="1" si="168"/>
        <v>568</v>
      </c>
      <c r="I1091" s="23">
        <f t="shared" ca="1" si="169"/>
        <v>377</v>
      </c>
      <c r="J1091" s="23">
        <f t="shared" ca="1" si="170"/>
        <v>568</v>
      </c>
      <c r="K1091" s="23">
        <f t="shared" ca="1" si="171"/>
        <v>945</v>
      </c>
      <c r="L1091" s="23">
        <f t="shared" ca="1" si="164"/>
        <v>54775</v>
      </c>
    </row>
    <row r="1092" spans="3:12">
      <c r="C1092" s="23">
        <f t="shared" si="162"/>
        <v>420</v>
      </c>
      <c r="D1092" s="23">
        <f t="shared" si="163"/>
        <v>168</v>
      </c>
      <c r="E1092" s="23">
        <f t="shared" si="165"/>
        <v>252</v>
      </c>
      <c r="F1092" s="23">
        <f t="shared" si="166"/>
        <v>700</v>
      </c>
      <c r="G1092" s="23">
        <f t="shared" ca="1" si="167"/>
        <v>214</v>
      </c>
      <c r="H1092" s="23">
        <f t="shared" ca="1" si="168"/>
        <v>681</v>
      </c>
      <c r="I1092" s="23">
        <f t="shared" ca="1" si="169"/>
        <v>382</v>
      </c>
      <c r="J1092" s="23">
        <f t="shared" ca="1" si="170"/>
        <v>681</v>
      </c>
      <c r="K1092" s="23">
        <f t="shared" ca="1" si="171"/>
        <v>1063</v>
      </c>
      <c r="L1092" s="23">
        <f t="shared" ca="1" si="164"/>
        <v>70705</v>
      </c>
    </row>
    <row r="1093" spans="3:12">
      <c r="C1093" s="23">
        <f t="shared" si="162"/>
        <v>420</v>
      </c>
      <c r="D1093" s="23">
        <f t="shared" si="163"/>
        <v>168</v>
      </c>
      <c r="E1093" s="23">
        <f t="shared" si="165"/>
        <v>252</v>
      </c>
      <c r="F1093" s="23">
        <f t="shared" si="166"/>
        <v>700</v>
      </c>
      <c r="G1093" s="23">
        <f t="shared" ca="1" si="167"/>
        <v>206</v>
      </c>
      <c r="H1093" s="23">
        <f t="shared" ca="1" si="168"/>
        <v>541</v>
      </c>
      <c r="I1093" s="23">
        <f t="shared" ca="1" si="169"/>
        <v>374</v>
      </c>
      <c r="J1093" s="23">
        <f t="shared" ca="1" si="170"/>
        <v>541</v>
      </c>
      <c r="K1093" s="23">
        <f t="shared" ca="1" si="171"/>
        <v>915</v>
      </c>
      <c r="L1093" s="23">
        <f t="shared" ca="1" si="164"/>
        <v>50725</v>
      </c>
    </row>
    <row r="1094" spans="3:12">
      <c r="C1094" s="23">
        <f t="shared" si="162"/>
        <v>420</v>
      </c>
      <c r="D1094" s="23">
        <f t="shared" si="163"/>
        <v>168</v>
      </c>
      <c r="E1094" s="23">
        <f t="shared" si="165"/>
        <v>252</v>
      </c>
      <c r="F1094" s="23">
        <f t="shared" si="166"/>
        <v>700</v>
      </c>
      <c r="G1094" s="23">
        <f t="shared" ca="1" si="167"/>
        <v>258</v>
      </c>
      <c r="H1094" s="23">
        <f t="shared" ca="1" si="168"/>
        <v>551</v>
      </c>
      <c r="I1094" s="23">
        <f t="shared" ca="1" si="169"/>
        <v>420</v>
      </c>
      <c r="J1094" s="23">
        <f t="shared" ca="1" si="170"/>
        <v>551</v>
      </c>
      <c r="K1094" s="23">
        <f t="shared" ca="1" si="171"/>
        <v>971</v>
      </c>
      <c r="L1094" s="23">
        <f t="shared" ca="1" si="164"/>
        <v>58285</v>
      </c>
    </row>
    <row r="1095" spans="3:12">
      <c r="C1095" s="23">
        <f t="shared" si="162"/>
        <v>420</v>
      </c>
      <c r="D1095" s="23">
        <f t="shared" si="163"/>
        <v>168</v>
      </c>
      <c r="E1095" s="23">
        <f t="shared" si="165"/>
        <v>252</v>
      </c>
      <c r="F1095" s="23">
        <f t="shared" si="166"/>
        <v>700</v>
      </c>
      <c r="G1095" s="23">
        <f t="shared" ca="1" si="167"/>
        <v>194</v>
      </c>
      <c r="H1095" s="23">
        <f t="shared" ca="1" si="168"/>
        <v>516</v>
      </c>
      <c r="I1095" s="23">
        <f t="shared" ca="1" si="169"/>
        <v>362</v>
      </c>
      <c r="J1095" s="23">
        <f t="shared" ca="1" si="170"/>
        <v>516</v>
      </c>
      <c r="K1095" s="23">
        <f t="shared" ca="1" si="171"/>
        <v>878</v>
      </c>
      <c r="L1095" s="23">
        <f t="shared" ca="1" si="164"/>
        <v>45730</v>
      </c>
    </row>
    <row r="1096" spans="3:12">
      <c r="C1096" s="23">
        <f t="shared" si="162"/>
        <v>420</v>
      </c>
      <c r="D1096" s="23">
        <f t="shared" si="163"/>
        <v>168</v>
      </c>
      <c r="E1096" s="23">
        <f t="shared" si="165"/>
        <v>252</v>
      </c>
      <c r="F1096" s="23">
        <f t="shared" si="166"/>
        <v>700</v>
      </c>
      <c r="G1096" s="23">
        <f t="shared" ca="1" si="167"/>
        <v>209</v>
      </c>
      <c r="H1096" s="23">
        <f t="shared" ca="1" si="168"/>
        <v>681</v>
      </c>
      <c r="I1096" s="23">
        <f t="shared" ca="1" si="169"/>
        <v>377</v>
      </c>
      <c r="J1096" s="23">
        <f t="shared" ca="1" si="170"/>
        <v>681</v>
      </c>
      <c r="K1096" s="23">
        <f t="shared" ca="1" si="171"/>
        <v>1058</v>
      </c>
      <c r="L1096" s="23">
        <f t="shared" ca="1" si="164"/>
        <v>70030</v>
      </c>
    </row>
    <row r="1097" spans="3:12">
      <c r="C1097" s="23">
        <f t="shared" si="162"/>
        <v>420</v>
      </c>
      <c r="D1097" s="23">
        <f t="shared" si="163"/>
        <v>168</v>
      </c>
      <c r="E1097" s="23">
        <f t="shared" si="165"/>
        <v>252</v>
      </c>
      <c r="F1097" s="23">
        <f t="shared" si="166"/>
        <v>700</v>
      </c>
      <c r="G1097" s="23">
        <f t="shared" ca="1" si="167"/>
        <v>222</v>
      </c>
      <c r="H1097" s="23">
        <f t="shared" ca="1" si="168"/>
        <v>636</v>
      </c>
      <c r="I1097" s="23">
        <f t="shared" ca="1" si="169"/>
        <v>390</v>
      </c>
      <c r="J1097" s="23">
        <f t="shared" ca="1" si="170"/>
        <v>636</v>
      </c>
      <c r="K1097" s="23">
        <f t="shared" ca="1" si="171"/>
        <v>1026</v>
      </c>
      <c r="L1097" s="23">
        <f t="shared" ca="1" si="164"/>
        <v>65710</v>
      </c>
    </row>
    <row r="1098" spans="3:12">
      <c r="C1098" s="23">
        <f t="shared" si="162"/>
        <v>420</v>
      </c>
      <c r="D1098" s="23">
        <f t="shared" si="163"/>
        <v>168</v>
      </c>
      <c r="E1098" s="23">
        <f t="shared" si="165"/>
        <v>252</v>
      </c>
      <c r="F1098" s="23">
        <f t="shared" si="166"/>
        <v>700</v>
      </c>
      <c r="G1098" s="23">
        <f t="shared" ca="1" si="167"/>
        <v>218</v>
      </c>
      <c r="H1098" s="23">
        <f t="shared" ca="1" si="168"/>
        <v>566</v>
      </c>
      <c r="I1098" s="23">
        <f t="shared" ca="1" si="169"/>
        <v>386</v>
      </c>
      <c r="J1098" s="23">
        <f t="shared" ca="1" si="170"/>
        <v>566</v>
      </c>
      <c r="K1098" s="23">
        <f t="shared" ca="1" si="171"/>
        <v>952</v>
      </c>
      <c r="L1098" s="23">
        <f t="shared" ca="1" si="164"/>
        <v>55720</v>
      </c>
    </row>
    <row r="1099" spans="3:12">
      <c r="C1099" s="23">
        <f t="shared" si="162"/>
        <v>420</v>
      </c>
      <c r="D1099" s="23">
        <f t="shared" si="163"/>
        <v>168</v>
      </c>
      <c r="E1099" s="23">
        <f t="shared" si="165"/>
        <v>252</v>
      </c>
      <c r="F1099" s="23">
        <f t="shared" si="166"/>
        <v>700</v>
      </c>
      <c r="G1099" s="23">
        <f t="shared" ca="1" si="167"/>
        <v>194</v>
      </c>
      <c r="H1099" s="23">
        <f t="shared" ca="1" si="168"/>
        <v>744</v>
      </c>
      <c r="I1099" s="23">
        <f t="shared" ca="1" si="169"/>
        <v>362</v>
      </c>
      <c r="J1099" s="23">
        <f t="shared" ca="1" si="170"/>
        <v>744</v>
      </c>
      <c r="K1099" s="23">
        <f t="shared" ca="1" si="171"/>
        <v>1106</v>
      </c>
      <c r="L1099" s="23">
        <f t="shared" ca="1" si="164"/>
        <v>76510</v>
      </c>
    </row>
    <row r="1100" spans="3:12">
      <c r="C1100" s="23">
        <f t="shared" ref="C1100:C1163" si="172">$B$4</f>
        <v>420</v>
      </c>
      <c r="D1100" s="23">
        <f t="shared" ref="D1100:D1163" si="173">$B$5</f>
        <v>168</v>
      </c>
      <c r="E1100" s="23">
        <f t="shared" si="165"/>
        <v>252</v>
      </c>
      <c r="F1100" s="23">
        <f t="shared" si="166"/>
        <v>700</v>
      </c>
      <c r="G1100" s="23">
        <f t="shared" ca="1" si="167"/>
        <v>226</v>
      </c>
      <c r="H1100" s="23">
        <f t="shared" ca="1" si="168"/>
        <v>610</v>
      </c>
      <c r="I1100" s="23">
        <f t="shared" ca="1" si="169"/>
        <v>394</v>
      </c>
      <c r="J1100" s="23">
        <f t="shared" ca="1" si="170"/>
        <v>610</v>
      </c>
      <c r="K1100" s="23">
        <f t="shared" ca="1" si="171"/>
        <v>1004</v>
      </c>
      <c r="L1100" s="23">
        <f t="shared" ref="L1100:L1163" ca="1" si="174">K1100*$B$2-(F1100+C1100)*$B$1</f>
        <v>62740</v>
      </c>
    </row>
    <row r="1101" spans="3:12">
      <c r="C1101" s="23">
        <f t="shared" si="172"/>
        <v>420</v>
      </c>
      <c r="D1101" s="23">
        <f t="shared" si="173"/>
        <v>168</v>
      </c>
      <c r="E1101" s="23">
        <f t="shared" ref="E1101:E1164" si="175">MAX(0,C1101-D1101)</f>
        <v>252</v>
      </c>
      <c r="F1101" s="23">
        <f t="shared" ref="F1101:F1164" si="176">$E$8</f>
        <v>700</v>
      </c>
      <c r="G1101" s="23">
        <f t="shared" ref="G1101:G1164" ca="1" si="177">_xlfn.FLOOR.MATH(MAX(0,_xlfn.NORM.INV(RAND(),$B$6*$B$8,$B$3*($B$8+0.0001))))</f>
        <v>203</v>
      </c>
      <c r="H1101" s="23">
        <f t="shared" ref="H1101:H1164" ca="1" si="178">_xlfn.FLOOR.MATH(MAX(0,_xlfn.NORM.INV(RAND(),$B$6*(1-$B$8),$B$3*(1.00001-$B$8))))</f>
        <v>707</v>
      </c>
      <c r="I1101" s="23">
        <f t="shared" ref="I1101:I1164" ca="1" si="179">MIN(C1101,D1101+G1101)</f>
        <v>371</v>
      </c>
      <c r="J1101" s="23">
        <f t="shared" ref="J1101:J1164" ca="1" si="180">MIN(C1101-I1101+F1101,H1101)</f>
        <v>707</v>
      </c>
      <c r="K1101" s="23">
        <f t="shared" ref="K1101:K1164" ca="1" si="181">I1101+J1101</f>
        <v>1078</v>
      </c>
      <c r="L1101" s="23">
        <f t="shared" ca="1" si="174"/>
        <v>72730</v>
      </c>
    </row>
    <row r="1102" spans="3:12">
      <c r="C1102" s="23">
        <f t="shared" si="172"/>
        <v>420</v>
      </c>
      <c r="D1102" s="23">
        <f t="shared" si="173"/>
        <v>168</v>
      </c>
      <c r="E1102" s="23">
        <f t="shared" si="175"/>
        <v>252</v>
      </c>
      <c r="F1102" s="23">
        <f t="shared" si="176"/>
        <v>700</v>
      </c>
      <c r="G1102" s="23">
        <f t="shared" ca="1" si="177"/>
        <v>219</v>
      </c>
      <c r="H1102" s="23">
        <f t="shared" ca="1" si="178"/>
        <v>681</v>
      </c>
      <c r="I1102" s="23">
        <f t="shared" ca="1" si="179"/>
        <v>387</v>
      </c>
      <c r="J1102" s="23">
        <f t="shared" ca="1" si="180"/>
        <v>681</v>
      </c>
      <c r="K1102" s="23">
        <f t="shared" ca="1" si="181"/>
        <v>1068</v>
      </c>
      <c r="L1102" s="23">
        <f t="shared" ca="1" si="174"/>
        <v>71380</v>
      </c>
    </row>
    <row r="1103" spans="3:12">
      <c r="C1103" s="23">
        <f t="shared" si="172"/>
        <v>420</v>
      </c>
      <c r="D1103" s="23">
        <f t="shared" si="173"/>
        <v>168</v>
      </c>
      <c r="E1103" s="23">
        <f t="shared" si="175"/>
        <v>252</v>
      </c>
      <c r="F1103" s="23">
        <f t="shared" si="176"/>
        <v>700</v>
      </c>
      <c r="G1103" s="23">
        <f t="shared" ca="1" si="177"/>
        <v>239</v>
      </c>
      <c r="H1103" s="23">
        <f t="shared" ca="1" si="178"/>
        <v>681</v>
      </c>
      <c r="I1103" s="23">
        <f t="shared" ca="1" si="179"/>
        <v>407</v>
      </c>
      <c r="J1103" s="23">
        <f t="shared" ca="1" si="180"/>
        <v>681</v>
      </c>
      <c r="K1103" s="23">
        <f t="shared" ca="1" si="181"/>
        <v>1088</v>
      </c>
      <c r="L1103" s="23">
        <f t="shared" ca="1" si="174"/>
        <v>74080</v>
      </c>
    </row>
    <row r="1104" spans="3:12">
      <c r="C1104" s="23">
        <f t="shared" si="172"/>
        <v>420</v>
      </c>
      <c r="D1104" s="23">
        <f t="shared" si="173"/>
        <v>168</v>
      </c>
      <c r="E1104" s="23">
        <f t="shared" si="175"/>
        <v>252</v>
      </c>
      <c r="F1104" s="23">
        <f t="shared" si="176"/>
        <v>700</v>
      </c>
      <c r="G1104" s="23">
        <f t="shared" ca="1" si="177"/>
        <v>244</v>
      </c>
      <c r="H1104" s="23">
        <f t="shared" ca="1" si="178"/>
        <v>690</v>
      </c>
      <c r="I1104" s="23">
        <f t="shared" ca="1" si="179"/>
        <v>412</v>
      </c>
      <c r="J1104" s="23">
        <f t="shared" ca="1" si="180"/>
        <v>690</v>
      </c>
      <c r="K1104" s="23">
        <f t="shared" ca="1" si="181"/>
        <v>1102</v>
      </c>
      <c r="L1104" s="23">
        <f t="shared" ca="1" si="174"/>
        <v>75970</v>
      </c>
    </row>
    <row r="1105" spans="3:12">
      <c r="C1105" s="23">
        <f t="shared" si="172"/>
        <v>420</v>
      </c>
      <c r="D1105" s="23">
        <f t="shared" si="173"/>
        <v>168</v>
      </c>
      <c r="E1105" s="23">
        <f t="shared" si="175"/>
        <v>252</v>
      </c>
      <c r="F1105" s="23">
        <f t="shared" si="176"/>
        <v>700</v>
      </c>
      <c r="G1105" s="23">
        <f t="shared" ca="1" si="177"/>
        <v>191</v>
      </c>
      <c r="H1105" s="23">
        <f t="shared" ca="1" si="178"/>
        <v>586</v>
      </c>
      <c r="I1105" s="23">
        <f t="shared" ca="1" si="179"/>
        <v>359</v>
      </c>
      <c r="J1105" s="23">
        <f t="shared" ca="1" si="180"/>
        <v>586</v>
      </c>
      <c r="K1105" s="23">
        <f t="shared" ca="1" si="181"/>
        <v>945</v>
      </c>
      <c r="L1105" s="23">
        <f t="shared" ca="1" si="174"/>
        <v>54775</v>
      </c>
    </row>
    <row r="1106" spans="3:12">
      <c r="C1106" s="23">
        <f t="shared" si="172"/>
        <v>420</v>
      </c>
      <c r="D1106" s="23">
        <f t="shared" si="173"/>
        <v>168</v>
      </c>
      <c r="E1106" s="23">
        <f t="shared" si="175"/>
        <v>252</v>
      </c>
      <c r="F1106" s="23">
        <f t="shared" si="176"/>
        <v>700</v>
      </c>
      <c r="G1106" s="23">
        <f t="shared" ca="1" si="177"/>
        <v>236</v>
      </c>
      <c r="H1106" s="23">
        <f t="shared" ca="1" si="178"/>
        <v>604</v>
      </c>
      <c r="I1106" s="23">
        <f t="shared" ca="1" si="179"/>
        <v>404</v>
      </c>
      <c r="J1106" s="23">
        <f t="shared" ca="1" si="180"/>
        <v>604</v>
      </c>
      <c r="K1106" s="23">
        <f t="shared" ca="1" si="181"/>
        <v>1008</v>
      </c>
      <c r="L1106" s="23">
        <f t="shared" ca="1" si="174"/>
        <v>63280</v>
      </c>
    </row>
    <row r="1107" spans="3:12">
      <c r="C1107" s="23">
        <f t="shared" si="172"/>
        <v>420</v>
      </c>
      <c r="D1107" s="23">
        <f t="shared" si="173"/>
        <v>168</v>
      </c>
      <c r="E1107" s="23">
        <f t="shared" si="175"/>
        <v>252</v>
      </c>
      <c r="F1107" s="23">
        <f t="shared" si="176"/>
        <v>700</v>
      </c>
      <c r="G1107" s="23">
        <f t="shared" ca="1" si="177"/>
        <v>220</v>
      </c>
      <c r="H1107" s="23">
        <f t="shared" ca="1" si="178"/>
        <v>577</v>
      </c>
      <c r="I1107" s="23">
        <f t="shared" ca="1" si="179"/>
        <v>388</v>
      </c>
      <c r="J1107" s="23">
        <f t="shared" ca="1" si="180"/>
        <v>577</v>
      </c>
      <c r="K1107" s="23">
        <f t="shared" ca="1" si="181"/>
        <v>965</v>
      </c>
      <c r="L1107" s="23">
        <f t="shared" ca="1" si="174"/>
        <v>57475</v>
      </c>
    </row>
    <row r="1108" spans="3:12">
      <c r="C1108" s="23">
        <f t="shared" si="172"/>
        <v>420</v>
      </c>
      <c r="D1108" s="23">
        <f t="shared" si="173"/>
        <v>168</v>
      </c>
      <c r="E1108" s="23">
        <f t="shared" si="175"/>
        <v>252</v>
      </c>
      <c r="F1108" s="23">
        <f t="shared" si="176"/>
        <v>700</v>
      </c>
      <c r="G1108" s="23">
        <f t="shared" ca="1" si="177"/>
        <v>247</v>
      </c>
      <c r="H1108" s="23">
        <f t="shared" ca="1" si="178"/>
        <v>620</v>
      </c>
      <c r="I1108" s="23">
        <f t="shared" ca="1" si="179"/>
        <v>415</v>
      </c>
      <c r="J1108" s="23">
        <f t="shared" ca="1" si="180"/>
        <v>620</v>
      </c>
      <c r="K1108" s="23">
        <f t="shared" ca="1" si="181"/>
        <v>1035</v>
      </c>
      <c r="L1108" s="23">
        <f t="shared" ca="1" si="174"/>
        <v>66925</v>
      </c>
    </row>
    <row r="1109" spans="3:12">
      <c r="C1109" s="23">
        <f t="shared" si="172"/>
        <v>420</v>
      </c>
      <c r="D1109" s="23">
        <f t="shared" si="173"/>
        <v>168</v>
      </c>
      <c r="E1109" s="23">
        <f t="shared" si="175"/>
        <v>252</v>
      </c>
      <c r="F1109" s="23">
        <f t="shared" si="176"/>
        <v>700</v>
      </c>
      <c r="G1109" s="23">
        <f t="shared" ca="1" si="177"/>
        <v>180</v>
      </c>
      <c r="H1109" s="23">
        <f t="shared" ca="1" si="178"/>
        <v>686</v>
      </c>
      <c r="I1109" s="23">
        <f t="shared" ca="1" si="179"/>
        <v>348</v>
      </c>
      <c r="J1109" s="23">
        <f t="shared" ca="1" si="180"/>
        <v>686</v>
      </c>
      <c r="K1109" s="23">
        <f t="shared" ca="1" si="181"/>
        <v>1034</v>
      </c>
      <c r="L1109" s="23">
        <f t="shared" ca="1" si="174"/>
        <v>66790</v>
      </c>
    </row>
    <row r="1110" spans="3:12">
      <c r="C1110" s="23">
        <f t="shared" si="172"/>
        <v>420</v>
      </c>
      <c r="D1110" s="23">
        <f t="shared" si="173"/>
        <v>168</v>
      </c>
      <c r="E1110" s="23">
        <f t="shared" si="175"/>
        <v>252</v>
      </c>
      <c r="F1110" s="23">
        <f t="shared" si="176"/>
        <v>700</v>
      </c>
      <c r="G1110" s="23">
        <f t="shared" ca="1" si="177"/>
        <v>203</v>
      </c>
      <c r="H1110" s="23">
        <f t="shared" ca="1" si="178"/>
        <v>647</v>
      </c>
      <c r="I1110" s="23">
        <f t="shared" ca="1" si="179"/>
        <v>371</v>
      </c>
      <c r="J1110" s="23">
        <f t="shared" ca="1" si="180"/>
        <v>647</v>
      </c>
      <c r="K1110" s="23">
        <f t="shared" ca="1" si="181"/>
        <v>1018</v>
      </c>
      <c r="L1110" s="23">
        <f t="shared" ca="1" si="174"/>
        <v>64630</v>
      </c>
    </row>
    <row r="1111" spans="3:12">
      <c r="C1111" s="23">
        <f t="shared" si="172"/>
        <v>420</v>
      </c>
      <c r="D1111" s="23">
        <f t="shared" si="173"/>
        <v>168</v>
      </c>
      <c r="E1111" s="23">
        <f t="shared" si="175"/>
        <v>252</v>
      </c>
      <c r="F1111" s="23">
        <f t="shared" si="176"/>
        <v>700</v>
      </c>
      <c r="G1111" s="23">
        <f t="shared" ca="1" si="177"/>
        <v>224</v>
      </c>
      <c r="H1111" s="23">
        <f t="shared" ca="1" si="178"/>
        <v>635</v>
      </c>
      <c r="I1111" s="23">
        <f t="shared" ca="1" si="179"/>
        <v>392</v>
      </c>
      <c r="J1111" s="23">
        <f t="shared" ca="1" si="180"/>
        <v>635</v>
      </c>
      <c r="K1111" s="23">
        <f t="shared" ca="1" si="181"/>
        <v>1027</v>
      </c>
      <c r="L1111" s="23">
        <f t="shared" ca="1" si="174"/>
        <v>65845</v>
      </c>
    </row>
    <row r="1112" spans="3:12">
      <c r="C1112" s="23">
        <f t="shared" si="172"/>
        <v>420</v>
      </c>
      <c r="D1112" s="23">
        <f t="shared" si="173"/>
        <v>168</v>
      </c>
      <c r="E1112" s="23">
        <f t="shared" si="175"/>
        <v>252</v>
      </c>
      <c r="F1112" s="23">
        <f t="shared" si="176"/>
        <v>700</v>
      </c>
      <c r="G1112" s="23">
        <f t="shared" ca="1" si="177"/>
        <v>226</v>
      </c>
      <c r="H1112" s="23">
        <f t="shared" ca="1" si="178"/>
        <v>608</v>
      </c>
      <c r="I1112" s="23">
        <f t="shared" ca="1" si="179"/>
        <v>394</v>
      </c>
      <c r="J1112" s="23">
        <f t="shared" ca="1" si="180"/>
        <v>608</v>
      </c>
      <c r="K1112" s="23">
        <f t="shared" ca="1" si="181"/>
        <v>1002</v>
      </c>
      <c r="L1112" s="23">
        <f t="shared" ca="1" si="174"/>
        <v>62470</v>
      </c>
    </row>
    <row r="1113" spans="3:12">
      <c r="C1113" s="23">
        <f t="shared" si="172"/>
        <v>420</v>
      </c>
      <c r="D1113" s="23">
        <f t="shared" si="173"/>
        <v>168</v>
      </c>
      <c r="E1113" s="23">
        <f t="shared" si="175"/>
        <v>252</v>
      </c>
      <c r="F1113" s="23">
        <f t="shared" si="176"/>
        <v>700</v>
      </c>
      <c r="G1113" s="23">
        <f t="shared" ca="1" si="177"/>
        <v>210</v>
      </c>
      <c r="H1113" s="23">
        <f t="shared" ca="1" si="178"/>
        <v>735</v>
      </c>
      <c r="I1113" s="23">
        <f t="shared" ca="1" si="179"/>
        <v>378</v>
      </c>
      <c r="J1113" s="23">
        <f t="shared" ca="1" si="180"/>
        <v>735</v>
      </c>
      <c r="K1113" s="23">
        <f t="shared" ca="1" si="181"/>
        <v>1113</v>
      </c>
      <c r="L1113" s="23">
        <f t="shared" ca="1" si="174"/>
        <v>77455</v>
      </c>
    </row>
    <row r="1114" spans="3:12">
      <c r="C1114" s="23">
        <f t="shared" si="172"/>
        <v>420</v>
      </c>
      <c r="D1114" s="23">
        <f t="shared" si="173"/>
        <v>168</v>
      </c>
      <c r="E1114" s="23">
        <f t="shared" si="175"/>
        <v>252</v>
      </c>
      <c r="F1114" s="23">
        <f t="shared" si="176"/>
        <v>700</v>
      </c>
      <c r="G1114" s="23">
        <f t="shared" ca="1" si="177"/>
        <v>187</v>
      </c>
      <c r="H1114" s="23">
        <f t="shared" ca="1" si="178"/>
        <v>622</v>
      </c>
      <c r="I1114" s="23">
        <f t="shared" ca="1" si="179"/>
        <v>355</v>
      </c>
      <c r="J1114" s="23">
        <f t="shared" ca="1" si="180"/>
        <v>622</v>
      </c>
      <c r="K1114" s="23">
        <f t="shared" ca="1" si="181"/>
        <v>977</v>
      </c>
      <c r="L1114" s="23">
        <f t="shared" ca="1" si="174"/>
        <v>59095</v>
      </c>
    </row>
    <row r="1115" spans="3:12">
      <c r="C1115" s="23">
        <f t="shared" si="172"/>
        <v>420</v>
      </c>
      <c r="D1115" s="23">
        <f t="shared" si="173"/>
        <v>168</v>
      </c>
      <c r="E1115" s="23">
        <f t="shared" si="175"/>
        <v>252</v>
      </c>
      <c r="F1115" s="23">
        <f t="shared" si="176"/>
        <v>700</v>
      </c>
      <c r="G1115" s="23">
        <f t="shared" ca="1" si="177"/>
        <v>180</v>
      </c>
      <c r="H1115" s="23">
        <f t="shared" ca="1" si="178"/>
        <v>754</v>
      </c>
      <c r="I1115" s="23">
        <f t="shared" ca="1" si="179"/>
        <v>348</v>
      </c>
      <c r="J1115" s="23">
        <f t="shared" ca="1" si="180"/>
        <v>754</v>
      </c>
      <c r="K1115" s="23">
        <f t="shared" ca="1" si="181"/>
        <v>1102</v>
      </c>
      <c r="L1115" s="23">
        <f t="shared" ca="1" si="174"/>
        <v>75970</v>
      </c>
    </row>
    <row r="1116" spans="3:12">
      <c r="C1116" s="23">
        <f t="shared" si="172"/>
        <v>420</v>
      </c>
      <c r="D1116" s="23">
        <f t="shared" si="173"/>
        <v>168</v>
      </c>
      <c r="E1116" s="23">
        <f t="shared" si="175"/>
        <v>252</v>
      </c>
      <c r="F1116" s="23">
        <f t="shared" si="176"/>
        <v>700</v>
      </c>
      <c r="G1116" s="23">
        <f t="shared" ca="1" si="177"/>
        <v>213</v>
      </c>
      <c r="H1116" s="23">
        <f t="shared" ca="1" si="178"/>
        <v>610</v>
      </c>
      <c r="I1116" s="23">
        <f t="shared" ca="1" si="179"/>
        <v>381</v>
      </c>
      <c r="J1116" s="23">
        <f t="shared" ca="1" si="180"/>
        <v>610</v>
      </c>
      <c r="K1116" s="23">
        <f t="shared" ca="1" si="181"/>
        <v>991</v>
      </c>
      <c r="L1116" s="23">
        <f t="shared" ca="1" si="174"/>
        <v>60985</v>
      </c>
    </row>
    <row r="1117" spans="3:12">
      <c r="C1117" s="23">
        <f t="shared" si="172"/>
        <v>420</v>
      </c>
      <c r="D1117" s="23">
        <f t="shared" si="173"/>
        <v>168</v>
      </c>
      <c r="E1117" s="23">
        <f t="shared" si="175"/>
        <v>252</v>
      </c>
      <c r="F1117" s="23">
        <f t="shared" si="176"/>
        <v>700</v>
      </c>
      <c r="G1117" s="23">
        <f t="shared" ca="1" si="177"/>
        <v>236</v>
      </c>
      <c r="H1117" s="23">
        <f t="shared" ca="1" si="178"/>
        <v>701</v>
      </c>
      <c r="I1117" s="23">
        <f t="shared" ca="1" si="179"/>
        <v>404</v>
      </c>
      <c r="J1117" s="23">
        <f t="shared" ca="1" si="180"/>
        <v>701</v>
      </c>
      <c r="K1117" s="23">
        <f t="shared" ca="1" si="181"/>
        <v>1105</v>
      </c>
      <c r="L1117" s="23">
        <f t="shared" ca="1" si="174"/>
        <v>76375</v>
      </c>
    </row>
    <row r="1118" spans="3:12">
      <c r="C1118" s="23">
        <f t="shared" si="172"/>
        <v>420</v>
      </c>
      <c r="D1118" s="23">
        <f t="shared" si="173"/>
        <v>168</v>
      </c>
      <c r="E1118" s="23">
        <f t="shared" si="175"/>
        <v>252</v>
      </c>
      <c r="F1118" s="23">
        <f t="shared" si="176"/>
        <v>700</v>
      </c>
      <c r="G1118" s="23">
        <f t="shared" ca="1" si="177"/>
        <v>184</v>
      </c>
      <c r="H1118" s="23">
        <f t="shared" ca="1" si="178"/>
        <v>659</v>
      </c>
      <c r="I1118" s="23">
        <f t="shared" ca="1" si="179"/>
        <v>352</v>
      </c>
      <c r="J1118" s="23">
        <f t="shared" ca="1" si="180"/>
        <v>659</v>
      </c>
      <c r="K1118" s="23">
        <f t="shared" ca="1" si="181"/>
        <v>1011</v>
      </c>
      <c r="L1118" s="23">
        <f t="shared" ca="1" si="174"/>
        <v>63685</v>
      </c>
    </row>
    <row r="1119" spans="3:12">
      <c r="C1119" s="23">
        <f t="shared" si="172"/>
        <v>420</v>
      </c>
      <c r="D1119" s="23">
        <f t="shared" si="173"/>
        <v>168</v>
      </c>
      <c r="E1119" s="23">
        <f t="shared" si="175"/>
        <v>252</v>
      </c>
      <c r="F1119" s="23">
        <f t="shared" si="176"/>
        <v>700</v>
      </c>
      <c r="G1119" s="23">
        <f t="shared" ca="1" si="177"/>
        <v>191</v>
      </c>
      <c r="H1119" s="23">
        <f t="shared" ca="1" si="178"/>
        <v>609</v>
      </c>
      <c r="I1119" s="23">
        <f t="shared" ca="1" si="179"/>
        <v>359</v>
      </c>
      <c r="J1119" s="23">
        <f t="shared" ca="1" si="180"/>
        <v>609</v>
      </c>
      <c r="K1119" s="23">
        <f t="shared" ca="1" si="181"/>
        <v>968</v>
      </c>
      <c r="L1119" s="23">
        <f t="shared" ca="1" si="174"/>
        <v>57880</v>
      </c>
    </row>
    <row r="1120" spans="3:12">
      <c r="C1120" s="23">
        <f t="shared" si="172"/>
        <v>420</v>
      </c>
      <c r="D1120" s="23">
        <f t="shared" si="173"/>
        <v>168</v>
      </c>
      <c r="E1120" s="23">
        <f t="shared" si="175"/>
        <v>252</v>
      </c>
      <c r="F1120" s="23">
        <f t="shared" si="176"/>
        <v>700</v>
      </c>
      <c r="G1120" s="23">
        <f t="shared" ca="1" si="177"/>
        <v>220</v>
      </c>
      <c r="H1120" s="23">
        <f t="shared" ca="1" si="178"/>
        <v>723</v>
      </c>
      <c r="I1120" s="23">
        <f t="shared" ca="1" si="179"/>
        <v>388</v>
      </c>
      <c r="J1120" s="23">
        <f t="shared" ca="1" si="180"/>
        <v>723</v>
      </c>
      <c r="K1120" s="23">
        <f t="shared" ca="1" si="181"/>
        <v>1111</v>
      </c>
      <c r="L1120" s="23">
        <f t="shared" ca="1" si="174"/>
        <v>77185</v>
      </c>
    </row>
    <row r="1121" spans="3:12">
      <c r="C1121" s="23">
        <f t="shared" si="172"/>
        <v>420</v>
      </c>
      <c r="D1121" s="23">
        <f t="shared" si="173"/>
        <v>168</v>
      </c>
      <c r="E1121" s="23">
        <f t="shared" si="175"/>
        <v>252</v>
      </c>
      <c r="F1121" s="23">
        <f t="shared" si="176"/>
        <v>700</v>
      </c>
      <c r="G1121" s="23">
        <f t="shared" ca="1" si="177"/>
        <v>205</v>
      </c>
      <c r="H1121" s="23">
        <f t="shared" ca="1" si="178"/>
        <v>544</v>
      </c>
      <c r="I1121" s="23">
        <f t="shared" ca="1" si="179"/>
        <v>373</v>
      </c>
      <c r="J1121" s="23">
        <f t="shared" ca="1" si="180"/>
        <v>544</v>
      </c>
      <c r="K1121" s="23">
        <f t="shared" ca="1" si="181"/>
        <v>917</v>
      </c>
      <c r="L1121" s="23">
        <f t="shared" ca="1" si="174"/>
        <v>50995</v>
      </c>
    </row>
    <row r="1122" spans="3:12">
      <c r="C1122" s="23">
        <f t="shared" si="172"/>
        <v>420</v>
      </c>
      <c r="D1122" s="23">
        <f t="shared" si="173"/>
        <v>168</v>
      </c>
      <c r="E1122" s="23">
        <f t="shared" si="175"/>
        <v>252</v>
      </c>
      <c r="F1122" s="23">
        <f t="shared" si="176"/>
        <v>700</v>
      </c>
      <c r="G1122" s="23">
        <f t="shared" ca="1" si="177"/>
        <v>211</v>
      </c>
      <c r="H1122" s="23">
        <f t="shared" ca="1" si="178"/>
        <v>640</v>
      </c>
      <c r="I1122" s="23">
        <f t="shared" ca="1" si="179"/>
        <v>379</v>
      </c>
      <c r="J1122" s="23">
        <f t="shared" ca="1" si="180"/>
        <v>640</v>
      </c>
      <c r="K1122" s="23">
        <f t="shared" ca="1" si="181"/>
        <v>1019</v>
      </c>
      <c r="L1122" s="23">
        <f t="shared" ca="1" si="174"/>
        <v>64765</v>
      </c>
    </row>
    <row r="1123" spans="3:12">
      <c r="C1123" s="23">
        <f t="shared" si="172"/>
        <v>420</v>
      </c>
      <c r="D1123" s="23">
        <f t="shared" si="173"/>
        <v>168</v>
      </c>
      <c r="E1123" s="23">
        <f t="shared" si="175"/>
        <v>252</v>
      </c>
      <c r="F1123" s="23">
        <f t="shared" si="176"/>
        <v>700</v>
      </c>
      <c r="G1123" s="23">
        <f t="shared" ca="1" si="177"/>
        <v>197</v>
      </c>
      <c r="H1123" s="23">
        <f t="shared" ca="1" si="178"/>
        <v>589</v>
      </c>
      <c r="I1123" s="23">
        <f t="shared" ca="1" si="179"/>
        <v>365</v>
      </c>
      <c r="J1123" s="23">
        <f t="shared" ca="1" si="180"/>
        <v>589</v>
      </c>
      <c r="K1123" s="23">
        <f t="shared" ca="1" si="181"/>
        <v>954</v>
      </c>
      <c r="L1123" s="23">
        <f t="shared" ca="1" si="174"/>
        <v>55990</v>
      </c>
    </row>
    <row r="1124" spans="3:12">
      <c r="C1124" s="23">
        <f t="shared" si="172"/>
        <v>420</v>
      </c>
      <c r="D1124" s="23">
        <f t="shared" si="173"/>
        <v>168</v>
      </c>
      <c r="E1124" s="23">
        <f t="shared" si="175"/>
        <v>252</v>
      </c>
      <c r="F1124" s="23">
        <f t="shared" si="176"/>
        <v>700</v>
      </c>
      <c r="G1124" s="23">
        <f t="shared" ca="1" si="177"/>
        <v>209</v>
      </c>
      <c r="H1124" s="23">
        <f t="shared" ca="1" si="178"/>
        <v>569</v>
      </c>
      <c r="I1124" s="23">
        <f t="shared" ca="1" si="179"/>
        <v>377</v>
      </c>
      <c r="J1124" s="23">
        <f t="shared" ca="1" si="180"/>
        <v>569</v>
      </c>
      <c r="K1124" s="23">
        <f t="shared" ca="1" si="181"/>
        <v>946</v>
      </c>
      <c r="L1124" s="23">
        <f t="shared" ca="1" si="174"/>
        <v>54910</v>
      </c>
    </row>
    <row r="1125" spans="3:12">
      <c r="C1125" s="23">
        <f t="shared" si="172"/>
        <v>420</v>
      </c>
      <c r="D1125" s="23">
        <f t="shared" si="173"/>
        <v>168</v>
      </c>
      <c r="E1125" s="23">
        <f t="shared" si="175"/>
        <v>252</v>
      </c>
      <c r="F1125" s="23">
        <f t="shared" si="176"/>
        <v>700</v>
      </c>
      <c r="G1125" s="23">
        <f t="shared" ca="1" si="177"/>
        <v>229</v>
      </c>
      <c r="H1125" s="23">
        <f t="shared" ca="1" si="178"/>
        <v>608</v>
      </c>
      <c r="I1125" s="23">
        <f t="shared" ca="1" si="179"/>
        <v>397</v>
      </c>
      <c r="J1125" s="23">
        <f t="shared" ca="1" si="180"/>
        <v>608</v>
      </c>
      <c r="K1125" s="23">
        <f t="shared" ca="1" si="181"/>
        <v>1005</v>
      </c>
      <c r="L1125" s="23">
        <f t="shared" ca="1" si="174"/>
        <v>62875</v>
      </c>
    </row>
    <row r="1126" spans="3:12">
      <c r="C1126" s="23">
        <f t="shared" si="172"/>
        <v>420</v>
      </c>
      <c r="D1126" s="23">
        <f t="shared" si="173"/>
        <v>168</v>
      </c>
      <c r="E1126" s="23">
        <f t="shared" si="175"/>
        <v>252</v>
      </c>
      <c r="F1126" s="23">
        <f t="shared" si="176"/>
        <v>700</v>
      </c>
      <c r="G1126" s="23">
        <f t="shared" ca="1" si="177"/>
        <v>230</v>
      </c>
      <c r="H1126" s="23">
        <f t="shared" ca="1" si="178"/>
        <v>718</v>
      </c>
      <c r="I1126" s="23">
        <f t="shared" ca="1" si="179"/>
        <v>398</v>
      </c>
      <c r="J1126" s="23">
        <f t="shared" ca="1" si="180"/>
        <v>718</v>
      </c>
      <c r="K1126" s="23">
        <f t="shared" ca="1" si="181"/>
        <v>1116</v>
      </c>
      <c r="L1126" s="23">
        <f t="shared" ca="1" si="174"/>
        <v>77860</v>
      </c>
    </row>
    <row r="1127" spans="3:12">
      <c r="C1127" s="23">
        <f t="shared" si="172"/>
        <v>420</v>
      </c>
      <c r="D1127" s="23">
        <f t="shared" si="173"/>
        <v>168</v>
      </c>
      <c r="E1127" s="23">
        <f t="shared" si="175"/>
        <v>252</v>
      </c>
      <c r="F1127" s="23">
        <f t="shared" si="176"/>
        <v>700</v>
      </c>
      <c r="G1127" s="23">
        <f t="shared" ca="1" si="177"/>
        <v>237</v>
      </c>
      <c r="H1127" s="23">
        <f t="shared" ca="1" si="178"/>
        <v>679</v>
      </c>
      <c r="I1127" s="23">
        <f t="shared" ca="1" si="179"/>
        <v>405</v>
      </c>
      <c r="J1127" s="23">
        <f t="shared" ca="1" si="180"/>
        <v>679</v>
      </c>
      <c r="K1127" s="23">
        <f t="shared" ca="1" si="181"/>
        <v>1084</v>
      </c>
      <c r="L1127" s="23">
        <f t="shared" ca="1" si="174"/>
        <v>73540</v>
      </c>
    </row>
    <row r="1128" spans="3:12">
      <c r="C1128" s="23">
        <f t="shared" si="172"/>
        <v>420</v>
      </c>
      <c r="D1128" s="23">
        <f t="shared" si="173"/>
        <v>168</v>
      </c>
      <c r="E1128" s="23">
        <f t="shared" si="175"/>
        <v>252</v>
      </c>
      <c r="F1128" s="23">
        <f t="shared" si="176"/>
        <v>700</v>
      </c>
      <c r="G1128" s="23">
        <f t="shared" ca="1" si="177"/>
        <v>177</v>
      </c>
      <c r="H1128" s="23">
        <f t="shared" ca="1" si="178"/>
        <v>710</v>
      </c>
      <c r="I1128" s="23">
        <f t="shared" ca="1" si="179"/>
        <v>345</v>
      </c>
      <c r="J1128" s="23">
        <f t="shared" ca="1" si="180"/>
        <v>710</v>
      </c>
      <c r="K1128" s="23">
        <f t="shared" ca="1" si="181"/>
        <v>1055</v>
      </c>
      <c r="L1128" s="23">
        <f t="shared" ca="1" si="174"/>
        <v>69625</v>
      </c>
    </row>
    <row r="1129" spans="3:12">
      <c r="C1129" s="23">
        <f t="shared" si="172"/>
        <v>420</v>
      </c>
      <c r="D1129" s="23">
        <f t="shared" si="173"/>
        <v>168</v>
      </c>
      <c r="E1129" s="23">
        <f t="shared" si="175"/>
        <v>252</v>
      </c>
      <c r="F1129" s="23">
        <f t="shared" si="176"/>
        <v>700</v>
      </c>
      <c r="G1129" s="23">
        <f t="shared" ca="1" si="177"/>
        <v>216</v>
      </c>
      <c r="H1129" s="23">
        <f t="shared" ca="1" si="178"/>
        <v>544</v>
      </c>
      <c r="I1129" s="23">
        <f t="shared" ca="1" si="179"/>
        <v>384</v>
      </c>
      <c r="J1129" s="23">
        <f t="shared" ca="1" si="180"/>
        <v>544</v>
      </c>
      <c r="K1129" s="23">
        <f t="shared" ca="1" si="181"/>
        <v>928</v>
      </c>
      <c r="L1129" s="23">
        <f t="shared" ca="1" si="174"/>
        <v>52480</v>
      </c>
    </row>
    <row r="1130" spans="3:12">
      <c r="C1130" s="23">
        <f t="shared" si="172"/>
        <v>420</v>
      </c>
      <c r="D1130" s="23">
        <f t="shared" si="173"/>
        <v>168</v>
      </c>
      <c r="E1130" s="23">
        <f t="shared" si="175"/>
        <v>252</v>
      </c>
      <c r="F1130" s="23">
        <f t="shared" si="176"/>
        <v>700</v>
      </c>
      <c r="G1130" s="23">
        <f t="shared" ca="1" si="177"/>
        <v>228</v>
      </c>
      <c r="H1130" s="23">
        <f t="shared" ca="1" si="178"/>
        <v>725</v>
      </c>
      <c r="I1130" s="23">
        <f t="shared" ca="1" si="179"/>
        <v>396</v>
      </c>
      <c r="J1130" s="23">
        <f t="shared" ca="1" si="180"/>
        <v>724</v>
      </c>
      <c r="K1130" s="23">
        <f t="shared" ca="1" si="181"/>
        <v>1120</v>
      </c>
      <c r="L1130" s="23">
        <f t="shared" ca="1" si="174"/>
        <v>78400</v>
      </c>
    </row>
    <row r="1131" spans="3:12">
      <c r="C1131" s="23">
        <f t="shared" si="172"/>
        <v>420</v>
      </c>
      <c r="D1131" s="23">
        <f t="shared" si="173"/>
        <v>168</v>
      </c>
      <c r="E1131" s="23">
        <f t="shared" si="175"/>
        <v>252</v>
      </c>
      <c r="F1131" s="23">
        <f t="shared" si="176"/>
        <v>700</v>
      </c>
      <c r="G1131" s="23">
        <f t="shared" ca="1" si="177"/>
        <v>211</v>
      </c>
      <c r="H1131" s="23">
        <f t="shared" ca="1" si="178"/>
        <v>675</v>
      </c>
      <c r="I1131" s="23">
        <f t="shared" ca="1" si="179"/>
        <v>379</v>
      </c>
      <c r="J1131" s="23">
        <f t="shared" ca="1" si="180"/>
        <v>675</v>
      </c>
      <c r="K1131" s="23">
        <f t="shared" ca="1" si="181"/>
        <v>1054</v>
      </c>
      <c r="L1131" s="23">
        <f t="shared" ca="1" si="174"/>
        <v>69490</v>
      </c>
    </row>
    <row r="1132" spans="3:12">
      <c r="C1132" s="23">
        <f t="shared" si="172"/>
        <v>420</v>
      </c>
      <c r="D1132" s="23">
        <f t="shared" si="173"/>
        <v>168</v>
      </c>
      <c r="E1132" s="23">
        <f t="shared" si="175"/>
        <v>252</v>
      </c>
      <c r="F1132" s="23">
        <f t="shared" si="176"/>
        <v>700</v>
      </c>
      <c r="G1132" s="23">
        <f t="shared" ca="1" si="177"/>
        <v>241</v>
      </c>
      <c r="H1132" s="23">
        <f t="shared" ca="1" si="178"/>
        <v>710</v>
      </c>
      <c r="I1132" s="23">
        <f t="shared" ca="1" si="179"/>
        <v>409</v>
      </c>
      <c r="J1132" s="23">
        <f t="shared" ca="1" si="180"/>
        <v>710</v>
      </c>
      <c r="K1132" s="23">
        <f t="shared" ca="1" si="181"/>
        <v>1119</v>
      </c>
      <c r="L1132" s="23">
        <f t="shared" ca="1" si="174"/>
        <v>78265</v>
      </c>
    </row>
    <row r="1133" spans="3:12">
      <c r="C1133" s="23">
        <f t="shared" si="172"/>
        <v>420</v>
      </c>
      <c r="D1133" s="23">
        <f t="shared" si="173"/>
        <v>168</v>
      </c>
      <c r="E1133" s="23">
        <f t="shared" si="175"/>
        <v>252</v>
      </c>
      <c r="F1133" s="23">
        <f t="shared" si="176"/>
        <v>700</v>
      </c>
      <c r="G1133" s="23">
        <f t="shared" ca="1" si="177"/>
        <v>220</v>
      </c>
      <c r="H1133" s="23">
        <f t="shared" ca="1" si="178"/>
        <v>516</v>
      </c>
      <c r="I1133" s="23">
        <f t="shared" ca="1" si="179"/>
        <v>388</v>
      </c>
      <c r="J1133" s="23">
        <f t="shared" ca="1" si="180"/>
        <v>516</v>
      </c>
      <c r="K1133" s="23">
        <f t="shared" ca="1" si="181"/>
        <v>904</v>
      </c>
      <c r="L1133" s="23">
        <f t="shared" ca="1" si="174"/>
        <v>49240</v>
      </c>
    </row>
    <row r="1134" spans="3:12">
      <c r="C1134" s="23">
        <f t="shared" si="172"/>
        <v>420</v>
      </c>
      <c r="D1134" s="23">
        <f t="shared" si="173"/>
        <v>168</v>
      </c>
      <c r="E1134" s="23">
        <f t="shared" si="175"/>
        <v>252</v>
      </c>
      <c r="F1134" s="23">
        <f t="shared" si="176"/>
        <v>700</v>
      </c>
      <c r="G1134" s="23">
        <f t="shared" ca="1" si="177"/>
        <v>222</v>
      </c>
      <c r="H1134" s="23">
        <f t="shared" ca="1" si="178"/>
        <v>499</v>
      </c>
      <c r="I1134" s="23">
        <f t="shared" ca="1" si="179"/>
        <v>390</v>
      </c>
      <c r="J1134" s="23">
        <f t="shared" ca="1" si="180"/>
        <v>499</v>
      </c>
      <c r="K1134" s="23">
        <f t="shared" ca="1" si="181"/>
        <v>889</v>
      </c>
      <c r="L1134" s="23">
        <f t="shared" ca="1" si="174"/>
        <v>47215</v>
      </c>
    </row>
    <row r="1135" spans="3:12">
      <c r="C1135" s="23">
        <f t="shared" si="172"/>
        <v>420</v>
      </c>
      <c r="D1135" s="23">
        <f t="shared" si="173"/>
        <v>168</v>
      </c>
      <c r="E1135" s="23">
        <f t="shared" si="175"/>
        <v>252</v>
      </c>
      <c r="F1135" s="23">
        <f t="shared" si="176"/>
        <v>700</v>
      </c>
      <c r="G1135" s="23">
        <f t="shared" ca="1" si="177"/>
        <v>177</v>
      </c>
      <c r="H1135" s="23">
        <f t="shared" ca="1" si="178"/>
        <v>568</v>
      </c>
      <c r="I1135" s="23">
        <f t="shared" ca="1" si="179"/>
        <v>345</v>
      </c>
      <c r="J1135" s="23">
        <f t="shared" ca="1" si="180"/>
        <v>568</v>
      </c>
      <c r="K1135" s="23">
        <f t="shared" ca="1" si="181"/>
        <v>913</v>
      </c>
      <c r="L1135" s="23">
        <f t="shared" ca="1" si="174"/>
        <v>50455</v>
      </c>
    </row>
    <row r="1136" spans="3:12">
      <c r="C1136" s="23">
        <f t="shared" si="172"/>
        <v>420</v>
      </c>
      <c r="D1136" s="23">
        <f t="shared" si="173"/>
        <v>168</v>
      </c>
      <c r="E1136" s="23">
        <f t="shared" si="175"/>
        <v>252</v>
      </c>
      <c r="F1136" s="23">
        <f t="shared" si="176"/>
        <v>700</v>
      </c>
      <c r="G1136" s="23">
        <f t="shared" ca="1" si="177"/>
        <v>236</v>
      </c>
      <c r="H1136" s="23">
        <f t="shared" ca="1" si="178"/>
        <v>679</v>
      </c>
      <c r="I1136" s="23">
        <f t="shared" ca="1" si="179"/>
        <v>404</v>
      </c>
      <c r="J1136" s="23">
        <f t="shared" ca="1" si="180"/>
        <v>679</v>
      </c>
      <c r="K1136" s="23">
        <f t="shared" ca="1" si="181"/>
        <v>1083</v>
      </c>
      <c r="L1136" s="23">
        <f t="shared" ca="1" si="174"/>
        <v>73405</v>
      </c>
    </row>
    <row r="1137" spans="3:12">
      <c r="C1137" s="23">
        <f t="shared" si="172"/>
        <v>420</v>
      </c>
      <c r="D1137" s="23">
        <f t="shared" si="173"/>
        <v>168</v>
      </c>
      <c r="E1137" s="23">
        <f t="shared" si="175"/>
        <v>252</v>
      </c>
      <c r="F1137" s="23">
        <f t="shared" si="176"/>
        <v>700</v>
      </c>
      <c r="G1137" s="23">
        <f t="shared" ca="1" si="177"/>
        <v>176</v>
      </c>
      <c r="H1137" s="23">
        <f t="shared" ca="1" si="178"/>
        <v>681</v>
      </c>
      <c r="I1137" s="23">
        <f t="shared" ca="1" si="179"/>
        <v>344</v>
      </c>
      <c r="J1137" s="23">
        <f t="shared" ca="1" si="180"/>
        <v>681</v>
      </c>
      <c r="K1137" s="23">
        <f t="shared" ca="1" si="181"/>
        <v>1025</v>
      </c>
      <c r="L1137" s="23">
        <f t="shared" ca="1" si="174"/>
        <v>65575</v>
      </c>
    </row>
    <row r="1138" spans="3:12">
      <c r="C1138" s="23">
        <f t="shared" si="172"/>
        <v>420</v>
      </c>
      <c r="D1138" s="23">
        <f t="shared" si="173"/>
        <v>168</v>
      </c>
      <c r="E1138" s="23">
        <f t="shared" si="175"/>
        <v>252</v>
      </c>
      <c r="F1138" s="23">
        <f t="shared" si="176"/>
        <v>700</v>
      </c>
      <c r="G1138" s="23">
        <f t="shared" ca="1" si="177"/>
        <v>212</v>
      </c>
      <c r="H1138" s="23">
        <f t="shared" ca="1" si="178"/>
        <v>691</v>
      </c>
      <c r="I1138" s="23">
        <f t="shared" ca="1" si="179"/>
        <v>380</v>
      </c>
      <c r="J1138" s="23">
        <f t="shared" ca="1" si="180"/>
        <v>691</v>
      </c>
      <c r="K1138" s="23">
        <f t="shared" ca="1" si="181"/>
        <v>1071</v>
      </c>
      <c r="L1138" s="23">
        <f t="shared" ca="1" si="174"/>
        <v>71785</v>
      </c>
    </row>
    <row r="1139" spans="3:12">
      <c r="C1139" s="23">
        <f t="shared" si="172"/>
        <v>420</v>
      </c>
      <c r="D1139" s="23">
        <f t="shared" si="173"/>
        <v>168</v>
      </c>
      <c r="E1139" s="23">
        <f t="shared" si="175"/>
        <v>252</v>
      </c>
      <c r="F1139" s="23">
        <f t="shared" si="176"/>
        <v>700</v>
      </c>
      <c r="G1139" s="23">
        <f t="shared" ca="1" si="177"/>
        <v>226</v>
      </c>
      <c r="H1139" s="23">
        <f t="shared" ca="1" si="178"/>
        <v>604</v>
      </c>
      <c r="I1139" s="23">
        <f t="shared" ca="1" si="179"/>
        <v>394</v>
      </c>
      <c r="J1139" s="23">
        <f t="shared" ca="1" si="180"/>
        <v>604</v>
      </c>
      <c r="K1139" s="23">
        <f t="shared" ca="1" si="181"/>
        <v>998</v>
      </c>
      <c r="L1139" s="23">
        <f t="shared" ca="1" si="174"/>
        <v>61930</v>
      </c>
    </row>
    <row r="1140" spans="3:12">
      <c r="C1140" s="23">
        <f t="shared" si="172"/>
        <v>420</v>
      </c>
      <c r="D1140" s="23">
        <f t="shared" si="173"/>
        <v>168</v>
      </c>
      <c r="E1140" s="23">
        <f t="shared" si="175"/>
        <v>252</v>
      </c>
      <c r="F1140" s="23">
        <f t="shared" si="176"/>
        <v>700</v>
      </c>
      <c r="G1140" s="23">
        <f t="shared" ca="1" si="177"/>
        <v>199</v>
      </c>
      <c r="H1140" s="23">
        <f t="shared" ca="1" si="178"/>
        <v>534</v>
      </c>
      <c r="I1140" s="23">
        <f t="shared" ca="1" si="179"/>
        <v>367</v>
      </c>
      <c r="J1140" s="23">
        <f t="shared" ca="1" si="180"/>
        <v>534</v>
      </c>
      <c r="K1140" s="23">
        <f t="shared" ca="1" si="181"/>
        <v>901</v>
      </c>
      <c r="L1140" s="23">
        <f t="shared" ca="1" si="174"/>
        <v>48835</v>
      </c>
    </row>
    <row r="1141" spans="3:12">
      <c r="C1141" s="23">
        <f t="shared" si="172"/>
        <v>420</v>
      </c>
      <c r="D1141" s="23">
        <f t="shared" si="173"/>
        <v>168</v>
      </c>
      <c r="E1141" s="23">
        <f t="shared" si="175"/>
        <v>252</v>
      </c>
      <c r="F1141" s="23">
        <f t="shared" si="176"/>
        <v>700</v>
      </c>
      <c r="G1141" s="23">
        <f t="shared" ca="1" si="177"/>
        <v>199</v>
      </c>
      <c r="H1141" s="23">
        <f t="shared" ca="1" si="178"/>
        <v>622</v>
      </c>
      <c r="I1141" s="23">
        <f t="shared" ca="1" si="179"/>
        <v>367</v>
      </c>
      <c r="J1141" s="23">
        <f t="shared" ca="1" si="180"/>
        <v>622</v>
      </c>
      <c r="K1141" s="23">
        <f t="shared" ca="1" si="181"/>
        <v>989</v>
      </c>
      <c r="L1141" s="23">
        <f t="shared" ca="1" si="174"/>
        <v>60715</v>
      </c>
    </row>
    <row r="1142" spans="3:12">
      <c r="C1142" s="23">
        <f t="shared" si="172"/>
        <v>420</v>
      </c>
      <c r="D1142" s="23">
        <f t="shared" si="173"/>
        <v>168</v>
      </c>
      <c r="E1142" s="23">
        <f t="shared" si="175"/>
        <v>252</v>
      </c>
      <c r="F1142" s="23">
        <f t="shared" si="176"/>
        <v>700</v>
      </c>
      <c r="G1142" s="23">
        <f t="shared" ca="1" si="177"/>
        <v>191</v>
      </c>
      <c r="H1142" s="23">
        <f t="shared" ca="1" si="178"/>
        <v>611</v>
      </c>
      <c r="I1142" s="23">
        <f t="shared" ca="1" si="179"/>
        <v>359</v>
      </c>
      <c r="J1142" s="23">
        <f t="shared" ca="1" si="180"/>
        <v>611</v>
      </c>
      <c r="K1142" s="23">
        <f t="shared" ca="1" si="181"/>
        <v>970</v>
      </c>
      <c r="L1142" s="23">
        <f t="shared" ca="1" si="174"/>
        <v>58150</v>
      </c>
    </row>
    <row r="1143" spans="3:12">
      <c r="C1143" s="23">
        <f t="shared" si="172"/>
        <v>420</v>
      </c>
      <c r="D1143" s="23">
        <f t="shared" si="173"/>
        <v>168</v>
      </c>
      <c r="E1143" s="23">
        <f t="shared" si="175"/>
        <v>252</v>
      </c>
      <c r="F1143" s="23">
        <f t="shared" si="176"/>
        <v>700</v>
      </c>
      <c r="G1143" s="23">
        <f t="shared" ca="1" si="177"/>
        <v>210</v>
      </c>
      <c r="H1143" s="23">
        <f t="shared" ca="1" si="178"/>
        <v>558</v>
      </c>
      <c r="I1143" s="23">
        <f t="shared" ca="1" si="179"/>
        <v>378</v>
      </c>
      <c r="J1143" s="23">
        <f t="shared" ca="1" si="180"/>
        <v>558</v>
      </c>
      <c r="K1143" s="23">
        <f t="shared" ca="1" si="181"/>
        <v>936</v>
      </c>
      <c r="L1143" s="23">
        <f t="shared" ca="1" si="174"/>
        <v>53560</v>
      </c>
    </row>
    <row r="1144" spans="3:12">
      <c r="C1144" s="23">
        <f t="shared" si="172"/>
        <v>420</v>
      </c>
      <c r="D1144" s="23">
        <f t="shared" si="173"/>
        <v>168</v>
      </c>
      <c r="E1144" s="23">
        <f t="shared" si="175"/>
        <v>252</v>
      </c>
      <c r="F1144" s="23">
        <f t="shared" si="176"/>
        <v>700</v>
      </c>
      <c r="G1144" s="23">
        <f t="shared" ca="1" si="177"/>
        <v>199</v>
      </c>
      <c r="H1144" s="23">
        <f t="shared" ca="1" si="178"/>
        <v>659</v>
      </c>
      <c r="I1144" s="23">
        <f t="shared" ca="1" si="179"/>
        <v>367</v>
      </c>
      <c r="J1144" s="23">
        <f t="shared" ca="1" si="180"/>
        <v>659</v>
      </c>
      <c r="K1144" s="23">
        <f t="shared" ca="1" si="181"/>
        <v>1026</v>
      </c>
      <c r="L1144" s="23">
        <f t="shared" ca="1" si="174"/>
        <v>65710</v>
      </c>
    </row>
    <row r="1145" spans="3:12">
      <c r="C1145" s="23">
        <f t="shared" si="172"/>
        <v>420</v>
      </c>
      <c r="D1145" s="23">
        <f t="shared" si="173"/>
        <v>168</v>
      </c>
      <c r="E1145" s="23">
        <f t="shared" si="175"/>
        <v>252</v>
      </c>
      <c r="F1145" s="23">
        <f t="shared" si="176"/>
        <v>700</v>
      </c>
      <c r="G1145" s="23">
        <f t="shared" ca="1" si="177"/>
        <v>182</v>
      </c>
      <c r="H1145" s="23">
        <f t="shared" ca="1" si="178"/>
        <v>683</v>
      </c>
      <c r="I1145" s="23">
        <f t="shared" ca="1" si="179"/>
        <v>350</v>
      </c>
      <c r="J1145" s="23">
        <f t="shared" ca="1" si="180"/>
        <v>683</v>
      </c>
      <c r="K1145" s="23">
        <f t="shared" ca="1" si="181"/>
        <v>1033</v>
      </c>
      <c r="L1145" s="23">
        <f t="shared" ca="1" si="174"/>
        <v>66655</v>
      </c>
    </row>
    <row r="1146" spans="3:12">
      <c r="C1146" s="23">
        <f t="shared" si="172"/>
        <v>420</v>
      </c>
      <c r="D1146" s="23">
        <f t="shared" si="173"/>
        <v>168</v>
      </c>
      <c r="E1146" s="23">
        <f t="shared" si="175"/>
        <v>252</v>
      </c>
      <c r="F1146" s="23">
        <f t="shared" si="176"/>
        <v>700</v>
      </c>
      <c r="G1146" s="23">
        <f t="shared" ca="1" si="177"/>
        <v>259</v>
      </c>
      <c r="H1146" s="23">
        <f t="shared" ca="1" si="178"/>
        <v>570</v>
      </c>
      <c r="I1146" s="23">
        <f t="shared" ca="1" si="179"/>
        <v>420</v>
      </c>
      <c r="J1146" s="23">
        <f t="shared" ca="1" si="180"/>
        <v>570</v>
      </c>
      <c r="K1146" s="23">
        <f t="shared" ca="1" si="181"/>
        <v>990</v>
      </c>
      <c r="L1146" s="23">
        <f t="shared" ca="1" si="174"/>
        <v>60850</v>
      </c>
    </row>
    <row r="1147" spans="3:12">
      <c r="C1147" s="23">
        <f t="shared" si="172"/>
        <v>420</v>
      </c>
      <c r="D1147" s="23">
        <f t="shared" si="173"/>
        <v>168</v>
      </c>
      <c r="E1147" s="23">
        <f t="shared" si="175"/>
        <v>252</v>
      </c>
      <c r="F1147" s="23">
        <f t="shared" si="176"/>
        <v>700</v>
      </c>
      <c r="G1147" s="23">
        <f t="shared" ca="1" si="177"/>
        <v>241</v>
      </c>
      <c r="H1147" s="23">
        <f t="shared" ca="1" si="178"/>
        <v>504</v>
      </c>
      <c r="I1147" s="23">
        <f t="shared" ca="1" si="179"/>
        <v>409</v>
      </c>
      <c r="J1147" s="23">
        <f t="shared" ca="1" si="180"/>
        <v>504</v>
      </c>
      <c r="K1147" s="23">
        <f t="shared" ca="1" si="181"/>
        <v>913</v>
      </c>
      <c r="L1147" s="23">
        <f t="shared" ca="1" si="174"/>
        <v>50455</v>
      </c>
    </row>
    <row r="1148" spans="3:12">
      <c r="C1148" s="23">
        <f t="shared" si="172"/>
        <v>420</v>
      </c>
      <c r="D1148" s="23">
        <f t="shared" si="173"/>
        <v>168</v>
      </c>
      <c r="E1148" s="23">
        <f t="shared" si="175"/>
        <v>252</v>
      </c>
      <c r="F1148" s="23">
        <f t="shared" si="176"/>
        <v>700</v>
      </c>
      <c r="G1148" s="23">
        <f t="shared" ca="1" si="177"/>
        <v>201</v>
      </c>
      <c r="H1148" s="23">
        <f t="shared" ca="1" si="178"/>
        <v>576</v>
      </c>
      <c r="I1148" s="23">
        <f t="shared" ca="1" si="179"/>
        <v>369</v>
      </c>
      <c r="J1148" s="23">
        <f t="shared" ca="1" si="180"/>
        <v>576</v>
      </c>
      <c r="K1148" s="23">
        <f t="shared" ca="1" si="181"/>
        <v>945</v>
      </c>
      <c r="L1148" s="23">
        <f t="shared" ca="1" si="174"/>
        <v>54775</v>
      </c>
    </row>
    <row r="1149" spans="3:12">
      <c r="C1149" s="23">
        <f t="shared" si="172"/>
        <v>420</v>
      </c>
      <c r="D1149" s="23">
        <f t="shared" si="173"/>
        <v>168</v>
      </c>
      <c r="E1149" s="23">
        <f t="shared" si="175"/>
        <v>252</v>
      </c>
      <c r="F1149" s="23">
        <f t="shared" si="176"/>
        <v>700</v>
      </c>
      <c r="G1149" s="23">
        <f t="shared" ca="1" si="177"/>
        <v>200</v>
      </c>
      <c r="H1149" s="23">
        <f t="shared" ca="1" si="178"/>
        <v>696</v>
      </c>
      <c r="I1149" s="23">
        <f t="shared" ca="1" si="179"/>
        <v>368</v>
      </c>
      <c r="J1149" s="23">
        <f t="shared" ca="1" si="180"/>
        <v>696</v>
      </c>
      <c r="K1149" s="23">
        <f t="shared" ca="1" si="181"/>
        <v>1064</v>
      </c>
      <c r="L1149" s="23">
        <f t="shared" ca="1" si="174"/>
        <v>70840</v>
      </c>
    </row>
    <row r="1150" spans="3:12">
      <c r="C1150" s="23">
        <f t="shared" si="172"/>
        <v>420</v>
      </c>
      <c r="D1150" s="23">
        <f t="shared" si="173"/>
        <v>168</v>
      </c>
      <c r="E1150" s="23">
        <f t="shared" si="175"/>
        <v>252</v>
      </c>
      <c r="F1150" s="23">
        <f t="shared" si="176"/>
        <v>700</v>
      </c>
      <c r="G1150" s="23">
        <f t="shared" ca="1" si="177"/>
        <v>264</v>
      </c>
      <c r="H1150" s="23">
        <f t="shared" ca="1" si="178"/>
        <v>582</v>
      </c>
      <c r="I1150" s="23">
        <f t="shared" ca="1" si="179"/>
        <v>420</v>
      </c>
      <c r="J1150" s="23">
        <f t="shared" ca="1" si="180"/>
        <v>582</v>
      </c>
      <c r="K1150" s="23">
        <f t="shared" ca="1" si="181"/>
        <v>1002</v>
      </c>
      <c r="L1150" s="23">
        <f t="shared" ca="1" si="174"/>
        <v>62470</v>
      </c>
    </row>
    <row r="1151" spans="3:12">
      <c r="C1151" s="23">
        <f t="shared" si="172"/>
        <v>420</v>
      </c>
      <c r="D1151" s="23">
        <f t="shared" si="173"/>
        <v>168</v>
      </c>
      <c r="E1151" s="23">
        <f t="shared" si="175"/>
        <v>252</v>
      </c>
      <c r="F1151" s="23">
        <f t="shared" si="176"/>
        <v>700</v>
      </c>
      <c r="G1151" s="23">
        <f t="shared" ca="1" si="177"/>
        <v>239</v>
      </c>
      <c r="H1151" s="23">
        <f t="shared" ca="1" si="178"/>
        <v>572</v>
      </c>
      <c r="I1151" s="23">
        <f t="shared" ca="1" si="179"/>
        <v>407</v>
      </c>
      <c r="J1151" s="23">
        <f t="shared" ca="1" si="180"/>
        <v>572</v>
      </c>
      <c r="K1151" s="23">
        <f t="shared" ca="1" si="181"/>
        <v>979</v>
      </c>
      <c r="L1151" s="23">
        <f t="shared" ca="1" si="174"/>
        <v>59365</v>
      </c>
    </row>
    <row r="1152" spans="3:12">
      <c r="C1152" s="23">
        <f t="shared" si="172"/>
        <v>420</v>
      </c>
      <c r="D1152" s="23">
        <f t="shared" si="173"/>
        <v>168</v>
      </c>
      <c r="E1152" s="23">
        <f t="shared" si="175"/>
        <v>252</v>
      </c>
      <c r="F1152" s="23">
        <f t="shared" si="176"/>
        <v>700</v>
      </c>
      <c r="G1152" s="23">
        <f t="shared" ca="1" si="177"/>
        <v>194</v>
      </c>
      <c r="H1152" s="23">
        <f t="shared" ca="1" si="178"/>
        <v>744</v>
      </c>
      <c r="I1152" s="23">
        <f t="shared" ca="1" si="179"/>
        <v>362</v>
      </c>
      <c r="J1152" s="23">
        <f t="shared" ca="1" si="180"/>
        <v>744</v>
      </c>
      <c r="K1152" s="23">
        <f t="shared" ca="1" si="181"/>
        <v>1106</v>
      </c>
      <c r="L1152" s="23">
        <f t="shared" ca="1" si="174"/>
        <v>76510</v>
      </c>
    </row>
    <row r="1153" spans="3:12">
      <c r="C1153" s="23">
        <f t="shared" si="172"/>
        <v>420</v>
      </c>
      <c r="D1153" s="23">
        <f t="shared" si="173"/>
        <v>168</v>
      </c>
      <c r="E1153" s="23">
        <f t="shared" si="175"/>
        <v>252</v>
      </c>
      <c r="F1153" s="23">
        <f t="shared" si="176"/>
        <v>700</v>
      </c>
      <c r="G1153" s="23">
        <f t="shared" ca="1" si="177"/>
        <v>213</v>
      </c>
      <c r="H1153" s="23">
        <f t="shared" ca="1" si="178"/>
        <v>553</v>
      </c>
      <c r="I1153" s="23">
        <f t="shared" ca="1" si="179"/>
        <v>381</v>
      </c>
      <c r="J1153" s="23">
        <f t="shared" ca="1" si="180"/>
        <v>553</v>
      </c>
      <c r="K1153" s="23">
        <f t="shared" ca="1" si="181"/>
        <v>934</v>
      </c>
      <c r="L1153" s="23">
        <f t="shared" ca="1" si="174"/>
        <v>53290</v>
      </c>
    </row>
    <row r="1154" spans="3:12">
      <c r="C1154" s="23">
        <f t="shared" si="172"/>
        <v>420</v>
      </c>
      <c r="D1154" s="23">
        <f t="shared" si="173"/>
        <v>168</v>
      </c>
      <c r="E1154" s="23">
        <f t="shared" si="175"/>
        <v>252</v>
      </c>
      <c r="F1154" s="23">
        <f t="shared" si="176"/>
        <v>700</v>
      </c>
      <c r="G1154" s="23">
        <f t="shared" ca="1" si="177"/>
        <v>210</v>
      </c>
      <c r="H1154" s="23">
        <f t="shared" ca="1" si="178"/>
        <v>646</v>
      </c>
      <c r="I1154" s="23">
        <f t="shared" ca="1" si="179"/>
        <v>378</v>
      </c>
      <c r="J1154" s="23">
        <f t="shared" ca="1" si="180"/>
        <v>646</v>
      </c>
      <c r="K1154" s="23">
        <f t="shared" ca="1" si="181"/>
        <v>1024</v>
      </c>
      <c r="L1154" s="23">
        <f t="shared" ca="1" si="174"/>
        <v>65440</v>
      </c>
    </row>
    <row r="1155" spans="3:12">
      <c r="C1155" s="23">
        <f t="shared" si="172"/>
        <v>420</v>
      </c>
      <c r="D1155" s="23">
        <f t="shared" si="173"/>
        <v>168</v>
      </c>
      <c r="E1155" s="23">
        <f t="shared" si="175"/>
        <v>252</v>
      </c>
      <c r="F1155" s="23">
        <f t="shared" si="176"/>
        <v>700</v>
      </c>
      <c r="G1155" s="23">
        <f t="shared" ca="1" si="177"/>
        <v>236</v>
      </c>
      <c r="H1155" s="23">
        <f t="shared" ca="1" si="178"/>
        <v>747</v>
      </c>
      <c r="I1155" s="23">
        <f t="shared" ca="1" si="179"/>
        <v>404</v>
      </c>
      <c r="J1155" s="23">
        <f t="shared" ca="1" si="180"/>
        <v>716</v>
      </c>
      <c r="K1155" s="23">
        <f t="shared" ca="1" si="181"/>
        <v>1120</v>
      </c>
      <c r="L1155" s="23">
        <f t="shared" ca="1" si="174"/>
        <v>78400</v>
      </c>
    </row>
    <row r="1156" spans="3:12">
      <c r="C1156" s="23">
        <f t="shared" si="172"/>
        <v>420</v>
      </c>
      <c r="D1156" s="23">
        <f t="shared" si="173"/>
        <v>168</v>
      </c>
      <c r="E1156" s="23">
        <f t="shared" si="175"/>
        <v>252</v>
      </c>
      <c r="F1156" s="23">
        <f t="shared" si="176"/>
        <v>700</v>
      </c>
      <c r="G1156" s="23">
        <f t="shared" ca="1" si="177"/>
        <v>217</v>
      </c>
      <c r="H1156" s="23">
        <f t="shared" ca="1" si="178"/>
        <v>599</v>
      </c>
      <c r="I1156" s="23">
        <f t="shared" ca="1" si="179"/>
        <v>385</v>
      </c>
      <c r="J1156" s="23">
        <f t="shared" ca="1" si="180"/>
        <v>599</v>
      </c>
      <c r="K1156" s="23">
        <f t="shared" ca="1" si="181"/>
        <v>984</v>
      </c>
      <c r="L1156" s="23">
        <f t="shared" ca="1" si="174"/>
        <v>60040</v>
      </c>
    </row>
    <row r="1157" spans="3:12">
      <c r="C1157" s="23">
        <f t="shared" si="172"/>
        <v>420</v>
      </c>
      <c r="D1157" s="23">
        <f t="shared" si="173"/>
        <v>168</v>
      </c>
      <c r="E1157" s="23">
        <f t="shared" si="175"/>
        <v>252</v>
      </c>
      <c r="F1157" s="23">
        <f t="shared" si="176"/>
        <v>700</v>
      </c>
      <c r="G1157" s="23">
        <f t="shared" ca="1" si="177"/>
        <v>222</v>
      </c>
      <c r="H1157" s="23">
        <f t="shared" ca="1" si="178"/>
        <v>617</v>
      </c>
      <c r="I1157" s="23">
        <f t="shared" ca="1" si="179"/>
        <v>390</v>
      </c>
      <c r="J1157" s="23">
        <f t="shared" ca="1" si="180"/>
        <v>617</v>
      </c>
      <c r="K1157" s="23">
        <f t="shared" ca="1" si="181"/>
        <v>1007</v>
      </c>
      <c r="L1157" s="23">
        <f t="shared" ca="1" si="174"/>
        <v>63145</v>
      </c>
    </row>
    <row r="1158" spans="3:12">
      <c r="C1158" s="23">
        <f t="shared" si="172"/>
        <v>420</v>
      </c>
      <c r="D1158" s="23">
        <f t="shared" si="173"/>
        <v>168</v>
      </c>
      <c r="E1158" s="23">
        <f t="shared" si="175"/>
        <v>252</v>
      </c>
      <c r="F1158" s="23">
        <f t="shared" si="176"/>
        <v>700</v>
      </c>
      <c r="G1158" s="23">
        <f t="shared" ca="1" si="177"/>
        <v>197</v>
      </c>
      <c r="H1158" s="23">
        <f t="shared" ca="1" si="178"/>
        <v>658</v>
      </c>
      <c r="I1158" s="23">
        <f t="shared" ca="1" si="179"/>
        <v>365</v>
      </c>
      <c r="J1158" s="23">
        <f t="shared" ca="1" si="180"/>
        <v>658</v>
      </c>
      <c r="K1158" s="23">
        <f t="shared" ca="1" si="181"/>
        <v>1023</v>
      </c>
      <c r="L1158" s="23">
        <f t="shared" ca="1" si="174"/>
        <v>65305</v>
      </c>
    </row>
    <row r="1159" spans="3:12">
      <c r="C1159" s="23">
        <f t="shared" si="172"/>
        <v>420</v>
      </c>
      <c r="D1159" s="23">
        <f t="shared" si="173"/>
        <v>168</v>
      </c>
      <c r="E1159" s="23">
        <f t="shared" si="175"/>
        <v>252</v>
      </c>
      <c r="F1159" s="23">
        <f t="shared" si="176"/>
        <v>700</v>
      </c>
      <c r="G1159" s="23">
        <f t="shared" ca="1" si="177"/>
        <v>249</v>
      </c>
      <c r="H1159" s="23">
        <f t="shared" ca="1" si="178"/>
        <v>626</v>
      </c>
      <c r="I1159" s="23">
        <f t="shared" ca="1" si="179"/>
        <v>417</v>
      </c>
      <c r="J1159" s="23">
        <f t="shared" ca="1" si="180"/>
        <v>626</v>
      </c>
      <c r="K1159" s="23">
        <f t="shared" ca="1" si="181"/>
        <v>1043</v>
      </c>
      <c r="L1159" s="23">
        <f t="shared" ca="1" si="174"/>
        <v>68005</v>
      </c>
    </row>
    <row r="1160" spans="3:12">
      <c r="C1160" s="23">
        <f t="shared" si="172"/>
        <v>420</v>
      </c>
      <c r="D1160" s="23">
        <f t="shared" si="173"/>
        <v>168</v>
      </c>
      <c r="E1160" s="23">
        <f t="shared" si="175"/>
        <v>252</v>
      </c>
      <c r="F1160" s="23">
        <f t="shared" si="176"/>
        <v>700</v>
      </c>
      <c r="G1160" s="23">
        <f t="shared" ca="1" si="177"/>
        <v>173</v>
      </c>
      <c r="H1160" s="23">
        <f t="shared" ca="1" si="178"/>
        <v>565</v>
      </c>
      <c r="I1160" s="23">
        <f t="shared" ca="1" si="179"/>
        <v>341</v>
      </c>
      <c r="J1160" s="23">
        <f t="shared" ca="1" si="180"/>
        <v>565</v>
      </c>
      <c r="K1160" s="23">
        <f t="shared" ca="1" si="181"/>
        <v>906</v>
      </c>
      <c r="L1160" s="23">
        <f t="shared" ca="1" si="174"/>
        <v>49510</v>
      </c>
    </row>
    <row r="1161" spans="3:12">
      <c r="C1161" s="23">
        <f t="shared" si="172"/>
        <v>420</v>
      </c>
      <c r="D1161" s="23">
        <f t="shared" si="173"/>
        <v>168</v>
      </c>
      <c r="E1161" s="23">
        <f t="shared" si="175"/>
        <v>252</v>
      </c>
      <c r="F1161" s="23">
        <f t="shared" si="176"/>
        <v>700</v>
      </c>
      <c r="G1161" s="23">
        <f t="shared" ca="1" si="177"/>
        <v>186</v>
      </c>
      <c r="H1161" s="23">
        <f t="shared" ca="1" si="178"/>
        <v>681</v>
      </c>
      <c r="I1161" s="23">
        <f t="shared" ca="1" si="179"/>
        <v>354</v>
      </c>
      <c r="J1161" s="23">
        <f t="shared" ca="1" si="180"/>
        <v>681</v>
      </c>
      <c r="K1161" s="23">
        <f t="shared" ca="1" si="181"/>
        <v>1035</v>
      </c>
      <c r="L1161" s="23">
        <f t="shared" ca="1" si="174"/>
        <v>66925</v>
      </c>
    </row>
    <row r="1162" spans="3:12">
      <c r="C1162" s="23">
        <f t="shared" si="172"/>
        <v>420</v>
      </c>
      <c r="D1162" s="23">
        <f t="shared" si="173"/>
        <v>168</v>
      </c>
      <c r="E1162" s="23">
        <f t="shared" si="175"/>
        <v>252</v>
      </c>
      <c r="F1162" s="23">
        <f t="shared" si="176"/>
        <v>700</v>
      </c>
      <c r="G1162" s="23">
        <f t="shared" ca="1" si="177"/>
        <v>207</v>
      </c>
      <c r="H1162" s="23">
        <f t="shared" ca="1" si="178"/>
        <v>671</v>
      </c>
      <c r="I1162" s="23">
        <f t="shared" ca="1" si="179"/>
        <v>375</v>
      </c>
      <c r="J1162" s="23">
        <f t="shared" ca="1" si="180"/>
        <v>671</v>
      </c>
      <c r="K1162" s="23">
        <f t="shared" ca="1" si="181"/>
        <v>1046</v>
      </c>
      <c r="L1162" s="23">
        <f t="shared" ca="1" si="174"/>
        <v>68410</v>
      </c>
    </row>
    <row r="1163" spans="3:12">
      <c r="C1163" s="23">
        <f t="shared" si="172"/>
        <v>420</v>
      </c>
      <c r="D1163" s="23">
        <f t="shared" si="173"/>
        <v>168</v>
      </c>
      <c r="E1163" s="23">
        <f t="shared" si="175"/>
        <v>252</v>
      </c>
      <c r="F1163" s="23">
        <f t="shared" si="176"/>
        <v>700</v>
      </c>
      <c r="G1163" s="23">
        <f t="shared" ca="1" si="177"/>
        <v>213</v>
      </c>
      <c r="H1163" s="23">
        <f t="shared" ca="1" si="178"/>
        <v>738</v>
      </c>
      <c r="I1163" s="23">
        <f t="shared" ca="1" si="179"/>
        <v>381</v>
      </c>
      <c r="J1163" s="23">
        <f t="shared" ca="1" si="180"/>
        <v>738</v>
      </c>
      <c r="K1163" s="23">
        <f t="shared" ca="1" si="181"/>
        <v>1119</v>
      </c>
      <c r="L1163" s="23">
        <f t="shared" ca="1" si="174"/>
        <v>78265</v>
      </c>
    </row>
    <row r="1164" spans="3:12">
      <c r="C1164" s="23">
        <f t="shared" ref="C1164:C1227" si="182">$B$4</f>
        <v>420</v>
      </c>
      <c r="D1164" s="23">
        <f t="shared" ref="D1164:D1227" si="183">$B$5</f>
        <v>168</v>
      </c>
      <c r="E1164" s="23">
        <f t="shared" si="175"/>
        <v>252</v>
      </c>
      <c r="F1164" s="23">
        <f t="shared" si="176"/>
        <v>700</v>
      </c>
      <c r="G1164" s="23">
        <f t="shared" ca="1" si="177"/>
        <v>218</v>
      </c>
      <c r="H1164" s="23">
        <f t="shared" ca="1" si="178"/>
        <v>740</v>
      </c>
      <c r="I1164" s="23">
        <f t="shared" ca="1" si="179"/>
        <v>386</v>
      </c>
      <c r="J1164" s="23">
        <f t="shared" ca="1" si="180"/>
        <v>734</v>
      </c>
      <c r="K1164" s="23">
        <f t="shared" ca="1" si="181"/>
        <v>1120</v>
      </c>
      <c r="L1164" s="23">
        <f t="shared" ref="L1164:L1227" ca="1" si="184">K1164*$B$2-(F1164+C1164)*$B$1</f>
        <v>78400</v>
      </c>
    </row>
    <row r="1165" spans="3:12">
      <c r="C1165" s="23">
        <f t="shared" si="182"/>
        <v>420</v>
      </c>
      <c r="D1165" s="23">
        <f t="shared" si="183"/>
        <v>168</v>
      </c>
      <c r="E1165" s="23">
        <f t="shared" ref="E1165:E1228" si="185">MAX(0,C1165-D1165)</f>
        <v>252</v>
      </c>
      <c r="F1165" s="23">
        <f t="shared" ref="F1165:F1228" si="186">$E$8</f>
        <v>700</v>
      </c>
      <c r="G1165" s="23">
        <f t="shared" ref="G1165:G1228" ca="1" si="187">_xlfn.FLOOR.MATH(MAX(0,_xlfn.NORM.INV(RAND(),$B$6*$B$8,$B$3*($B$8+0.0001))))</f>
        <v>200</v>
      </c>
      <c r="H1165" s="23">
        <f t="shared" ref="H1165:H1228" ca="1" si="188">_xlfn.FLOOR.MATH(MAX(0,_xlfn.NORM.INV(RAND(),$B$6*(1-$B$8),$B$3*(1.00001-$B$8))))</f>
        <v>532</v>
      </c>
      <c r="I1165" s="23">
        <f t="shared" ref="I1165:I1228" ca="1" si="189">MIN(C1165,D1165+G1165)</f>
        <v>368</v>
      </c>
      <c r="J1165" s="23">
        <f t="shared" ref="J1165:J1228" ca="1" si="190">MIN(C1165-I1165+F1165,H1165)</f>
        <v>532</v>
      </c>
      <c r="K1165" s="23">
        <f t="shared" ref="K1165:K1228" ca="1" si="191">I1165+J1165</f>
        <v>900</v>
      </c>
      <c r="L1165" s="23">
        <f t="shared" ca="1" si="184"/>
        <v>48700</v>
      </c>
    </row>
    <row r="1166" spans="3:12">
      <c r="C1166" s="23">
        <f t="shared" si="182"/>
        <v>420</v>
      </c>
      <c r="D1166" s="23">
        <f t="shared" si="183"/>
        <v>168</v>
      </c>
      <c r="E1166" s="23">
        <f t="shared" si="185"/>
        <v>252</v>
      </c>
      <c r="F1166" s="23">
        <f t="shared" si="186"/>
        <v>700</v>
      </c>
      <c r="G1166" s="23">
        <f t="shared" ca="1" si="187"/>
        <v>204</v>
      </c>
      <c r="H1166" s="23">
        <f t="shared" ca="1" si="188"/>
        <v>636</v>
      </c>
      <c r="I1166" s="23">
        <f t="shared" ca="1" si="189"/>
        <v>372</v>
      </c>
      <c r="J1166" s="23">
        <f t="shared" ca="1" si="190"/>
        <v>636</v>
      </c>
      <c r="K1166" s="23">
        <f t="shared" ca="1" si="191"/>
        <v>1008</v>
      </c>
      <c r="L1166" s="23">
        <f t="shared" ca="1" si="184"/>
        <v>63280</v>
      </c>
    </row>
    <row r="1167" spans="3:12">
      <c r="C1167" s="23">
        <f t="shared" si="182"/>
        <v>420</v>
      </c>
      <c r="D1167" s="23">
        <f t="shared" si="183"/>
        <v>168</v>
      </c>
      <c r="E1167" s="23">
        <f t="shared" si="185"/>
        <v>252</v>
      </c>
      <c r="F1167" s="23">
        <f t="shared" si="186"/>
        <v>700</v>
      </c>
      <c r="G1167" s="23">
        <f t="shared" ca="1" si="187"/>
        <v>186</v>
      </c>
      <c r="H1167" s="23">
        <f t="shared" ca="1" si="188"/>
        <v>691</v>
      </c>
      <c r="I1167" s="23">
        <f t="shared" ca="1" si="189"/>
        <v>354</v>
      </c>
      <c r="J1167" s="23">
        <f t="shared" ca="1" si="190"/>
        <v>691</v>
      </c>
      <c r="K1167" s="23">
        <f t="shared" ca="1" si="191"/>
        <v>1045</v>
      </c>
      <c r="L1167" s="23">
        <f t="shared" ca="1" si="184"/>
        <v>68275</v>
      </c>
    </row>
    <row r="1168" spans="3:12">
      <c r="C1168" s="23">
        <f t="shared" si="182"/>
        <v>420</v>
      </c>
      <c r="D1168" s="23">
        <f t="shared" si="183"/>
        <v>168</v>
      </c>
      <c r="E1168" s="23">
        <f t="shared" si="185"/>
        <v>252</v>
      </c>
      <c r="F1168" s="23">
        <f t="shared" si="186"/>
        <v>700</v>
      </c>
      <c r="G1168" s="23">
        <f t="shared" ca="1" si="187"/>
        <v>211</v>
      </c>
      <c r="H1168" s="23">
        <f t="shared" ca="1" si="188"/>
        <v>602</v>
      </c>
      <c r="I1168" s="23">
        <f t="shared" ca="1" si="189"/>
        <v>379</v>
      </c>
      <c r="J1168" s="23">
        <f t="shared" ca="1" si="190"/>
        <v>602</v>
      </c>
      <c r="K1168" s="23">
        <f t="shared" ca="1" si="191"/>
        <v>981</v>
      </c>
      <c r="L1168" s="23">
        <f t="shared" ca="1" si="184"/>
        <v>59635</v>
      </c>
    </row>
    <row r="1169" spans="3:12">
      <c r="C1169" s="23">
        <f t="shared" si="182"/>
        <v>420</v>
      </c>
      <c r="D1169" s="23">
        <f t="shared" si="183"/>
        <v>168</v>
      </c>
      <c r="E1169" s="23">
        <f t="shared" si="185"/>
        <v>252</v>
      </c>
      <c r="F1169" s="23">
        <f t="shared" si="186"/>
        <v>700</v>
      </c>
      <c r="G1169" s="23">
        <f t="shared" ca="1" si="187"/>
        <v>227</v>
      </c>
      <c r="H1169" s="23">
        <f t="shared" ca="1" si="188"/>
        <v>623</v>
      </c>
      <c r="I1169" s="23">
        <f t="shared" ca="1" si="189"/>
        <v>395</v>
      </c>
      <c r="J1169" s="23">
        <f t="shared" ca="1" si="190"/>
        <v>623</v>
      </c>
      <c r="K1169" s="23">
        <f t="shared" ca="1" si="191"/>
        <v>1018</v>
      </c>
      <c r="L1169" s="23">
        <f t="shared" ca="1" si="184"/>
        <v>64630</v>
      </c>
    </row>
    <row r="1170" spans="3:12">
      <c r="C1170" s="23">
        <f t="shared" si="182"/>
        <v>420</v>
      </c>
      <c r="D1170" s="23">
        <f t="shared" si="183"/>
        <v>168</v>
      </c>
      <c r="E1170" s="23">
        <f t="shared" si="185"/>
        <v>252</v>
      </c>
      <c r="F1170" s="23">
        <f t="shared" si="186"/>
        <v>700</v>
      </c>
      <c r="G1170" s="23">
        <f t="shared" ca="1" si="187"/>
        <v>224</v>
      </c>
      <c r="H1170" s="23">
        <f t="shared" ca="1" si="188"/>
        <v>587</v>
      </c>
      <c r="I1170" s="23">
        <f t="shared" ca="1" si="189"/>
        <v>392</v>
      </c>
      <c r="J1170" s="23">
        <f t="shared" ca="1" si="190"/>
        <v>587</v>
      </c>
      <c r="K1170" s="23">
        <f t="shared" ca="1" si="191"/>
        <v>979</v>
      </c>
      <c r="L1170" s="23">
        <f t="shared" ca="1" si="184"/>
        <v>59365</v>
      </c>
    </row>
    <row r="1171" spans="3:12">
      <c r="C1171" s="23">
        <f t="shared" si="182"/>
        <v>420</v>
      </c>
      <c r="D1171" s="23">
        <f t="shared" si="183"/>
        <v>168</v>
      </c>
      <c r="E1171" s="23">
        <f t="shared" si="185"/>
        <v>252</v>
      </c>
      <c r="F1171" s="23">
        <f t="shared" si="186"/>
        <v>700</v>
      </c>
      <c r="G1171" s="23">
        <f t="shared" ca="1" si="187"/>
        <v>183</v>
      </c>
      <c r="H1171" s="23">
        <f t="shared" ca="1" si="188"/>
        <v>704</v>
      </c>
      <c r="I1171" s="23">
        <f t="shared" ca="1" si="189"/>
        <v>351</v>
      </c>
      <c r="J1171" s="23">
        <f t="shared" ca="1" si="190"/>
        <v>704</v>
      </c>
      <c r="K1171" s="23">
        <f t="shared" ca="1" si="191"/>
        <v>1055</v>
      </c>
      <c r="L1171" s="23">
        <f t="shared" ca="1" si="184"/>
        <v>69625</v>
      </c>
    </row>
    <row r="1172" spans="3:12">
      <c r="C1172" s="23">
        <f t="shared" si="182"/>
        <v>420</v>
      </c>
      <c r="D1172" s="23">
        <f t="shared" si="183"/>
        <v>168</v>
      </c>
      <c r="E1172" s="23">
        <f t="shared" si="185"/>
        <v>252</v>
      </c>
      <c r="F1172" s="23">
        <f t="shared" si="186"/>
        <v>700</v>
      </c>
      <c r="G1172" s="23">
        <f t="shared" ca="1" si="187"/>
        <v>226</v>
      </c>
      <c r="H1172" s="23">
        <f t="shared" ca="1" si="188"/>
        <v>568</v>
      </c>
      <c r="I1172" s="23">
        <f t="shared" ca="1" si="189"/>
        <v>394</v>
      </c>
      <c r="J1172" s="23">
        <f t="shared" ca="1" si="190"/>
        <v>568</v>
      </c>
      <c r="K1172" s="23">
        <f t="shared" ca="1" si="191"/>
        <v>962</v>
      </c>
      <c r="L1172" s="23">
        <f t="shared" ca="1" si="184"/>
        <v>57070</v>
      </c>
    </row>
    <row r="1173" spans="3:12">
      <c r="C1173" s="23">
        <f t="shared" si="182"/>
        <v>420</v>
      </c>
      <c r="D1173" s="23">
        <f t="shared" si="183"/>
        <v>168</v>
      </c>
      <c r="E1173" s="23">
        <f t="shared" si="185"/>
        <v>252</v>
      </c>
      <c r="F1173" s="23">
        <f t="shared" si="186"/>
        <v>700</v>
      </c>
      <c r="G1173" s="23">
        <f t="shared" ca="1" si="187"/>
        <v>211</v>
      </c>
      <c r="H1173" s="23">
        <f t="shared" ca="1" si="188"/>
        <v>619</v>
      </c>
      <c r="I1173" s="23">
        <f t="shared" ca="1" si="189"/>
        <v>379</v>
      </c>
      <c r="J1173" s="23">
        <f t="shared" ca="1" si="190"/>
        <v>619</v>
      </c>
      <c r="K1173" s="23">
        <f t="shared" ca="1" si="191"/>
        <v>998</v>
      </c>
      <c r="L1173" s="23">
        <f t="shared" ca="1" si="184"/>
        <v>61930</v>
      </c>
    </row>
    <row r="1174" spans="3:12">
      <c r="C1174" s="23">
        <f t="shared" si="182"/>
        <v>420</v>
      </c>
      <c r="D1174" s="23">
        <f t="shared" si="183"/>
        <v>168</v>
      </c>
      <c r="E1174" s="23">
        <f t="shared" si="185"/>
        <v>252</v>
      </c>
      <c r="F1174" s="23">
        <f t="shared" si="186"/>
        <v>700</v>
      </c>
      <c r="G1174" s="23">
        <f t="shared" ca="1" si="187"/>
        <v>197</v>
      </c>
      <c r="H1174" s="23">
        <f t="shared" ca="1" si="188"/>
        <v>712</v>
      </c>
      <c r="I1174" s="23">
        <f t="shared" ca="1" si="189"/>
        <v>365</v>
      </c>
      <c r="J1174" s="23">
        <f t="shared" ca="1" si="190"/>
        <v>712</v>
      </c>
      <c r="K1174" s="23">
        <f t="shared" ca="1" si="191"/>
        <v>1077</v>
      </c>
      <c r="L1174" s="23">
        <f t="shared" ca="1" si="184"/>
        <v>72595</v>
      </c>
    </row>
    <row r="1175" spans="3:12">
      <c r="C1175" s="23">
        <f t="shared" si="182"/>
        <v>420</v>
      </c>
      <c r="D1175" s="23">
        <f t="shared" si="183"/>
        <v>168</v>
      </c>
      <c r="E1175" s="23">
        <f t="shared" si="185"/>
        <v>252</v>
      </c>
      <c r="F1175" s="23">
        <f t="shared" si="186"/>
        <v>700</v>
      </c>
      <c r="G1175" s="23">
        <f t="shared" ca="1" si="187"/>
        <v>230</v>
      </c>
      <c r="H1175" s="23">
        <f t="shared" ca="1" si="188"/>
        <v>616</v>
      </c>
      <c r="I1175" s="23">
        <f t="shared" ca="1" si="189"/>
        <v>398</v>
      </c>
      <c r="J1175" s="23">
        <f t="shared" ca="1" si="190"/>
        <v>616</v>
      </c>
      <c r="K1175" s="23">
        <f t="shared" ca="1" si="191"/>
        <v>1014</v>
      </c>
      <c r="L1175" s="23">
        <f t="shared" ca="1" si="184"/>
        <v>64090</v>
      </c>
    </row>
    <row r="1176" spans="3:12">
      <c r="C1176" s="23">
        <f t="shared" si="182"/>
        <v>420</v>
      </c>
      <c r="D1176" s="23">
        <f t="shared" si="183"/>
        <v>168</v>
      </c>
      <c r="E1176" s="23">
        <f t="shared" si="185"/>
        <v>252</v>
      </c>
      <c r="F1176" s="23">
        <f t="shared" si="186"/>
        <v>700</v>
      </c>
      <c r="G1176" s="23">
        <f t="shared" ca="1" si="187"/>
        <v>215</v>
      </c>
      <c r="H1176" s="23">
        <f t="shared" ca="1" si="188"/>
        <v>619</v>
      </c>
      <c r="I1176" s="23">
        <f t="shared" ca="1" si="189"/>
        <v>383</v>
      </c>
      <c r="J1176" s="23">
        <f t="shared" ca="1" si="190"/>
        <v>619</v>
      </c>
      <c r="K1176" s="23">
        <f t="shared" ca="1" si="191"/>
        <v>1002</v>
      </c>
      <c r="L1176" s="23">
        <f t="shared" ca="1" si="184"/>
        <v>62470</v>
      </c>
    </row>
    <row r="1177" spans="3:12">
      <c r="C1177" s="23">
        <f t="shared" si="182"/>
        <v>420</v>
      </c>
      <c r="D1177" s="23">
        <f t="shared" si="183"/>
        <v>168</v>
      </c>
      <c r="E1177" s="23">
        <f t="shared" si="185"/>
        <v>252</v>
      </c>
      <c r="F1177" s="23">
        <f t="shared" si="186"/>
        <v>700</v>
      </c>
      <c r="G1177" s="23">
        <f t="shared" ca="1" si="187"/>
        <v>250</v>
      </c>
      <c r="H1177" s="23">
        <f t="shared" ca="1" si="188"/>
        <v>751</v>
      </c>
      <c r="I1177" s="23">
        <f t="shared" ca="1" si="189"/>
        <v>418</v>
      </c>
      <c r="J1177" s="23">
        <f t="shared" ca="1" si="190"/>
        <v>702</v>
      </c>
      <c r="K1177" s="23">
        <f t="shared" ca="1" si="191"/>
        <v>1120</v>
      </c>
      <c r="L1177" s="23">
        <f t="shared" ca="1" si="184"/>
        <v>78400</v>
      </c>
    </row>
    <row r="1178" spans="3:12">
      <c r="C1178" s="23">
        <f t="shared" si="182"/>
        <v>420</v>
      </c>
      <c r="D1178" s="23">
        <f t="shared" si="183"/>
        <v>168</v>
      </c>
      <c r="E1178" s="23">
        <f t="shared" si="185"/>
        <v>252</v>
      </c>
      <c r="F1178" s="23">
        <f t="shared" si="186"/>
        <v>700</v>
      </c>
      <c r="G1178" s="23">
        <f t="shared" ca="1" si="187"/>
        <v>211</v>
      </c>
      <c r="H1178" s="23">
        <f t="shared" ca="1" si="188"/>
        <v>586</v>
      </c>
      <c r="I1178" s="23">
        <f t="shared" ca="1" si="189"/>
        <v>379</v>
      </c>
      <c r="J1178" s="23">
        <f t="shared" ca="1" si="190"/>
        <v>586</v>
      </c>
      <c r="K1178" s="23">
        <f t="shared" ca="1" si="191"/>
        <v>965</v>
      </c>
      <c r="L1178" s="23">
        <f t="shared" ca="1" si="184"/>
        <v>57475</v>
      </c>
    </row>
    <row r="1179" spans="3:12">
      <c r="C1179" s="23">
        <f t="shared" si="182"/>
        <v>420</v>
      </c>
      <c r="D1179" s="23">
        <f t="shared" si="183"/>
        <v>168</v>
      </c>
      <c r="E1179" s="23">
        <f t="shared" si="185"/>
        <v>252</v>
      </c>
      <c r="F1179" s="23">
        <f t="shared" si="186"/>
        <v>700</v>
      </c>
      <c r="G1179" s="23">
        <f t="shared" ca="1" si="187"/>
        <v>215</v>
      </c>
      <c r="H1179" s="23">
        <f t="shared" ca="1" si="188"/>
        <v>573</v>
      </c>
      <c r="I1179" s="23">
        <f t="shared" ca="1" si="189"/>
        <v>383</v>
      </c>
      <c r="J1179" s="23">
        <f t="shared" ca="1" si="190"/>
        <v>573</v>
      </c>
      <c r="K1179" s="23">
        <f t="shared" ca="1" si="191"/>
        <v>956</v>
      </c>
      <c r="L1179" s="23">
        <f t="shared" ca="1" si="184"/>
        <v>56260</v>
      </c>
    </row>
    <row r="1180" spans="3:12">
      <c r="C1180" s="23">
        <f t="shared" si="182"/>
        <v>420</v>
      </c>
      <c r="D1180" s="23">
        <f t="shared" si="183"/>
        <v>168</v>
      </c>
      <c r="E1180" s="23">
        <f t="shared" si="185"/>
        <v>252</v>
      </c>
      <c r="F1180" s="23">
        <f t="shared" si="186"/>
        <v>700</v>
      </c>
      <c r="G1180" s="23">
        <f t="shared" ca="1" si="187"/>
        <v>217</v>
      </c>
      <c r="H1180" s="23">
        <f t="shared" ca="1" si="188"/>
        <v>563</v>
      </c>
      <c r="I1180" s="23">
        <f t="shared" ca="1" si="189"/>
        <v>385</v>
      </c>
      <c r="J1180" s="23">
        <f t="shared" ca="1" si="190"/>
        <v>563</v>
      </c>
      <c r="K1180" s="23">
        <f t="shared" ca="1" si="191"/>
        <v>948</v>
      </c>
      <c r="L1180" s="23">
        <f t="shared" ca="1" si="184"/>
        <v>55180</v>
      </c>
    </row>
    <row r="1181" spans="3:12">
      <c r="C1181" s="23">
        <f t="shared" si="182"/>
        <v>420</v>
      </c>
      <c r="D1181" s="23">
        <f t="shared" si="183"/>
        <v>168</v>
      </c>
      <c r="E1181" s="23">
        <f t="shared" si="185"/>
        <v>252</v>
      </c>
      <c r="F1181" s="23">
        <f t="shared" si="186"/>
        <v>700</v>
      </c>
      <c r="G1181" s="23">
        <f t="shared" ca="1" si="187"/>
        <v>214</v>
      </c>
      <c r="H1181" s="23">
        <f t="shared" ca="1" si="188"/>
        <v>626</v>
      </c>
      <c r="I1181" s="23">
        <f t="shared" ca="1" si="189"/>
        <v>382</v>
      </c>
      <c r="J1181" s="23">
        <f t="shared" ca="1" si="190"/>
        <v>626</v>
      </c>
      <c r="K1181" s="23">
        <f t="shared" ca="1" si="191"/>
        <v>1008</v>
      </c>
      <c r="L1181" s="23">
        <f t="shared" ca="1" si="184"/>
        <v>63280</v>
      </c>
    </row>
    <row r="1182" spans="3:12">
      <c r="C1182" s="23">
        <f t="shared" si="182"/>
        <v>420</v>
      </c>
      <c r="D1182" s="23">
        <f t="shared" si="183"/>
        <v>168</v>
      </c>
      <c r="E1182" s="23">
        <f t="shared" si="185"/>
        <v>252</v>
      </c>
      <c r="F1182" s="23">
        <f t="shared" si="186"/>
        <v>700</v>
      </c>
      <c r="G1182" s="23">
        <f t="shared" ca="1" si="187"/>
        <v>169</v>
      </c>
      <c r="H1182" s="23">
        <f t="shared" ca="1" si="188"/>
        <v>431</v>
      </c>
      <c r="I1182" s="23">
        <f t="shared" ca="1" si="189"/>
        <v>337</v>
      </c>
      <c r="J1182" s="23">
        <f t="shared" ca="1" si="190"/>
        <v>431</v>
      </c>
      <c r="K1182" s="23">
        <f t="shared" ca="1" si="191"/>
        <v>768</v>
      </c>
      <c r="L1182" s="23">
        <f t="shared" ca="1" si="184"/>
        <v>30880</v>
      </c>
    </row>
    <row r="1183" spans="3:12">
      <c r="C1183" s="23">
        <f t="shared" si="182"/>
        <v>420</v>
      </c>
      <c r="D1183" s="23">
        <f t="shared" si="183"/>
        <v>168</v>
      </c>
      <c r="E1183" s="23">
        <f t="shared" si="185"/>
        <v>252</v>
      </c>
      <c r="F1183" s="23">
        <f t="shared" si="186"/>
        <v>700</v>
      </c>
      <c r="G1183" s="23">
        <f t="shared" ca="1" si="187"/>
        <v>217</v>
      </c>
      <c r="H1183" s="23">
        <f t="shared" ca="1" si="188"/>
        <v>670</v>
      </c>
      <c r="I1183" s="23">
        <f t="shared" ca="1" si="189"/>
        <v>385</v>
      </c>
      <c r="J1183" s="23">
        <f t="shared" ca="1" si="190"/>
        <v>670</v>
      </c>
      <c r="K1183" s="23">
        <f t="shared" ca="1" si="191"/>
        <v>1055</v>
      </c>
      <c r="L1183" s="23">
        <f t="shared" ca="1" si="184"/>
        <v>69625</v>
      </c>
    </row>
    <row r="1184" spans="3:12">
      <c r="C1184" s="23">
        <f t="shared" si="182"/>
        <v>420</v>
      </c>
      <c r="D1184" s="23">
        <f t="shared" si="183"/>
        <v>168</v>
      </c>
      <c r="E1184" s="23">
        <f t="shared" si="185"/>
        <v>252</v>
      </c>
      <c r="F1184" s="23">
        <f t="shared" si="186"/>
        <v>700</v>
      </c>
      <c r="G1184" s="23">
        <f t="shared" ca="1" si="187"/>
        <v>225</v>
      </c>
      <c r="H1184" s="23">
        <f t="shared" ca="1" si="188"/>
        <v>730</v>
      </c>
      <c r="I1184" s="23">
        <f t="shared" ca="1" si="189"/>
        <v>393</v>
      </c>
      <c r="J1184" s="23">
        <f t="shared" ca="1" si="190"/>
        <v>727</v>
      </c>
      <c r="K1184" s="23">
        <f t="shared" ca="1" si="191"/>
        <v>1120</v>
      </c>
      <c r="L1184" s="23">
        <f t="shared" ca="1" si="184"/>
        <v>78400</v>
      </c>
    </row>
    <row r="1185" spans="3:12">
      <c r="C1185" s="23">
        <f t="shared" si="182"/>
        <v>420</v>
      </c>
      <c r="D1185" s="23">
        <f t="shared" si="183"/>
        <v>168</v>
      </c>
      <c r="E1185" s="23">
        <f t="shared" si="185"/>
        <v>252</v>
      </c>
      <c r="F1185" s="23">
        <f t="shared" si="186"/>
        <v>700</v>
      </c>
      <c r="G1185" s="23">
        <f t="shared" ca="1" si="187"/>
        <v>232</v>
      </c>
      <c r="H1185" s="23">
        <f t="shared" ca="1" si="188"/>
        <v>532</v>
      </c>
      <c r="I1185" s="23">
        <f t="shared" ca="1" si="189"/>
        <v>400</v>
      </c>
      <c r="J1185" s="23">
        <f t="shared" ca="1" si="190"/>
        <v>532</v>
      </c>
      <c r="K1185" s="23">
        <f t="shared" ca="1" si="191"/>
        <v>932</v>
      </c>
      <c r="L1185" s="23">
        <f t="shared" ca="1" si="184"/>
        <v>53020</v>
      </c>
    </row>
    <row r="1186" spans="3:12">
      <c r="C1186" s="23">
        <f t="shared" si="182"/>
        <v>420</v>
      </c>
      <c r="D1186" s="23">
        <f t="shared" si="183"/>
        <v>168</v>
      </c>
      <c r="E1186" s="23">
        <f t="shared" si="185"/>
        <v>252</v>
      </c>
      <c r="F1186" s="23">
        <f t="shared" si="186"/>
        <v>700</v>
      </c>
      <c r="G1186" s="23">
        <f t="shared" ca="1" si="187"/>
        <v>216</v>
      </c>
      <c r="H1186" s="23">
        <f t="shared" ca="1" si="188"/>
        <v>733</v>
      </c>
      <c r="I1186" s="23">
        <f t="shared" ca="1" si="189"/>
        <v>384</v>
      </c>
      <c r="J1186" s="23">
        <f t="shared" ca="1" si="190"/>
        <v>733</v>
      </c>
      <c r="K1186" s="23">
        <f t="shared" ca="1" si="191"/>
        <v>1117</v>
      </c>
      <c r="L1186" s="23">
        <f t="shared" ca="1" si="184"/>
        <v>77995</v>
      </c>
    </row>
    <row r="1187" spans="3:12">
      <c r="C1187" s="23">
        <f t="shared" si="182"/>
        <v>420</v>
      </c>
      <c r="D1187" s="23">
        <f t="shared" si="183"/>
        <v>168</v>
      </c>
      <c r="E1187" s="23">
        <f t="shared" si="185"/>
        <v>252</v>
      </c>
      <c r="F1187" s="23">
        <f t="shared" si="186"/>
        <v>700</v>
      </c>
      <c r="G1187" s="23">
        <f t="shared" ca="1" si="187"/>
        <v>226</v>
      </c>
      <c r="H1187" s="23">
        <f t="shared" ca="1" si="188"/>
        <v>656</v>
      </c>
      <c r="I1187" s="23">
        <f t="shared" ca="1" si="189"/>
        <v>394</v>
      </c>
      <c r="J1187" s="23">
        <f t="shared" ca="1" si="190"/>
        <v>656</v>
      </c>
      <c r="K1187" s="23">
        <f t="shared" ca="1" si="191"/>
        <v>1050</v>
      </c>
      <c r="L1187" s="23">
        <f t="shared" ca="1" si="184"/>
        <v>68950</v>
      </c>
    </row>
    <row r="1188" spans="3:12">
      <c r="C1188" s="23">
        <f t="shared" si="182"/>
        <v>420</v>
      </c>
      <c r="D1188" s="23">
        <f t="shared" si="183"/>
        <v>168</v>
      </c>
      <c r="E1188" s="23">
        <f t="shared" si="185"/>
        <v>252</v>
      </c>
      <c r="F1188" s="23">
        <f t="shared" si="186"/>
        <v>700</v>
      </c>
      <c r="G1188" s="23">
        <f t="shared" ca="1" si="187"/>
        <v>212</v>
      </c>
      <c r="H1188" s="23">
        <f t="shared" ca="1" si="188"/>
        <v>592</v>
      </c>
      <c r="I1188" s="23">
        <f t="shared" ca="1" si="189"/>
        <v>380</v>
      </c>
      <c r="J1188" s="23">
        <f t="shared" ca="1" si="190"/>
        <v>592</v>
      </c>
      <c r="K1188" s="23">
        <f t="shared" ca="1" si="191"/>
        <v>972</v>
      </c>
      <c r="L1188" s="23">
        <f t="shared" ca="1" si="184"/>
        <v>58420</v>
      </c>
    </row>
    <row r="1189" spans="3:12">
      <c r="C1189" s="23">
        <f t="shared" si="182"/>
        <v>420</v>
      </c>
      <c r="D1189" s="23">
        <f t="shared" si="183"/>
        <v>168</v>
      </c>
      <c r="E1189" s="23">
        <f t="shared" si="185"/>
        <v>252</v>
      </c>
      <c r="F1189" s="23">
        <f t="shared" si="186"/>
        <v>700</v>
      </c>
      <c r="G1189" s="23">
        <f t="shared" ca="1" si="187"/>
        <v>210</v>
      </c>
      <c r="H1189" s="23">
        <f t="shared" ca="1" si="188"/>
        <v>576</v>
      </c>
      <c r="I1189" s="23">
        <f t="shared" ca="1" si="189"/>
        <v>378</v>
      </c>
      <c r="J1189" s="23">
        <f t="shared" ca="1" si="190"/>
        <v>576</v>
      </c>
      <c r="K1189" s="23">
        <f t="shared" ca="1" si="191"/>
        <v>954</v>
      </c>
      <c r="L1189" s="23">
        <f t="shared" ca="1" si="184"/>
        <v>55990</v>
      </c>
    </row>
    <row r="1190" spans="3:12">
      <c r="C1190" s="23">
        <f t="shared" si="182"/>
        <v>420</v>
      </c>
      <c r="D1190" s="23">
        <f t="shared" si="183"/>
        <v>168</v>
      </c>
      <c r="E1190" s="23">
        <f t="shared" si="185"/>
        <v>252</v>
      </c>
      <c r="F1190" s="23">
        <f t="shared" si="186"/>
        <v>700</v>
      </c>
      <c r="G1190" s="23">
        <f t="shared" ca="1" si="187"/>
        <v>207</v>
      </c>
      <c r="H1190" s="23">
        <f t="shared" ca="1" si="188"/>
        <v>604</v>
      </c>
      <c r="I1190" s="23">
        <f t="shared" ca="1" si="189"/>
        <v>375</v>
      </c>
      <c r="J1190" s="23">
        <f t="shared" ca="1" si="190"/>
        <v>604</v>
      </c>
      <c r="K1190" s="23">
        <f t="shared" ca="1" si="191"/>
        <v>979</v>
      </c>
      <c r="L1190" s="23">
        <f t="shared" ca="1" si="184"/>
        <v>59365</v>
      </c>
    </row>
    <row r="1191" spans="3:12">
      <c r="C1191" s="23">
        <f t="shared" si="182"/>
        <v>420</v>
      </c>
      <c r="D1191" s="23">
        <f t="shared" si="183"/>
        <v>168</v>
      </c>
      <c r="E1191" s="23">
        <f t="shared" si="185"/>
        <v>252</v>
      </c>
      <c r="F1191" s="23">
        <f t="shared" si="186"/>
        <v>700</v>
      </c>
      <c r="G1191" s="23">
        <f t="shared" ca="1" si="187"/>
        <v>219</v>
      </c>
      <c r="H1191" s="23">
        <f t="shared" ca="1" si="188"/>
        <v>666</v>
      </c>
      <c r="I1191" s="23">
        <f t="shared" ca="1" si="189"/>
        <v>387</v>
      </c>
      <c r="J1191" s="23">
        <f t="shared" ca="1" si="190"/>
        <v>666</v>
      </c>
      <c r="K1191" s="23">
        <f t="shared" ca="1" si="191"/>
        <v>1053</v>
      </c>
      <c r="L1191" s="23">
        <f t="shared" ca="1" si="184"/>
        <v>69355</v>
      </c>
    </row>
    <row r="1192" spans="3:12">
      <c r="C1192" s="23">
        <f t="shared" si="182"/>
        <v>420</v>
      </c>
      <c r="D1192" s="23">
        <f t="shared" si="183"/>
        <v>168</v>
      </c>
      <c r="E1192" s="23">
        <f t="shared" si="185"/>
        <v>252</v>
      </c>
      <c r="F1192" s="23">
        <f t="shared" si="186"/>
        <v>700</v>
      </c>
      <c r="G1192" s="23">
        <f t="shared" ca="1" si="187"/>
        <v>221</v>
      </c>
      <c r="H1192" s="23">
        <f t="shared" ca="1" si="188"/>
        <v>534</v>
      </c>
      <c r="I1192" s="23">
        <f t="shared" ca="1" si="189"/>
        <v>389</v>
      </c>
      <c r="J1192" s="23">
        <f t="shared" ca="1" si="190"/>
        <v>534</v>
      </c>
      <c r="K1192" s="23">
        <f t="shared" ca="1" si="191"/>
        <v>923</v>
      </c>
      <c r="L1192" s="23">
        <f t="shared" ca="1" si="184"/>
        <v>51805</v>
      </c>
    </row>
    <row r="1193" spans="3:12">
      <c r="C1193" s="23">
        <f t="shared" si="182"/>
        <v>420</v>
      </c>
      <c r="D1193" s="23">
        <f t="shared" si="183"/>
        <v>168</v>
      </c>
      <c r="E1193" s="23">
        <f t="shared" si="185"/>
        <v>252</v>
      </c>
      <c r="F1193" s="23">
        <f t="shared" si="186"/>
        <v>700</v>
      </c>
      <c r="G1193" s="23">
        <f t="shared" ca="1" si="187"/>
        <v>200</v>
      </c>
      <c r="H1193" s="23">
        <f t="shared" ca="1" si="188"/>
        <v>641</v>
      </c>
      <c r="I1193" s="23">
        <f t="shared" ca="1" si="189"/>
        <v>368</v>
      </c>
      <c r="J1193" s="23">
        <f t="shared" ca="1" si="190"/>
        <v>641</v>
      </c>
      <c r="K1193" s="23">
        <f t="shared" ca="1" si="191"/>
        <v>1009</v>
      </c>
      <c r="L1193" s="23">
        <f t="shared" ca="1" si="184"/>
        <v>63415</v>
      </c>
    </row>
    <row r="1194" spans="3:12">
      <c r="C1194" s="23">
        <f t="shared" si="182"/>
        <v>420</v>
      </c>
      <c r="D1194" s="23">
        <f t="shared" si="183"/>
        <v>168</v>
      </c>
      <c r="E1194" s="23">
        <f t="shared" si="185"/>
        <v>252</v>
      </c>
      <c r="F1194" s="23">
        <f t="shared" si="186"/>
        <v>700</v>
      </c>
      <c r="G1194" s="23">
        <f t="shared" ca="1" si="187"/>
        <v>209</v>
      </c>
      <c r="H1194" s="23">
        <f t="shared" ca="1" si="188"/>
        <v>602</v>
      </c>
      <c r="I1194" s="23">
        <f t="shared" ca="1" si="189"/>
        <v>377</v>
      </c>
      <c r="J1194" s="23">
        <f t="shared" ca="1" si="190"/>
        <v>602</v>
      </c>
      <c r="K1194" s="23">
        <f t="shared" ca="1" si="191"/>
        <v>979</v>
      </c>
      <c r="L1194" s="23">
        <f t="shared" ca="1" si="184"/>
        <v>59365</v>
      </c>
    </row>
    <row r="1195" spans="3:12">
      <c r="C1195" s="23">
        <f t="shared" si="182"/>
        <v>420</v>
      </c>
      <c r="D1195" s="23">
        <f t="shared" si="183"/>
        <v>168</v>
      </c>
      <c r="E1195" s="23">
        <f t="shared" si="185"/>
        <v>252</v>
      </c>
      <c r="F1195" s="23">
        <f t="shared" si="186"/>
        <v>700</v>
      </c>
      <c r="G1195" s="23">
        <f t="shared" ca="1" si="187"/>
        <v>231</v>
      </c>
      <c r="H1195" s="23">
        <f t="shared" ca="1" si="188"/>
        <v>602</v>
      </c>
      <c r="I1195" s="23">
        <f t="shared" ca="1" si="189"/>
        <v>399</v>
      </c>
      <c r="J1195" s="23">
        <f t="shared" ca="1" si="190"/>
        <v>602</v>
      </c>
      <c r="K1195" s="23">
        <f t="shared" ca="1" si="191"/>
        <v>1001</v>
      </c>
      <c r="L1195" s="23">
        <f t="shared" ca="1" si="184"/>
        <v>62335</v>
      </c>
    </row>
    <row r="1196" spans="3:12">
      <c r="C1196" s="23">
        <f t="shared" si="182"/>
        <v>420</v>
      </c>
      <c r="D1196" s="23">
        <f t="shared" si="183"/>
        <v>168</v>
      </c>
      <c r="E1196" s="23">
        <f t="shared" si="185"/>
        <v>252</v>
      </c>
      <c r="F1196" s="23">
        <f t="shared" si="186"/>
        <v>700</v>
      </c>
      <c r="G1196" s="23">
        <f t="shared" ca="1" si="187"/>
        <v>193</v>
      </c>
      <c r="H1196" s="23">
        <f t="shared" ca="1" si="188"/>
        <v>623</v>
      </c>
      <c r="I1196" s="23">
        <f t="shared" ca="1" si="189"/>
        <v>361</v>
      </c>
      <c r="J1196" s="23">
        <f t="shared" ca="1" si="190"/>
        <v>623</v>
      </c>
      <c r="K1196" s="23">
        <f t="shared" ca="1" si="191"/>
        <v>984</v>
      </c>
      <c r="L1196" s="23">
        <f t="shared" ca="1" si="184"/>
        <v>60040</v>
      </c>
    </row>
    <row r="1197" spans="3:12">
      <c r="C1197" s="23">
        <f t="shared" si="182"/>
        <v>420</v>
      </c>
      <c r="D1197" s="23">
        <f t="shared" si="183"/>
        <v>168</v>
      </c>
      <c r="E1197" s="23">
        <f t="shared" si="185"/>
        <v>252</v>
      </c>
      <c r="F1197" s="23">
        <f t="shared" si="186"/>
        <v>700</v>
      </c>
      <c r="G1197" s="23">
        <f t="shared" ca="1" si="187"/>
        <v>217</v>
      </c>
      <c r="H1197" s="23">
        <f t="shared" ca="1" si="188"/>
        <v>659</v>
      </c>
      <c r="I1197" s="23">
        <f t="shared" ca="1" si="189"/>
        <v>385</v>
      </c>
      <c r="J1197" s="23">
        <f t="shared" ca="1" si="190"/>
        <v>659</v>
      </c>
      <c r="K1197" s="23">
        <f t="shared" ca="1" si="191"/>
        <v>1044</v>
      </c>
      <c r="L1197" s="23">
        <f t="shared" ca="1" si="184"/>
        <v>68140</v>
      </c>
    </row>
    <row r="1198" spans="3:12">
      <c r="C1198" s="23">
        <f t="shared" si="182"/>
        <v>420</v>
      </c>
      <c r="D1198" s="23">
        <f t="shared" si="183"/>
        <v>168</v>
      </c>
      <c r="E1198" s="23">
        <f t="shared" si="185"/>
        <v>252</v>
      </c>
      <c r="F1198" s="23">
        <f t="shared" si="186"/>
        <v>700</v>
      </c>
      <c r="G1198" s="23">
        <f t="shared" ca="1" si="187"/>
        <v>202</v>
      </c>
      <c r="H1198" s="23">
        <f t="shared" ca="1" si="188"/>
        <v>709</v>
      </c>
      <c r="I1198" s="23">
        <f t="shared" ca="1" si="189"/>
        <v>370</v>
      </c>
      <c r="J1198" s="23">
        <f t="shared" ca="1" si="190"/>
        <v>709</v>
      </c>
      <c r="K1198" s="23">
        <f t="shared" ca="1" si="191"/>
        <v>1079</v>
      </c>
      <c r="L1198" s="23">
        <f t="shared" ca="1" si="184"/>
        <v>72865</v>
      </c>
    </row>
    <row r="1199" spans="3:12">
      <c r="C1199" s="23">
        <f t="shared" si="182"/>
        <v>420</v>
      </c>
      <c r="D1199" s="23">
        <f t="shared" si="183"/>
        <v>168</v>
      </c>
      <c r="E1199" s="23">
        <f t="shared" si="185"/>
        <v>252</v>
      </c>
      <c r="F1199" s="23">
        <f t="shared" si="186"/>
        <v>700</v>
      </c>
      <c r="G1199" s="23">
        <f t="shared" ca="1" si="187"/>
        <v>215</v>
      </c>
      <c r="H1199" s="23">
        <f t="shared" ca="1" si="188"/>
        <v>720</v>
      </c>
      <c r="I1199" s="23">
        <f t="shared" ca="1" si="189"/>
        <v>383</v>
      </c>
      <c r="J1199" s="23">
        <f t="shared" ca="1" si="190"/>
        <v>720</v>
      </c>
      <c r="K1199" s="23">
        <f t="shared" ca="1" si="191"/>
        <v>1103</v>
      </c>
      <c r="L1199" s="23">
        <f t="shared" ca="1" si="184"/>
        <v>76105</v>
      </c>
    </row>
    <row r="1200" spans="3:12">
      <c r="C1200" s="23">
        <f t="shared" si="182"/>
        <v>420</v>
      </c>
      <c r="D1200" s="23">
        <f t="shared" si="183"/>
        <v>168</v>
      </c>
      <c r="E1200" s="23">
        <f t="shared" si="185"/>
        <v>252</v>
      </c>
      <c r="F1200" s="23">
        <f t="shared" si="186"/>
        <v>700</v>
      </c>
      <c r="G1200" s="23">
        <f t="shared" ca="1" si="187"/>
        <v>239</v>
      </c>
      <c r="H1200" s="23">
        <f t="shared" ca="1" si="188"/>
        <v>647</v>
      </c>
      <c r="I1200" s="23">
        <f t="shared" ca="1" si="189"/>
        <v>407</v>
      </c>
      <c r="J1200" s="23">
        <f t="shared" ca="1" si="190"/>
        <v>647</v>
      </c>
      <c r="K1200" s="23">
        <f t="shared" ca="1" si="191"/>
        <v>1054</v>
      </c>
      <c r="L1200" s="23">
        <f t="shared" ca="1" si="184"/>
        <v>69490</v>
      </c>
    </row>
    <row r="1201" spans="3:12">
      <c r="C1201" s="23">
        <f t="shared" si="182"/>
        <v>420</v>
      </c>
      <c r="D1201" s="23">
        <f t="shared" si="183"/>
        <v>168</v>
      </c>
      <c r="E1201" s="23">
        <f t="shared" si="185"/>
        <v>252</v>
      </c>
      <c r="F1201" s="23">
        <f t="shared" si="186"/>
        <v>700</v>
      </c>
      <c r="G1201" s="23">
        <f t="shared" ca="1" si="187"/>
        <v>214</v>
      </c>
      <c r="H1201" s="23">
        <f t="shared" ca="1" si="188"/>
        <v>544</v>
      </c>
      <c r="I1201" s="23">
        <f t="shared" ca="1" si="189"/>
        <v>382</v>
      </c>
      <c r="J1201" s="23">
        <f t="shared" ca="1" si="190"/>
        <v>544</v>
      </c>
      <c r="K1201" s="23">
        <f t="shared" ca="1" si="191"/>
        <v>926</v>
      </c>
      <c r="L1201" s="23">
        <f t="shared" ca="1" si="184"/>
        <v>52210</v>
      </c>
    </row>
    <row r="1202" spans="3:12">
      <c r="C1202" s="23">
        <f t="shared" si="182"/>
        <v>420</v>
      </c>
      <c r="D1202" s="23">
        <f t="shared" si="183"/>
        <v>168</v>
      </c>
      <c r="E1202" s="23">
        <f t="shared" si="185"/>
        <v>252</v>
      </c>
      <c r="F1202" s="23">
        <f t="shared" si="186"/>
        <v>700</v>
      </c>
      <c r="G1202" s="23">
        <f t="shared" ca="1" si="187"/>
        <v>183</v>
      </c>
      <c r="H1202" s="23">
        <f t="shared" ca="1" si="188"/>
        <v>619</v>
      </c>
      <c r="I1202" s="23">
        <f t="shared" ca="1" si="189"/>
        <v>351</v>
      </c>
      <c r="J1202" s="23">
        <f t="shared" ca="1" si="190"/>
        <v>619</v>
      </c>
      <c r="K1202" s="23">
        <f t="shared" ca="1" si="191"/>
        <v>970</v>
      </c>
      <c r="L1202" s="23">
        <f t="shared" ca="1" si="184"/>
        <v>58150</v>
      </c>
    </row>
    <row r="1203" spans="3:12">
      <c r="C1203" s="23">
        <f t="shared" si="182"/>
        <v>420</v>
      </c>
      <c r="D1203" s="23">
        <f t="shared" si="183"/>
        <v>168</v>
      </c>
      <c r="E1203" s="23">
        <f t="shared" si="185"/>
        <v>252</v>
      </c>
      <c r="F1203" s="23">
        <f t="shared" si="186"/>
        <v>700</v>
      </c>
      <c r="G1203" s="23">
        <f t="shared" ca="1" si="187"/>
        <v>222</v>
      </c>
      <c r="H1203" s="23">
        <f t="shared" ca="1" si="188"/>
        <v>597</v>
      </c>
      <c r="I1203" s="23">
        <f t="shared" ca="1" si="189"/>
        <v>390</v>
      </c>
      <c r="J1203" s="23">
        <f t="shared" ca="1" si="190"/>
        <v>597</v>
      </c>
      <c r="K1203" s="23">
        <f t="shared" ca="1" si="191"/>
        <v>987</v>
      </c>
      <c r="L1203" s="23">
        <f t="shared" ca="1" si="184"/>
        <v>60445</v>
      </c>
    </row>
    <row r="1204" spans="3:12">
      <c r="C1204" s="23">
        <f t="shared" si="182"/>
        <v>420</v>
      </c>
      <c r="D1204" s="23">
        <f t="shared" si="183"/>
        <v>168</v>
      </c>
      <c r="E1204" s="23">
        <f t="shared" si="185"/>
        <v>252</v>
      </c>
      <c r="F1204" s="23">
        <f t="shared" si="186"/>
        <v>700</v>
      </c>
      <c r="G1204" s="23">
        <f t="shared" ca="1" si="187"/>
        <v>191</v>
      </c>
      <c r="H1204" s="23">
        <f t="shared" ca="1" si="188"/>
        <v>512</v>
      </c>
      <c r="I1204" s="23">
        <f t="shared" ca="1" si="189"/>
        <v>359</v>
      </c>
      <c r="J1204" s="23">
        <f t="shared" ca="1" si="190"/>
        <v>512</v>
      </c>
      <c r="K1204" s="23">
        <f t="shared" ca="1" si="191"/>
        <v>871</v>
      </c>
      <c r="L1204" s="23">
        <f t="shared" ca="1" si="184"/>
        <v>44785</v>
      </c>
    </row>
    <row r="1205" spans="3:12">
      <c r="C1205" s="23">
        <f t="shared" si="182"/>
        <v>420</v>
      </c>
      <c r="D1205" s="23">
        <f t="shared" si="183"/>
        <v>168</v>
      </c>
      <c r="E1205" s="23">
        <f t="shared" si="185"/>
        <v>252</v>
      </c>
      <c r="F1205" s="23">
        <f t="shared" si="186"/>
        <v>700</v>
      </c>
      <c r="G1205" s="23">
        <f t="shared" ca="1" si="187"/>
        <v>193</v>
      </c>
      <c r="H1205" s="23">
        <f t="shared" ca="1" si="188"/>
        <v>610</v>
      </c>
      <c r="I1205" s="23">
        <f t="shared" ca="1" si="189"/>
        <v>361</v>
      </c>
      <c r="J1205" s="23">
        <f t="shared" ca="1" si="190"/>
        <v>610</v>
      </c>
      <c r="K1205" s="23">
        <f t="shared" ca="1" si="191"/>
        <v>971</v>
      </c>
      <c r="L1205" s="23">
        <f t="shared" ca="1" si="184"/>
        <v>58285</v>
      </c>
    </row>
    <row r="1206" spans="3:12">
      <c r="C1206" s="23">
        <f t="shared" si="182"/>
        <v>420</v>
      </c>
      <c r="D1206" s="23">
        <f t="shared" si="183"/>
        <v>168</v>
      </c>
      <c r="E1206" s="23">
        <f t="shared" si="185"/>
        <v>252</v>
      </c>
      <c r="F1206" s="23">
        <f t="shared" si="186"/>
        <v>700</v>
      </c>
      <c r="G1206" s="23">
        <f t="shared" ca="1" si="187"/>
        <v>215</v>
      </c>
      <c r="H1206" s="23">
        <f t="shared" ca="1" si="188"/>
        <v>562</v>
      </c>
      <c r="I1206" s="23">
        <f t="shared" ca="1" si="189"/>
        <v>383</v>
      </c>
      <c r="J1206" s="23">
        <f t="shared" ca="1" si="190"/>
        <v>562</v>
      </c>
      <c r="K1206" s="23">
        <f t="shared" ca="1" si="191"/>
        <v>945</v>
      </c>
      <c r="L1206" s="23">
        <f t="shared" ca="1" si="184"/>
        <v>54775</v>
      </c>
    </row>
    <row r="1207" spans="3:12">
      <c r="C1207" s="23">
        <f t="shared" si="182"/>
        <v>420</v>
      </c>
      <c r="D1207" s="23">
        <f t="shared" si="183"/>
        <v>168</v>
      </c>
      <c r="E1207" s="23">
        <f t="shared" si="185"/>
        <v>252</v>
      </c>
      <c r="F1207" s="23">
        <f t="shared" si="186"/>
        <v>700</v>
      </c>
      <c r="G1207" s="23">
        <f t="shared" ca="1" si="187"/>
        <v>205</v>
      </c>
      <c r="H1207" s="23">
        <f t="shared" ca="1" si="188"/>
        <v>592</v>
      </c>
      <c r="I1207" s="23">
        <f t="shared" ca="1" si="189"/>
        <v>373</v>
      </c>
      <c r="J1207" s="23">
        <f t="shared" ca="1" si="190"/>
        <v>592</v>
      </c>
      <c r="K1207" s="23">
        <f t="shared" ca="1" si="191"/>
        <v>965</v>
      </c>
      <c r="L1207" s="23">
        <f t="shared" ca="1" si="184"/>
        <v>57475</v>
      </c>
    </row>
    <row r="1208" spans="3:12">
      <c r="C1208" s="23">
        <f t="shared" si="182"/>
        <v>420</v>
      </c>
      <c r="D1208" s="23">
        <f t="shared" si="183"/>
        <v>168</v>
      </c>
      <c r="E1208" s="23">
        <f t="shared" si="185"/>
        <v>252</v>
      </c>
      <c r="F1208" s="23">
        <f t="shared" si="186"/>
        <v>700</v>
      </c>
      <c r="G1208" s="23">
        <f t="shared" ca="1" si="187"/>
        <v>229</v>
      </c>
      <c r="H1208" s="23">
        <f t="shared" ca="1" si="188"/>
        <v>610</v>
      </c>
      <c r="I1208" s="23">
        <f t="shared" ca="1" si="189"/>
        <v>397</v>
      </c>
      <c r="J1208" s="23">
        <f t="shared" ca="1" si="190"/>
        <v>610</v>
      </c>
      <c r="K1208" s="23">
        <f t="shared" ca="1" si="191"/>
        <v>1007</v>
      </c>
      <c r="L1208" s="23">
        <f t="shared" ca="1" si="184"/>
        <v>63145</v>
      </c>
    </row>
    <row r="1209" spans="3:12">
      <c r="C1209" s="23">
        <f t="shared" si="182"/>
        <v>420</v>
      </c>
      <c r="D1209" s="23">
        <f t="shared" si="183"/>
        <v>168</v>
      </c>
      <c r="E1209" s="23">
        <f t="shared" si="185"/>
        <v>252</v>
      </c>
      <c r="F1209" s="23">
        <f t="shared" si="186"/>
        <v>700</v>
      </c>
      <c r="G1209" s="23">
        <f t="shared" ca="1" si="187"/>
        <v>242</v>
      </c>
      <c r="H1209" s="23">
        <f t="shared" ca="1" si="188"/>
        <v>515</v>
      </c>
      <c r="I1209" s="23">
        <f t="shared" ca="1" si="189"/>
        <v>410</v>
      </c>
      <c r="J1209" s="23">
        <f t="shared" ca="1" si="190"/>
        <v>515</v>
      </c>
      <c r="K1209" s="23">
        <f t="shared" ca="1" si="191"/>
        <v>925</v>
      </c>
      <c r="L1209" s="23">
        <f t="shared" ca="1" si="184"/>
        <v>52075</v>
      </c>
    </row>
    <row r="1210" spans="3:12">
      <c r="C1210" s="23">
        <f t="shared" si="182"/>
        <v>420</v>
      </c>
      <c r="D1210" s="23">
        <f t="shared" si="183"/>
        <v>168</v>
      </c>
      <c r="E1210" s="23">
        <f t="shared" si="185"/>
        <v>252</v>
      </c>
      <c r="F1210" s="23">
        <f t="shared" si="186"/>
        <v>700</v>
      </c>
      <c r="G1210" s="23">
        <f t="shared" ca="1" si="187"/>
        <v>291</v>
      </c>
      <c r="H1210" s="23">
        <f t="shared" ca="1" si="188"/>
        <v>780</v>
      </c>
      <c r="I1210" s="23">
        <f t="shared" ca="1" si="189"/>
        <v>420</v>
      </c>
      <c r="J1210" s="23">
        <f t="shared" ca="1" si="190"/>
        <v>700</v>
      </c>
      <c r="K1210" s="23">
        <f t="shared" ca="1" si="191"/>
        <v>1120</v>
      </c>
      <c r="L1210" s="23">
        <f t="shared" ca="1" si="184"/>
        <v>78400</v>
      </c>
    </row>
    <row r="1211" spans="3:12">
      <c r="C1211" s="23">
        <f t="shared" si="182"/>
        <v>420</v>
      </c>
      <c r="D1211" s="23">
        <f t="shared" si="183"/>
        <v>168</v>
      </c>
      <c r="E1211" s="23">
        <f t="shared" si="185"/>
        <v>252</v>
      </c>
      <c r="F1211" s="23">
        <f t="shared" si="186"/>
        <v>700</v>
      </c>
      <c r="G1211" s="23">
        <f t="shared" ca="1" si="187"/>
        <v>234</v>
      </c>
      <c r="H1211" s="23">
        <f t="shared" ca="1" si="188"/>
        <v>710</v>
      </c>
      <c r="I1211" s="23">
        <f t="shared" ca="1" si="189"/>
        <v>402</v>
      </c>
      <c r="J1211" s="23">
        <f t="shared" ca="1" si="190"/>
        <v>710</v>
      </c>
      <c r="K1211" s="23">
        <f t="shared" ca="1" si="191"/>
        <v>1112</v>
      </c>
      <c r="L1211" s="23">
        <f t="shared" ca="1" si="184"/>
        <v>77320</v>
      </c>
    </row>
    <row r="1212" spans="3:12">
      <c r="C1212" s="23">
        <f t="shared" si="182"/>
        <v>420</v>
      </c>
      <c r="D1212" s="23">
        <f t="shared" si="183"/>
        <v>168</v>
      </c>
      <c r="E1212" s="23">
        <f t="shared" si="185"/>
        <v>252</v>
      </c>
      <c r="F1212" s="23">
        <f t="shared" si="186"/>
        <v>700</v>
      </c>
      <c r="G1212" s="23">
        <f t="shared" ca="1" si="187"/>
        <v>225</v>
      </c>
      <c r="H1212" s="23">
        <f t="shared" ca="1" si="188"/>
        <v>613</v>
      </c>
      <c r="I1212" s="23">
        <f t="shared" ca="1" si="189"/>
        <v>393</v>
      </c>
      <c r="J1212" s="23">
        <f t="shared" ca="1" si="190"/>
        <v>613</v>
      </c>
      <c r="K1212" s="23">
        <f t="shared" ca="1" si="191"/>
        <v>1006</v>
      </c>
      <c r="L1212" s="23">
        <f t="shared" ca="1" si="184"/>
        <v>63010</v>
      </c>
    </row>
    <row r="1213" spans="3:12">
      <c r="C1213" s="23">
        <f t="shared" si="182"/>
        <v>420</v>
      </c>
      <c r="D1213" s="23">
        <f t="shared" si="183"/>
        <v>168</v>
      </c>
      <c r="E1213" s="23">
        <f t="shared" si="185"/>
        <v>252</v>
      </c>
      <c r="F1213" s="23">
        <f t="shared" si="186"/>
        <v>700</v>
      </c>
      <c r="G1213" s="23">
        <f t="shared" ca="1" si="187"/>
        <v>209</v>
      </c>
      <c r="H1213" s="23">
        <f t="shared" ca="1" si="188"/>
        <v>616</v>
      </c>
      <c r="I1213" s="23">
        <f t="shared" ca="1" si="189"/>
        <v>377</v>
      </c>
      <c r="J1213" s="23">
        <f t="shared" ca="1" si="190"/>
        <v>616</v>
      </c>
      <c r="K1213" s="23">
        <f t="shared" ca="1" si="191"/>
        <v>993</v>
      </c>
      <c r="L1213" s="23">
        <f t="shared" ca="1" si="184"/>
        <v>61255</v>
      </c>
    </row>
    <row r="1214" spans="3:12">
      <c r="C1214" s="23">
        <f t="shared" si="182"/>
        <v>420</v>
      </c>
      <c r="D1214" s="23">
        <f t="shared" si="183"/>
        <v>168</v>
      </c>
      <c r="E1214" s="23">
        <f t="shared" si="185"/>
        <v>252</v>
      </c>
      <c r="F1214" s="23">
        <f t="shared" si="186"/>
        <v>700</v>
      </c>
      <c r="G1214" s="23">
        <f t="shared" ca="1" si="187"/>
        <v>208</v>
      </c>
      <c r="H1214" s="23">
        <f t="shared" ca="1" si="188"/>
        <v>714</v>
      </c>
      <c r="I1214" s="23">
        <f t="shared" ca="1" si="189"/>
        <v>376</v>
      </c>
      <c r="J1214" s="23">
        <f t="shared" ca="1" si="190"/>
        <v>714</v>
      </c>
      <c r="K1214" s="23">
        <f t="shared" ca="1" si="191"/>
        <v>1090</v>
      </c>
      <c r="L1214" s="23">
        <f t="shared" ca="1" si="184"/>
        <v>74350</v>
      </c>
    </row>
    <row r="1215" spans="3:12">
      <c r="C1215" s="23">
        <f t="shared" si="182"/>
        <v>420</v>
      </c>
      <c r="D1215" s="23">
        <f t="shared" si="183"/>
        <v>168</v>
      </c>
      <c r="E1215" s="23">
        <f t="shared" si="185"/>
        <v>252</v>
      </c>
      <c r="F1215" s="23">
        <f t="shared" si="186"/>
        <v>700</v>
      </c>
      <c r="G1215" s="23">
        <f t="shared" ca="1" si="187"/>
        <v>239</v>
      </c>
      <c r="H1215" s="23">
        <f t="shared" ca="1" si="188"/>
        <v>697</v>
      </c>
      <c r="I1215" s="23">
        <f t="shared" ca="1" si="189"/>
        <v>407</v>
      </c>
      <c r="J1215" s="23">
        <f t="shared" ca="1" si="190"/>
        <v>697</v>
      </c>
      <c r="K1215" s="23">
        <f t="shared" ca="1" si="191"/>
        <v>1104</v>
      </c>
      <c r="L1215" s="23">
        <f t="shared" ca="1" si="184"/>
        <v>76240</v>
      </c>
    </row>
    <row r="1216" spans="3:12">
      <c r="C1216" s="23">
        <f t="shared" si="182"/>
        <v>420</v>
      </c>
      <c r="D1216" s="23">
        <f t="shared" si="183"/>
        <v>168</v>
      </c>
      <c r="E1216" s="23">
        <f t="shared" si="185"/>
        <v>252</v>
      </c>
      <c r="F1216" s="23">
        <f t="shared" si="186"/>
        <v>700</v>
      </c>
      <c r="G1216" s="23">
        <f t="shared" ca="1" si="187"/>
        <v>214</v>
      </c>
      <c r="H1216" s="23">
        <f t="shared" ca="1" si="188"/>
        <v>743</v>
      </c>
      <c r="I1216" s="23">
        <f t="shared" ca="1" si="189"/>
        <v>382</v>
      </c>
      <c r="J1216" s="23">
        <f t="shared" ca="1" si="190"/>
        <v>738</v>
      </c>
      <c r="K1216" s="23">
        <f t="shared" ca="1" si="191"/>
        <v>1120</v>
      </c>
      <c r="L1216" s="23">
        <f t="shared" ca="1" si="184"/>
        <v>78400</v>
      </c>
    </row>
    <row r="1217" spans="3:12">
      <c r="C1217" s="23">
        <f t="shared" si="182"/>
        <v>420</v>
      </c>
      <c r="D1217" s="23">
        <f t="shared" si="183"/>
        <v>168</v>
      </c>
      <c r="E1217" s="23">
        <f t="shared" si="185"/>
        <v>252</v>
      </c>
      <c r="F1217" s="23">
        <f t="shared" si="186"/>
        <v>700</v>
      </c>
      <c r="G1217" s="23">
        <f t="shared" ca="1" si="187"/>
        <v>220</v>
      </c>
      <c r="H1217" s="23">
        <f t="shared" ca="1" si="188"/>
        <v>608</v>
      </c>
      <c r="I1217" s="23">
        <f t="shared" ca="1" si="189"/>
        <v>388</v>
      </c>
      <c r="J1217" s="23">
        <f t="shared" ca="1" si="190"/>
        <v>608</v>
      </c>
      <c r="K1217" s="23">
        <f t="shared" ca="1" si="191"/>
        <v>996</v>
      </c>
      <c r="L1217" s="23">
        <f t="shared" ca="1" si="184"/>
        <v>61660</v>
      </c>
    </row>
    <row r="1218" spans="3:12">
      <c r="C1218" s="23">
        <f t="shared" si="182"/>
        <v>420</v>
      </c>
      <c r="D1218" s="23">
        <f t="shared" si="183"/>
        <v>168</v>
      </c>
      <c r="E1218" s="23">
        <f t="shared" si="185"/>
        <v>252</v>
      </c>
      <c r="F1218" s="23">
        <f t="shared" si="186"/>
        <v>700</v>
      </c>
      <c r="G1218" s="23">
        <f t="shared" ca="1" si="187"/>
        <v>205</v>
      </c>
      <c r="H1218" s="23">
        <f t="shared" ca="1" si="188"/>
        <v>688</v>
      </c>
      <c r="I1218" s="23">
        <f t="shared" ca="1" si="189"/>
        <v>373</v>
      </c>
      <c r="J1218" s="23">
        <f t="shared" ca="1" si="190"/>
        <v>688</v>
      </c>
      <c r="K1218" s="23">
        <f t="shared" ca="1" si="191"/>
        <v>1061</v>
      </c>
      <c r="L1218" s="23">
        <f t="shared" ca="1" si="184"/>
        <v>70435</v>
      </c>
    </row>
    <row r="1219" spans="3:12">
      <c r="C1219" s="23">
        <f t="shared" si="182"/>
        <v>420</v>
      </c>
      <c r="D1219" s="23">
        <f t="shared" si="183"/>
        <v>168</v>
      </c>
      <c r="E1219" s="23">
        <f t="shared" si="185"/>
        <v>252</v>
      </c>
      <c r="F1219" s="23">
        <f t="shared" si="186"/>
        <v>700</v>
      </c>
      <c r="G1219" s="23">
        <f t="shared" ca="1" si="187"/>
        <v>210</v>
      </c>
      <c r="H1219" s="23">
        <f t="shared" ca="1" si="188"/>
        <v>729</v>
      </c>
      <c r="I1219" s="23">
        <f t="shared" ca="1" si="189"/>
        <v>378</v>
      </c>
      <c r="J1219" s="23">
        <f t="shared" ca="1" si="190"/>
        <v>729</v>
      </c>
      <c r="K1219" s="23">
        <f t="shared" ca="1" si="191"/>
        <v>1107</v>
      </c>
      <c r="L1219" s="23">
        <f t="shared" ca="1" si="184"/>
        <v>76645</v>
      </c>
    </row>
    <row r="1220" spans="3:12">
      <c r="C1220" s="23">
        <f t="shared" si="182"/>
        <v>420</v>
      </c>
      <c r="D1220" s="23">
        <f t="shared" si="183"/>
        <v>168</v>
      </c>
      <c r="E1220" s="23">
        <f t="shared" si="185"/>
        <v>252</v>
      </c>
      <c r="F1220" s="23">
        <f t="shared" si="186"/>
        <v>700</v>
      </c>
      <c r="G1220" s="23">
        <f t="shared" ca="1" si="187"/>
        <v>230</v>
      </c>
      <c r="H1220" s="23">
        <f t="shared" ca="1" si="188"/>
        <v>564</v>
      </c>
      <c r="I1220" s="23">
        <f t="shared" ca="1" si="189"/>
        <v>398</v>
      </c>
      <c r="J1220" s="23">
        <f t="shared" ca="1" si="190"/>
        <v>564</v>
      </c>
      <c r="K1220" s="23">
        <f t="shared" ca="1" si="191"/>
        <v>962</v>
      </c>
      <c r="L1220" s="23">
        <f t="shared" ca="1" si="184"/>
        <v>57070</v>
      </c>
    </row>
    <row r="1221" spans="3:12">
      <c r="C1221" s="23">
        <f t="shared" si="182"/>
        <v>420</v>
      </c>
      <c r="D1221" s="23">
        <f t="shared" si="183"/>
        <v>168</v>
      </c>
      <c r="E1221" s="23">
        <f t="shared" si="185"/>
        <v>252</v>
      </c>
      <c r="F1221" s="23">
        <f t="shared" si="186"/>
        <v>700</v>
      </c>
      <c r="G1221" s="23">
        <f t="shared" ca="1" si="187"/>
        <v>196</v>
      </c>
      <c r="H1221" s="23">
        <f t="shared" ca="1" si="188"/>
        <v>628</v>
      </c>
      <c r="I1221" s="23">
        <f t="shared" ca="1" si="189"/>
        <v>364</v>
      </c>
      <c r="J1221" s="23">
        <f t="shared" ca="1" si="190"/>
        <v>628</v>
      </c>
      <c r="K1221" s="23">
        <f t="shared" ca="1" si="191"/>
        <v>992</v>
      </c>
      <c r="L1221" s="23">
        <f t="shared" ca="1" si="184"/>
        <v>61120</v>
      </c>
    </row>
    <row r="1222" spans="3:12">
      <c r="C1222" s="23">
        <f t="shared" si="182"/>
        <v>420</v>
      </c>
      <c r="D1222" s="23">
        <f t="shared" si="183"/>
        <v>168</v>
      </c>
      <c r="E1222" s="23">
        <f t="shared" si="185"/>
        <v>252</v>
      </c>
      <c r="F1222" s="23">
        <f t="shared" si="186"/>
        <v>700</v>
      </c>
      <c r="G1222" s="23">
        <f t="shared" ca="1" si="187"/>
        <v>225</v>
      </c>
      <c r="H1222" s="23">
        <f t="shared" ca="1" si="188"/>
        <v>506</v>
      </c>
      <c r="I1222" s="23">
        <f t="shared" ca="1" si="189"/>
        <v>393</v>
      </c>
      <c r="J1222" s="23">
        <f t="shared" ca="1" si="190"/>
        <v>506</v>
      </c>
      <c r="K1222" s="23">
        <f t="shared" ca="1" si="191"/>
        <v>899</v>
      </c>
      <c r="L1222" s="23">
        <f t="shared" ca="1" si="184"/>
        <v>48565</v>
      </c>
    </row>
    <row r="1223" spans="3:12">
      <c r="C1223" s="23">
        <f t="shared" si="182"/>
        <v>420</v>
      </c>
      <c r="D1223" s="23">
        <f t="shared" si="183"/>
        <v>168</v>
      </c>
      <c r="E1223" s="23">
        <f t="shared" si="185"/>
        <v>252</v>
      </c>
      <c r="F1223" s="23">
        <f t="shared" si="186"/>
        <v>700</v>
      </c>
      <c r="G1223" s="23">
        <f t="shared" ca="1" si="187"/>
        <v>214</v>
      </c>
      <c r="H1223" s="23">
        <f t="shared" ca="1" si="188"/>
        <v>639</v>
      </c>
      <c r="I1223" s="23">
        <f t="shared" ca="1" si="189"/>
        <v>382</v>
      </c>
      <c r="J1223" s="23">
        <f t="shared" ca="1" si="190"/>
        <v>639</v>
      </c>
      <c r="K1223" s="23">
        <f t="shared" ca="1" si="191"/>
        <v>1021</v>
      </c>
      <c r="L1223" s="23">
        <f t="shared" ca="1" si="184"/>
        <v>65035</v>
      </c>
    </row>
    <row r="1224" spans="3:12">
      <c r="C1224" s="23">
        <f t="shared" si="182"/>
        <v>420</v>
      </c>
      <c r="D1224" s="23">
        <f t="shared" si="183"/>
        <v>168</v>
      </c>
      <c r="E1224" s="23">
        <f t="shared" si="185"/>
        <v>252</v>
      </c>
      <c r="F1224" s="23">
        <f t="shared" si="186"/>
        <v>700</v>
      </c>
      <c r="G1224" s="23">
        <f t="shared" ca="1" si="187"/>
        <v>230</v>
      </c>
      <c r="H1224" s="23">
        <f t="shared" ca="1" si="188"/>
        <v>694</v>
      </c>
      <c r="I1224" s="23">
        <f t="shared" ca="1" si="189"/>
        <v>398</v>
      </c>
      <c r="J1224" s="23">
        <f t="shared" ca="1" si="190"/>
        <v>694</v>
      </c>
      <c r="K1224" s="23">
        <f t="shared" ca="1" si="191"/>
        <v>1092</v>
      </c>
      <c r="L1224" s="23">
        <f t="shared" ca="1" si="184"/>
        <v>74620</v>
      </c>
    </row>
    <row r="1225" spans="3:12">
      <c r="C1225" s="23">
        <f t="shared" si="182"/>
        <v>420</v>
      </c>
      <c r="D1225" s="23">
        <f t="shared" si="183"/>
        <v>168</v>
      </c>
      <c r="E1225" s="23">
        <f t="shared" si="185"/>
        <v>252</v>
      </c>
      <c r="F1225" s="23">
        <f t="shared" si="186"/>
        <v>700</v>
      </c>
      <c r="G1225" s="23">
        <f t="shared" ca="1" si="187"/>
        <v>218</v>
      </c>
      <c r="H1225" s="23">
        <f t="shared" ca="1" si="188"/>
        <v>641</v>
      </c>
      <c r="I1225" s="23">
        <f t="shared" ca="1" si="189"/>
        <v>386</v>
      </c>
      <c r="J1225" s="23">
        <f t="shared" ca="1" si="190"/>
        <v>641</v>
      </c>
      <c r="K1225" s="23">
        <f t="shared" ca="1" si="191"/>
        <v>1027</v>
      </c>
      <c r="L1225" s="23">
        <f t="shared" ca="1" si="184"/>
        <v>65845</v>
      </c>
    </row>
    <row r="1226" spans="3:12">
      <c r="C1226" s="23">
        <f t="shared" si="182"/>
        <v>420</v>
      </c>
      <c r="D1226" s="23">
        <f t="shared" si="183"/>
        <v>168</v>
      </c>
      <c r="E1226" s="23">
        <f t="shared" si="185"/>
        <v>252</v>
      </c>
      <c r="F1226" s="23">
        <f t="shared" si="186"/>
        <v>700</v>
      </c>
      <c r="G1226" s="23">
        <f t="shared" ca="1" si="187"/>
        <v>178</v>
      </c>
      <c r="H1226" s="23">
        <f t="shared" ca="1" si="188"/>
        <v>568</v>
      </c>
      <c r="I1226" s="23">
        <f t="shared" ca="1" si="189"/>
        <v>346</v>
      </c>
      <c r="J1226" s="23">
        <f t="shared" ca="1" si="190"/>
        <v>568</v>
      </c>
      <c r="K1226" s="23">
        <f t="shared" ca="1" si="191"/>
        <v>914</v>
      </c>
      <c r="L1226" s="23">
        <f t="shared" ca="1" si="184"/>
        <v>50590</v>
      </c>
    </row>
    <row r="1227" spans="3:12">
      <c r="C1227" s="23">
        <f t="shared" si="182"/>
        <v>420</v>
      </c>
      <c r="D1227" s="23">
        <f t="shared" si="183"/>
        <v>168</v>
      </c>
      <c r="E1227" s="23">
        <f t="shared" si="185"/>
        <v>252</v>
      </c>
      <c r="F1227" s="23">
        <f t="shared" si="186"/>
        <v>700</v>
      </c>
      <c r="G1227" s="23">
        <f t="shared" ca="1" si="187"/>
        <v>202</v>
      </c>
      <c r="H1227" s="23">
        <f t="shared" ca="1" si="188"/>
        <v>679</v>
      </c>
      <c r="I1227" s="23">
        <f t="shared" ca="1" si="189"/>
        <v>370</v>
      </c>
      <c r="J1227" s="23">
        <f t="shared" ca="1" si="190"/>
        <v>679</v>
      </c>
      <c r="K1227" s="23">
        <f t="shared" ca="1" si="191"/>
        <v>1049</v>
      </c>
      <c r="L1227" s="23">
        <f t="shared" ca="1" si="184"/>
        <v>68815</v>
      </c>
    </row>
    <row r="1228" spans="3:12">
      <c r="C1228" s="23">
        <f t="shared" ref="C1228:C1291" si="192">$B$4</f>
        <v>420</v>
      </c>
      <c r="D1228" s="23">
        <f t="shared" ref="D1228:D1291" si="193">$B$5</f>
        <v>168</v>
      </c>
      <c r="E1228" s="23">
        <f t="shared" si="185"/>
        <v>252</v>
      </c>
      <c r="F1228" s="23">
        <f t="shared" si="186"/>
        <v>700</v>
      </c>
      <c r="G1228" s="23">
        <f t="shared" ca="1" si="187"/>
        <v>212</v>
      </c>
      <c r="H1228" s="23">
        <f t="shared" ca="1" si="188"/>
        <v>668</v>
      </c>
      <c r="I1228" s="23">
        <f t="shared" ca="1" si="189"/>
        <v>380</v>
      </c>
      <c r="J1228" s="23">
        <f t="shared" ca="1" si="190"/>
        <v>668</v>
      </c>
      <c r="K1228" s="23">
        <f t="shared" ca="1" si="191"/>
        <v>1048</v>
      </c>
      <c r="L1228" s="23">
        <f t="shared" ref="L1228:L1291" ca="1" si="194">K1228*$B$2-(F1228+C1228)*$B$1</f>
        <v>68680</v>
      </c>
    </row>
    <row r="1229" spans="3:12">
      <c r="C1229" s="23">
        <f t="shared" si="192"/>
        <v>420</v>
      </c>
      <c r="D1229" s="23">
        <f t="shared" si="193"/>
        <v>168</v>
      </c>
      <c r="E1229" s="23">
        <f t="shared" ref="E1229:E1292" si="195">MAX(0,C1229-D1229)</f>
        <v>252</v>
      </c>
      <c r="F1229" s="23">
        <f t="shared" ref="F1229:F1292" si="196">$E$8</f>
        <v>700</v>
      </c>
      <c r="G1229" s="23">
        <f t="shared" ref="G1229:G1292" ca="1" si="197">_xlfn.FLOOR.MATH(MAX(0,_xlfn.NORM.INV(RAND(),$B$6*$B$8,$B$3*($B$8+0.0001))))</f>
        <v>198</v>
      </c>
      <c r="H1229" s="23">
        <f t="shared" ref="H1229:H1292" ca="1" si="198">_xlfn.FLOOR.MATH(MAX(0,_xlfn.NORM.INV(RAND(),$B$6*(1-$B$8),$B$3*(1.00001-$B$8))))</f>
        <v>629</v>
      </c>
      <c r="I1229" s="23">
        <f t="shared" ref="I1229:I1292" ca="1" si="199">MIN(C1229,D1229+G1229)</f>
        <v>366</v>
      </c>
      <c r="J1229" s="23">
        <f t="shared" ref="J1229:J1292" ca="1" si="200">MIN(C1229-I1229+F1229,H1229)</f>
        <v>629</v>
      </c>
      <c r="K1229" s="23">
        <f t="shared" ref="K1229:K1292" ca="1" si="201">I1229+J1229</f>
        <v>995</v>
      </c>
      <c r="L1229" s="23">
        <f t="shared" ca="1" si="194"/>
        <v>61525</v>
      </c>
    </row>
    <row r="1230" spans="3:12">
      <c r="C1230" s="23">
        <f t="shared" si="192"/>
        <v>420</v>
      </c>
      <c r="D1230" s="23">
        <f t="shared" si="193"/>
        <v>168</v>
      </c>
      <c r="E1230" s="23">
        <f t="shared" si="195"/>
        <v>252</v>
      </c>
      <c r="F1230" s="23">
        <f t="shared" si="196"/>
        <v>700</v>
      </c>
      <c r="G1230" s="23">
        <f t="shared" ca="1" si="197"/>
        <v>190</v>
      </c>
      <c r="H1230" s="23">
        <f t="shared" ca="1" si="198"/>
        <v>717</v>
      </c>
      <c r="I1230" s="23">
        <f t="shared" ca="1" si="199"/>
        <v>358</v>
      </c>
      <c r="J1230" s="23">
        <f t="shared" ca="1" si="200"/>
        <v>717</v>
      </c>
      <c r="K1230" s="23">
        <f t="shared" ca="1" si="201"/>
        <v>1075</v>
      </c>
      <c r="L1230" s="23">
        <f t="shared" ca="1" si="194"/>
        <v>72325</v>
      </c>
    </row>
    <row r="1231" spans="3:12">
      <c r="C1231" s="23">
        <f t="shared" si="192"/>
        <v>420</v>
      </c>
      <c r="D1231" s="23">
        <f t="shared" si="193"/>
        <v>168</v>
      </c>
      <c r="E1231" s="23">
        <f t="shared" si="195"/>
        <v>252</v>
      </c>
      <c r="F1231" s="23">
        <f t="shared" si="196"/>
        <v>700</v>
      </c>
      <c r="G1231" s="23">
        <f t="shared" ca="1" si="197"/>
        <v>239</v>
      </c>
      <c r="H1231" s="23">
        <f t="shared" ca="1" si="198"/>
        <v>619</v>
      </c>
      <c r="I1231" s="23">
        <f t="shared" ca="1" si="199"/>
        <v>407</v>
      </c>
      <c r="J1231" s="23">
        <f t="shared" ca="1" si="200"/>
        <v>619</v>
      </c>
      <c r="K1231" s="23">
        <f t="shared" ca="1" si="201"/>
        <v>1026</v>
      </c>
      <c r="L1231" s="23">
        <f t="shared" ca="1" si="194"/>
        <v>65710</v>
      </c>
    </row>
    <row r="1232" spans="3:12">
      <c r="C1232" s="23">
        <f t="shared" si="192"/>
        <v>420</v>
      </c>
      <c r="D1232" s="23">
        <f t="shared" si="193"/>
        <v>168</v>
      </c>
      <c r="E1232" s="23">
        <f t="shared" si="195"/>
        <v>252</v>
      </c>
      <c r="F1232" s="23">
        <f t="shared" si="196"/>
        <v>700</v>
      </c>
      <c r="G1232" s="23">
        <f t="shared" ca="1" si="197"/>
        <v>205</v>
      </c>
      <c r="H1232" s="23">
        <f t="shared" ca="1" si="198"/>
        <v>699</v>
      </c>
      <c r="I1232" s="23">
        <f t="shared" ca="1" si="199"/>
        <v>373</v>
      </c>
      <c r="J1232" s="23">
        <f t="shared" ca="1" si="200"/>
        <v>699</v>
      </c>
      <c r="K1232" s="23">
        <f t="shared" ca="1" si="201"/>
        <v>1072</v>
      </c>
      <c r="L1232" s="23">
        <f t="shared" ca="1" si="194"/>
        <v>71920</v>
      </c>
    </row>
    <row r="1233" spans="3:12">
      <c r="C1233" s="23">
        <f t="shared" si="192"/>
        <v>420</v>
      </c>
      <c r="D1233" s="23">
        <f t="shared" si="193"/>
        <v>168</v>
      </c>
      <c r="E1233" s="23">
        <f t="shared" si="195"/>
        <v>252</v>
      </c>
      <c r="F1233" s="23">
        <f t="shared" si="196"/>
        <v>700</v>
      </c>
      <c r="G1233" s="23">
        <f t="shared" ca="1" si="197"/>
        <v>213</v>
      </c>
      <c r="H1233" s="23">
        <f t="shared" ca="1" si="198"/>
        <v>678</v>
      </c>
      <c r="I1233" s="23">
        <f t="shared" ca="1" si="199"/>
        <v>381</v>
      </c>
      <c r="J1233" s="23">
        <f t="shared" ca="1" si="200"/>
        <v>678</v>
      </c>
      <c r="K1233" s="23">
        <f t="shared" ca="1" si="201"/>
        <v>1059</v>
      </c>
      <c r="L1233" s="23">
        <f t="shared" ca="1" si="194"/>
        <v>70165</v>
      </c>
    </row>
    <row r="1234" spans="3:12">
      <c r="C1234" s="23">
        <f t="shared" si="192"/>
        <v>420</v>
      </c>
      <c r="D1234" s="23">
        <f t="shared" si="193"/>
        <v>168</v>
      </c>
      <c r="E1234" s="23">
        <f t="shared" si="195"/>
        <v>252</v>
      </c>
      <c r="F1234" s="23">
        <f t="shared" si="196"/>
        <v>700</v>
      </c>
      <c r="G1234" s="23">
        <f t="shared" ca="1" si="197"/>
        <v>243</v>
      </c>
      <c r="H1234" s="23">
        <f t="shared" ca="1" si="198"/>
        <v>568</v>
      </c>
      <c r="I1234" s="23">
        <f t="shared" ca="1" si="199"/>
        <v>411</v>
      </c>
      <c r="J1234" s="23">
        <f t="shared" ca="1" si="200"/>
        <v>568</v>
      </c>
      <c r="K1234" s="23">
        <f t="shared" ca="1" si="201"/>
        <v>979</v>
      </c>
      <c r="L1234" s="23">
        <f t="shared" ca="1" si="194"/>
        <v>59365</v>
      </c>
    </row>
    <row r="1235" spans="3:12">
      <c r="C1235" s="23">
        <f t="shared" si="192"/>
        <v>420</v>
      </c>
      <c r="D1235" s="23">
        <f t="shared" si="193"/>
        <v>168</v>
      </c>
      <c r="E1235" s="23">
        <f t="shared" si="195"/>
        <v>252</v>
      </c>
      <c r="F1235" s="23">
        <f t="shared" si="196"/>
        <v>700</v>
      </c>
      <c r="G1235" s="23">
        <f t="shared" ca="1" si="197"/>
        <v>216</v>
      </c>
      <c r="H1235" s="23">
        <f t="shared" ca="1" si="198"/>
        <v>657</v>
      </c>
      <c r="I1235" s="23">
        <f t="shared" ca="1" si="199"/>
        <v>384</v>
      </c>
      <c r="J1235" s="23">
        <f t="shared" ca="1" si="200"/>
        <v>657</v>
      </c>
      <c r="K1235" s="23">
        <f t="shared" ca="1" si="201"/>
        <v>1041</v>
      </c>
      <c r="L1235" s="23">
        <f t="shared" ca="1" si="194"/>
        <v>67735</v>
      </c>
    </row>
    <row r="1236" spans="3:12">
      <c r="C1236" s="23">
        <f t="shared" si="192"/>
        <v>420</v>
      </c>
      <c r="D1236" s="23">
        <f t="shared" si="193"/>
        <v>168</v>
      </c>
      <c r="E1236" s="23">
        <f t="shared" si="195"/>
        <v>252</v>
      </c>
      <c r="F1236" s="23">
        <f t="shared" si="196"/>
        <v>700</v>
      </c>
      <c r="G1236" s="23">
        <f t="shared" ca="1" si="197"/>
        <v>196</v>
      </c>
      <c r="H1236" s="23">
        <f t="shared" ca="1" si="198"/>
        <v>616</v>
      </c>
      <c r="I1236" s="23">
        <f t="shared" ca="1" si="199"/>
        <v>364</v>
      </c>
      <c r="J1236" s="23">
        <f t="shared" ca="1" si="200"/>
        <v>616</v>
      </c>
      <c r="K1236" s="23">
        <f t="shared" ca="1" si="201"/>
        <v>980</v>
      </c>
      <c r="L1236" s="23">
        <f t="shared" ca="1" si="194"/>
        <v>59500</v>
      </c>
    </row>
    <row r="1237" spans="3:12">
      <c r="C1237" s="23">
        <f t="shared" si="192"/>
        <v>420</v>
      </c>
      <c r="D1237" s="23">
        <f t="shared" si="193"/>
        <v>168</v>
      </c>
      <c r="E1237" s="23">
        <f t="shared" si="195"/>
        <v>252</v>
      </c>
      <c r="F1237" s="23">
        <f t="shared" si="196"/>
        <v>700</v>
      </c>
      <c r="G1237" s="23">
        <f t="shared" ca="1" si="197"/>
        <v>209</v>
      </c>
      <c r="H1237" s="23">
        <f t="shared" ca="1" si="198"/>
        <v>630</v>
      </c>
      <c r="I1237" s="23">
        <f t="shared" ca="1" si="199"/>
        <v>377</v>
      </c>
      <c r="J1237" s="23">
        <f t="shared" ca="1" si="200"/>
        <v>630</v>
      </c>
      <c r="K1237" s="23">
        <f t="shared" ca="1" si="201"/>
        <v>1007</v>
      </c>
      <c r="L1237" s="23">
        <f t="shared" ca="1" si="194"/>
        <v>63145</v>
      </c>
    </row>
    <row r="1238" spans="3:12">
      <c r="C1238" s="23">
        <f t="shared" si="192"/>
        <v>420</v>
      </c>
      <c r="D1238" s="23">
        <f t="shared" si="193"/>
        <v>168</v>
      </c>
      <c r="E1238" s="23">
        <f t="shared" si="195"/>
        <v>252</v>
      </c>
      <c r="F1238" s="23">
        <f t="shared" si="196"/>
        <v>700</v>
      </c>
      <c r="G1238" s="23">
        <f t="shared" ca="1" si="197"/>
        <v>209</v>
      </c>
      <c r="H1238" s="23">
        <f t="shared" ca="1" si="198"/>
        <v>526</v>
      </c>
      <c r="I1238" s="23">
        <f t="shared" ca="1" si="199"/>
        <v>377</v>
      </c>
      <c r="J1238" s="23">
        <f t="shared" ca="1" si="200"/>
        <v>526</v>
      </c>
      <c r="K1238" s="23">
        <f t="shared" ca="1" si="201"/>
        <v>903</v>
      </c>
      <c r="L1238" s="23">
        <f t="shared" ca="1" si="194"/>
        <v>49105</v>
      </c>
    </row>
    <row r="1239" spans="3:12">
      <c r="C1239" s="23">
        <f t="shared" si="192"/>
        <v>420</v>
      </c>
      <c r="D1239" s="23">
        <f t="shared" si="193"/>
        <v>168</v>
      </c>
      <c r="E1239" s="23">
        <f t="shared" si="195"/>
        <v>252</v>
      </c>
      <c r="F1239" s="23">
        <f t="shared" si="196"/>
        <v>700</v>
      </c>
      <c r="G1239" s="23">
        <f t="shared" ca="1" si="197"/>
        <v>228</v>
      </c>
      <c r="H1239" s="23">
        <f t="shared" ca="1" si="198"/>
        <v>609</v>
      </c>
      <c r="I1239" s="23">
        <f t="shared" ca="1" si="199"/>
        <v>396</v>
      </c>
      <c r="J1239" s="23">
        <f t="shared" ca="1" si="200"/>
        <v>609</v>
      </c>
      <c r="K1239" s="23">
        <f t="shared" ca="1" si="201"/>
        <v>1005</v>
      </c>
      <c r="L1239" s="23">
        <f t="shared" ca="1" si="194"/>
        <v>62875</v>
      </c>
    </row>
    <row r="1240" spans="3:12">
      <c r="C1240" s="23">
        <f t="shared" si="192"/>
        <v>420</v>
      </c>
      <c r="D1240" s="23">
        <f t="shared" si="193"/>
        <v>168</v>
      </c>
      <c r="E1240" s="23">
        <f t="shared" si="195"/>
        <v>252</v>
      </c>
      <c r="F1240" s="23">
        <f t="shared" si="196"/>
        <v>700</v>
      </c>
      <c r="G1240" s="23">
        <f t="shared" ca="1" si="197"/>
        <v>216</v>
      </c>
      <c r="H1240" s="23">
        <f t="shared" ca="1" si="198"/>
        <v>698</v>
      </c>
      <c r="I1240" s="23">
        <f t="shared" ca="1" si="199"/>
        <v>384</v>
      </c>
      <c r="J1240" s="23">
        <f t="shared" ca="1" si="200"/>
        <v>698</v>
      </c>
      <c r="K1240" s="23">
        <f t="shared" ca="1" si="201"/>
        <v>1082</v>
      </c>
      <c r="L1240" s="23">
        <f t="shared" ca="1" si="194"/>
        <v>73270</v>
      </c>
    </row>
    <row r="1241" spans="3:12">
      <c r="C1241" s="23">
        <f t="shared" si="192"/>
        <v>420</v>
      </c>
      <c r="D1241" s="23">
        <f t="shared" si="193"/>
        <v>168</v>
      </c>
      <c r="E1241" s="23">
        <f t="shared" si="195"/>
        <v>252</v>
      </c>
      <c r="F1241" s="23">
        <f t="shared" si="196"/>
        <v>700</v>
      </c>
      <c r="G1241" s="23">
        <f t="shared" ca="1" si="197"/>
        <v>225</v>
      </c>
      <c r="H1241" s="23">
        <f t="shared" ca="1" si="198"/>
        <v>692</v>
      </c>
      <c r="I1241" s="23">
        <f t="shared" ca="1" si="199"/>
        <v>393</v>
      </c>
      <c r="J1241" s="23">
        <f t="shared" ca="1" si="200"/>
        <v>692</v>
      </c>
      <c r="K1241" s="23">
        <f t="shared" ca="1" si="201"/>
        <v>1085</v>
      </c>
      <c r="L1241" s="23">
        <f t="shared" ca="1" si="194"/>
        <v>73675</v>
      </c>
    </row>
    <row r="1242" spans="3:12">
      <c r="C1242" s="23">
        <f t="shared" si="192"/>
        <v>420</v>
      </c>
      <c r="D1242" s="23">
        <f t="shared" si="193"/>
        <v>168</v>
      </c>
      <c r="E1242" s="23">
        <f t="shared" si="195"/>
        <v>252</v>
      </c>
      <c r="F1242" s="23">
        <f t="shared" si="196"/>
        <v>700</v>
      </c>
      <c r="G1242" s="23">
        <f t="shared" ca="1" si="197"/>
        <v>198</v>
      </c>
      <c r="H1242" s="23">
        <f t="shared" ca="1" si="198"/>
        <v>624</v>
      </c>
      <c r="I1242" s="23">
        <f t="shared" ca="1" si="199"/>
        <v>366</v>
      </c>
      <c r="J1242" s="23">
        <f t="shared" ca="1" si="200"/>
        <v>624</v>
      </c>
      <c r="K1242" s="23">
        <f t="shared" ca="1" si="201"/>
        <v>990</v>
      </c>
      <c r="L1242" s="23">
        <f t="shared" ca="1" si="194"/>
        <v>60850</v>
      </c>
    </row>
    <row r="1243" spans="3:12">
      <c r="C1243" s="23">
        <f t="shared" si="192"/>
        <v>420</v>
      </c>
      <c r="D1243" s="23">
        <f t="shared" si="193"/>
        <v>168</v>
      </c>
      <c r="E1243" s="23">
        <f t="shared" si="195"/>
        <v>252</v>
      </c>
      <c r="F1243" s="23">
        <f t="shared" si="196"/>
        <v>700</v>
      </c>
      <c r="G1243" s="23">
        <f t="shared" ca="1" si="197"/>
        <v>207</v>
      </c>
      <c r="H1243" s="23">
        <f t="shared" ca="1" si="198"/>
        <v>648</v>
      </c>
      <c r="I1243" s="23">
        <f t="shared" ca="1" si="199"/>
        <v>375</v>
      </c>
      <c r="J1243" s="23">
        <f t="shared" ca="1" si="200"/>
        <v>648</v>
      </c>
      <c r="K1243" s="23">
        <f t="shared" ca="1" si="201"/>
        <v>1023</v>
      </c>
      <c r="L1243" s="23">
        <f t="shared" ca="1" si="194"/>
        <v>65305</v>
      </c>
    </row>
    <row r="1244" spans="3:12">
      <c r="C1244" s="23">
        <f t="shared" si="192"/>
        <v>420</v>
      </c>
      <c r="D1244" s="23">
        <f t="shared" si="193"/>
        <v>168</v>
      </c>
      <c r="E1244" s="23">
        <f t="shared" si="195"/>
        <v>252</v>
      </c>
      <c r="F1244" s="23">
        <f t="shared" si="196"/>
        <v>700</v>
      </c>
      <c r="G1244" s="23">
        <f t="shared" ca="1" si="197"/>
        <v>216</v>
      </c>
      <c r="H1244" s="23">
        <f t="shared" ca="1" si="198"/>
        <v>691</v>
      </c>
      <c r="I1244" s="23">
        <f t="shared" ca="1" si="199"/>
        <v>384</v>
      </c>
      <c r="J1244" s="23">
        <f t="shared" ca="1" si="200"/>
        <v>691</v>
      </c>
      <c r="K1244" s="23">
        <f t="shared" ca="1" si="201"/>
        <v>1075</v>
      </c>
      <c r="L1244" s="23">
        <f t="shared" ca="1" si="194"/>
        <v>72325</v>
      </c>
    </row>
    <row r="1245" spans="3:12">
      <c r="C1245" s="23">
        <f t="shared" si="192"/>
        <v>420</v>
      </c>
      <c r="D1245" s="23">
        <f t="shared" si="193"/>
        <v>168</v>
      </c>
      <c r="E1245" s="23">
        <f t="shared" si="195"/>
        <v>252</v>
      </c>
      <c r="F1245" s="23">
        <f t="shared" si="196"/>
        <v>700</v>
      </c>
      <c r="G1245" s="23">
        <f t="shared" ca="1" si="197"/>
        <v>229</v>
      </c>
      <c r="H1245" s="23">
        <f t="shared" ca="1" si="198"/>
        <v>655</v>
      </c>
      <c r="I1245" s="23">
        <f t="shared" ca="1" si="199"/>
        <v>397</v>
      </c>
      <c r="J1245" s="23">
        <f t="shared" ca="1" si="200"/>
        <v>655</v>
      </c>
      <c r="K1245" s="23">
        <f t="shared" ca="1" si="201"/>
        <v>1052</v>
      </c>
      <c r="L1245" s="23">
        <f t="shared" ca="1" si="194"/>
        <v>69220</v>
      </c>
    </row>
    <row r="1246" spans="3:12">
      <c r="C1246" s="23">
        <f t="shared" si="192"/>
        <v>420</v>
      </c>
      <c r="D1246" s="23">
        <f t="shared" si="193"/>
        <v>168</v>
      </c>
      <c r="E1246" s="23">
        <f t="shared" si="195"/>
        <v>252</v>
      </c>
      <c r="F1246" s="23">
        <f t="shared" si="196"/>
        <v>700</v>
      </c>
      <c r="G1246" s="23">
        <f t="shared" ca="1" si="197"/>
        <v>196</v>
      </c>
      <c r="H1246" s="23">
        <f t="shared" ca="1" si="198"/>
        <v>657</v>
      </c>
      <c r="I1246" s="23">
        <f t="shared" ca="1" si="199"/>
        <v>364</v>
      </c>
      <c r="J1246" s="23">
        <f t="shared" ca="1" si="200"/>
        <v>657</v>
      </c>
      <c r="K1246" s="23">
        <f t="shared" ca="1" si="201"/>
        <v>1021</v>
      </c>
      <c r="L1246" s="23">
        <f t="shared" ca="1" si="194"/>
        <v>65035</v>
      </c>
    </row>
    <row r="1247" spans="3:12">
      <c r="C1247" s="23">
        <f t="shared" si="192"/>
        <v>420</v>
      </c>
      <c r="D1247" s="23">
        <f t="shared" si="193"/>
        <v>168</v>
      </c>
      <c r="E1247" s="23">
        <f t="shared" si="195"/>
        <v>252</v>
      </c>
      <c r="F1247" s="23">
        <f t="shared" si="196"/>
        <v>700</v>
      </c>
      <c r="G1247" s="23">
        <f t="shared" ca="1" si="197"/>
        <v>209</v>
      </c>
      <c r="H1247" s="23">
        <f t="shared" ca="1" si="198"/>
        <v>623</v>
      </c>
      <c r="I1247" s="23">
        <f t="shared" ca="1" si="199"/>
        <v>377</v>
      </c>
      <c r="J1247" s="23">
        <f t="shared" ca="1" si="200"/>
        <v>623</v>
      </c>
      <c r="K1247" s="23">
        <f t="shared" ca="1" si="201"/>
        <v>1000</v>
      </c>
      <c r="L1247" s="23">
        <f t="shared" ca="1" si="194"/>
        <v>62200</v>
      </c>
    </row>
    <row r="1248" spans="3:12">
      <c r="C1248" s="23">
        <f t="shared" si="192"/>
        <v>420</v>
      </c>
      <c r="D1248" s="23">
        <f t="shared" si="193"/>
        <v>168</v>
      </c>
      <c r="E1248" s="23">
        <f t="shared" si="195"/>
        <v>252</v>
      </c>
      <c r="F1248" s="23">
        <f t="shared" si="196"/>
        <v>700</v>
      </c>
      <c r="G1248" s="23">
        <f t="shared" ca="1" si="197"/>
        <v>177</v>
      </c>
      <c r="H1248" s="23">
        <f t="shared" ca="1" si="198"/>
        <v>685</v>
      </c>
      <c r="I1248" s="23">
        <f t="shared" ca="1" si="199"/>
        <v>345</v>
      </c>
      <c r="J1248" s="23">
        <f t="shared" ca="1" si="200"/>
        <v>685</v>
      </c>
      <c r="K1248" s="23">
        <f t="shared" ca="1" si="201"/>
        <v>1030</v>
      </c>
      <c r="L1248" s="23">
        <f t="shared" ca="1" si="194"/>
        <v>66250</v>
      </c>
    </row>
    <row r="1249" spans="3:12">
      <c r="C1249" s="23">
        <f t="shared" si="192"/>
        <v>420</v>
      </c>
      <c r="D1249" s="23">
        <f t="shared" si="193"/>
        <v>168</v>
      </c>
      <c r="E1249" s="23">
        <f t="shared" si="195"/>
        <v>252</v>
      </c>
      <c r="F1249" s="23">
        <f t="shared" si="196"/>
        <v>700</v>
      </c>
      <c r="G1249" s="23">
        <f t="shared" ca="1" si="197"/>
        <v>197</v>
      </c>
      <c r="H1249" s="23">
        <f t="shared" ca="1" si="198"/>
        <v>692</v>
      </c>
      <c r="I1249" s="23">
        <f t="shared" ca="1" si="199"/>
        <v>365</v>
      </c>
      <c r="J1249" s="23">
        <f t="shared" ca="1" si="200"/>
        <v>692</v>
      </c>
      <c r="K1249" s="23">
        <f t="shared" ca="1" si="201"/>
        <v>1057</v>
      </c>
      <c r="L1249" s="23">
        <f t="shared" ca="1" si="194"/>
        <v>69895</v>
      </c>
    </row>
    <row r="1250" spans="3:12">
      <c r="C1250" s="23">
        <f t="shared" si="192"/>
        <v>420</v>
      </c>
      <c r="D1250" s="23">
        <f t="shared" si="193"/>
        <v>168</v>
      </c>
      <c r="E1250" s="23">
        <f t="shared" si="195"/>
        <v>252</v>
      </c>
      <c r="F1250" s="23">
        <f t="shared" si="196"/>
        <v>700</v>
      </c>
      <c r="G1250" s="23">
        <f t="shared" ca="1" si="197"/>
        <v>207</v>
      </c>
      <c r="H1250" s="23">
        <f t="shared" ca="1" si="198"/>
        <v>700</v>
      </c>
      <c r="I1250" s="23">
        <f t="shared" ca="1" si="199"/>
        <v>375</v>
      </c>
      <c r="J1250" s="23">
        <f t="shared" ca="1" si="200"/>
        <v>700</v>
      </c>
      <c r="K1250" s="23">
        <f t="shared" ca="1" si="201"/>
        <v>1075</v>
      </c>
      <c r="L1250" s="23">
        <f t="shared" ca="1" si="194"/>
        <v>72325</v>
      </c>
    </row>
    <row r="1251" spans="3:12">
      <c r="C1251" s="23">
        <f t="shared" si="192"/>
        <v>420</v>
      </c>
      <c r="D1251" s="23">
        <f t="shared" si="193"/>
        <v>168</v>
      </c>
      <c r="E1251" s="23">
        <f t="shared" si="195"/>
        <v>252</v>
      </c>
      <c r="F1251" s="23">
        <f t="shared" si="196"/>
        <v>700</v>
      </c>
      <c r="G1251" s="23">
        <f t="shared" ca="1" si="197"/>
        <v>196</v>
      </c>
      <c r="H1251" s="23">
        <f t="shared" ca="1" si="198"/>
        <v>626</v>
      </c>
      <c r="I1251" s="23">
        <f t="shared" ca="1" si="199"/>
        <v>364</v>
      </c>
      <c r="J1251" s="23">
        <f t="shared" ca="1" si="200"/>
        <v>626</v>
      </c>
      <c r="K1251" s="23">
        <f t="shared" ca="1" si="201"/>
        <v>990</v>
      </c>
      <c r="L1251" s="23">
        <f t="shared" ca="1" si="194"/>
        <v>60850</v>
      </c>
    </row>
    <row r="1252" spans="3:12">
      <c r="C1252" s="23">
        <f t="shared" si="192"/>
        <v>420</v>
      </c>
      <c r="D1252" s="23">
        <f t="shared" si="193"/>
        <v>168</v>
      </c>
      <c r="E1252" s="23">
        <f t="shared" si="195"/>
        <v>252</v>
      </c>
      <c r="F1252" s="23">
        <f t="shared" si="196"/>
        <v>700</v>
      </c>
      <c r="G1252" s="23">
        <f t="shared" ca="1" si="197"/>
        <v>196</v>
      </c>
      <c r="H1252" s="23">
        <f t="shared" ca="1" si="198"/>
        <v>702</v>
      </c>
      <c r="I1252" s="23">
        <f t="shared" ca="1" si="199"/>
        <v>364</v>
      </c>
      <c r="J1252" s="23">
        <f t="shared" ca="1" si="200"/>
        <v>702</v>
      </c>
      <c r="K1252" s="23">
        <f t="shared" ca="1" si="201"/>
        <v>1066</v>
      </c>
      <c r="L1252" s="23">
        <f t="shared" ca="1" si="194"/>
        <v>71110</v>
      </c>
    </row>
    <row r="1253" spans="3:12">
      <c r="C1253" s="23">
        <f t="shared" si="192"/>
        <v>420</v>
      </c>
      <c r="D1253" s="23">
        <f t="shared" si="193"/>
        <v>168</v>
      </c>
      <c r="E1253" s="23">
        <f t="shared" si="195"/>
        <v>252</v>
      </c>
      <c r="F1253" s="23">
        <f t="shared" si="196"/>
        <v>700</v>
      </c>
      <c r="G1253" s="23">
        <f t="shared" ca="1" si="197"/>
        <v>219</v>
      </c>
      <c r="H1253" s="23">
        <f t="shared" ca="1" si="198"/>
        <v>672</v>
      </c>
      <c r="I1253" s="23">
        <f t="shared" ca="1" si="199"/>
        <v>387</v>
      </c>
      <c r="J1253" s="23">
        <f t="shared" ca="1" si="200"/>
        <v>672</v>
      </c>
      <c r="K1253" s="23">
        <f t="shared" ca="1" si="201"/>
        <v>1059</v>
      </c>
      <c r="L1253" s="23">
        <f t="shared" ca="1" si="194"/>
        <v>70165</v>
      </c>
    </row>
    <row r="1254" spans="3:12">
      <c r="C1254" s="23">
        <f t="shared" si="192"/>
        <v>420</v>
      </c>
      <c r="D1254" s="23">
        <f t="shared" si="193"/>
        <v>168</v>
      </c>
      <c r="E1254" s="23">
        <f t="shared" si="195"/>
        <v>252</v>
      </c>
      <c r="F1254" s="23">
        <f t="shared" si="196"/>
        <v>700</v>
      </c>
      <c r="G1254" s="23">
        <f t="shared" ca="1" si="197"/>
        <v>223</v>
      </c>
      <c r="H1254" s="23">
        <f t="shared" ca="1" si="198"/>
        <v>572</v>
      </c>
      <c r="I1254" s="23">
        <f t="shared" ca="1" si="199"/>
        <v>391</v>
      </c>
      <c r="J1254" s="23">
        <f t="shared" ca="1" si="200"/>
        <v>572</v>
      </c>
      <c r="K1254" s="23">
        <f t="shared" ca="1" si="201"/>
        <v>963</v>
      </c>
      <c r="L1254" s="23">
        <f t="shared" ca="1" si="194"/>
        <v>57205</v>
      </c>
    </row>
    <row r="1255" spans="3:12">
      <c r="C1255" s="23">
        <f t="shared" si="192"/>
        <v>420</v>
      </c>
      <c r="D1255" s="23">
        <f t="shared" si="193"/>
        <v>168</v>
      </c>
      <c r="E1255" s="23">
        <f t="shared" si="195"/>
        <v>252</v>
      </c>
      <c r="F1255" s="23">
        <f t="shared" si="196"/>
        <v>700</v>
      </c>
      <c r="G1255" s="23">
        <f t="shared" ca="1" si="197"/>
        <v>263</v>
      </c>
      <c r="H1255" s="23">
        <f t="shared" ca="1" si="198"/>
        <v>704</v>
      </c>
      <c r="I1255" s="23">
        <f t="shared" ca="1" si="199"/>
        <v>420</v>
      </c>
      <c r="J1255" s="23">
        <f t="shared" ca="1" si="200"/>
        <v>700</v>
      </c>
      <c r="K1255" s="23">
        <f t="shared" ca="1" si="201"/>
        <v>1120</v>
      </c>
      <c r="L1255" s="23">
        <f t="shared" ca="1" si="194"/>
        <v>78400</v>
      </c>
    </row>
    <row r="1256" spans="3:12">
      <c r="C1256" s="23">
        <f t="shared" si="192"/>
        <v>420</v>
      </c>
      <c r="D1256" s="23">
        <f t="shared" si="193"/>
        <v>168</v>
      </c>
      <c r="E1256" s="23">
        <f t="shared" si="195"/>
        <v>252</v>
      </c>
      <c r="F1256" s="23">
        <f t="shared" si="196"/>
        <v>700</v>
      </c>
      <c r="G1256" s="23">
        <f t="shared" ca="1" si="197"/>
        <v>221</v>
      </c>
      <c r="H1256" s="23">
        <f t="shared" ca="1" si="198"/>
        <v>565</v>
      </c>
      <c r="I1256" s="23">
        <f t="shared" ca="1" si="199"/>
        <v>389</v>
      </c>
      <c r="J1256" s="23">
        <f t="shared" ca="1" si="200"/>
        <v>565</v>
      </c>
      <c r="K1256" s="23">
        <f t="shared" ca="1" si="201"/>
        <v>954</v>
      </c>
      <c r="L1256" s="23">
        <f t="shared" ca="1" si="194"/>
        <v>55990</v>
      </c>
    </row>
    <row r="1257" spans="3:12">
      <c r="C1257" s="23">
        <f t="shared" si="192"/>
        <v>420</v>
      </c>
      <c r="D1257" s="23">
        <f t="shared" si="193"/>
        <v>168</v>
      </c>
      <c r="E1257" s="23">
        <f t="shared" si="195"/>
        <v>252</v>
      </c>
      <c r="F1257" s="23">
        <f t="shared" si="196"/>
        <v>700</v>
      </c>
      <c r="G1257" s="23">
        <f t="shared" ca="1" si="197"/>
        <v>231</v>
      </c>
      <c r="H1257" s="23">
        <f t="shared" ca="1" si="198"/>
        <v>696</v>
      </c>
      <c r="I1257" s="23">
        <f t="shared" ca="1" si="199"/>
        <v>399</v>
      </c>
      <c r="J1257" s="23">
        <f t="shared" ca="1" si="200"/>
        <v>696</v>
      </c>
      <c r="K1257" s="23">
        <f t="shared" ca="1" si="201"/>
        <v>1095</v>
      </c>
      <c r="L1257" s="23">
        <f t="shared" ca="1" si="194"/>
        <v>75025</v>
      </c>
    </row>
    <row r="1258" spans="3:12">
      <c r="C1258" s="23">
        <f t="shared" si="192"/>
        <v>420</v>
      </c>
      <c r="D1258" s="23">
        <f t="shared" si="193"/>
        <v>168</v>
      </c>
      <c r="E1258" s="23">
        <f t="shared" si="195"/>
        <v>252</v>
      </c>
      <c r="F1258" s="23">
        <f t="shared" si="196"/>
        <v>700</v>
      </c>
      <c r="G1258" s="23">
        <f t="shared" ca="1" si="197"/>
        <v>231</v>
      </c>
      <c r="H1258" s="23">
        <f t="shared" ca="1" si="198"/>
        <v>581</v>
      </c>
      <c r="I1258" s="23">
        <f t="shared" ca="1" si="199"/>
        <v>399</v>
      </c>
      <c r="J1258" s="23">
        <f t="shared" ca="1" si="200"/>
        <v>581</v>
      </c>
      <c r="K1258" s="23">
        <f t="shared" ca="1" si="201"/>
        <v>980</v>
      </c>
      <c r="L1258" s="23">
        <f t="shared" ca="1" si="194"/>
        <v>59500</v>
      </c>
    </row>
    <row r="1259" spans="3:12">
      <c r="C1259" s="23">
        <f t="shared" si="192"/>
        <v>420</v>
      </c>
      <c r="D1259" s="23">
        <f t="shared" si="193"/>
        <v>168</v>
      </c>
      <c r="E1259" s="23">
        <f t="shared" si="195"/>
        <v>252</v>
      </c>
      <c r="F1259" s="23">
        <f t="shared" si="196"/>
        <v>700</v>
      </c>
      <c r="G1259" s="23">
        <f t="shared" ca="1" si="197"/>
        <v>175</v>
      </c>
      <c r="H1259" s="23">
        <f t="shared" ca="1" si="198"/>
        <v>618</v>
      </c>
      <c r="I1259" s="23">
        <f t="shared" ca="1" si="199"/>
        <v>343</v>
      </c>
      <c r="J1259" s="23">
        <f t="shared" ca="1" si="200"/>
        <v>618</v>
      </c>
      <c r="K1259" s="23">
        <f t="shared" ca="1" si="201"/>
        <v>961</v>
      </c>
      <c r="L1259" s="23">
        <f t="shared" ca="1" si="194"/>
        <v>56935</v>
      </c>
    </row>
    <row r="1260" spans="3:12">
      <c r="C1260" s="23">
        <f t="shared" si="192"/>
        <v>420</v>
      </c>
      <c r="D1260" s="23">
        <f t="shared" si="193"/>
        <v>168</v>
      </c>
      <c r="E1260" s="23">
        <f t="shared" si="195"/>
        <v>252</v>
      </c>
      <c r="F1260" s="23">
        <f t="shared" si="196"/>
        <v>700</v>
      </c>
      <c r="G1260" s="23">
        <f t="shared" ca="1" si="197"/>
        <v>209</v>
      </c>
      <c r="H1260" s="23">
        <f t="shared" ca="1" si="198"/>
        <v>590</v>
      </c>
      <c r="I1260" s="23">
        <f t="shared" ca="1" si="199"/>
        <v>377</v>
      </c>
      <c r="J1260" s="23">
        <f t="shared" ca="1" si="200"/>
        <v>590</v>
      </c>
      <c r="K1260" s="23">
        <f t="shared" ca="1" si="201"/>
        <v>967</v>
      </c>
      <c r="L1260" s="23">
        <f t="shared" ca="1" si="194"/>
        <v>57745</v>
      </c>
    </row>
    <row r="1261" spans="3:12">
      <c r="C1261" s="23">
        <f t="shared" si="192"/>
        <v>420</v>
      </c>
      <c r="D1261" s="23">
        <f t="shared" si="193"/>
        <v>168</v>
      </c>
      <c r="E1261" s="23">
        <f t="shared" si="195"/>
        <v>252</v>
      </c>
      <c r="F1261" s="23">
        <f t="shared" si="196"/>
        <v>700</v>
      </c>
      <c r="G1261" s="23">
        <f t="shared" ca="1" si="197"/>
        <v>216</v>
      </c>
      <c r="H1261" s="23">
        <f t="shared" ca="1" si="198"/>
        <v>616</v>
      </c>
      <c r="I1261" s="23">
        <f t="shared" ca="1" si="199"/>
        <v>384</v>
      </c>
      <c r="J1261" s="23">
        <f t="shared" ca="1" si="200"/>
        <v>616</v>
      </c>
      <c r="K1261" s="23">
        <f t="shared" ca="1" si="201"/>
        <v>1000</v>
      </c>
      <c r="L1261" s="23">
        <f t="shared" ca="1" si="194"/>
        <v>62200</v>
      </c>
    </row>
    <row r="1262" spans="3:12">
      <c r="C1262" s="23">
        <f t="shared" si="192"/>
        <v>420</v>
      </c>
      <c r="D1262" s="23">
        <f t="shared" si="193"/>
        <v>168</v>
      </c>
      <c r="E1262" s="23">
        <f t="shared" si="195"/>
        <v>252</v>
      </c>
      <c r="F1262" s="23">
        <f t="shared" si="196"/>
        <v>700</v>
      </c>
      <c r="G1262" s="23">
        <f t="shared" ca="1" si="197"/>
        <v>220</v>
      </c>
      <c r="H1262" s="23">
        <f t="shared" ca="1" si="198"/>
        <v>757</v>
      </c>
      <c r="I1262" s="23">
        <f t="shared" ca="1" si="199"/>
        <v>388</v>
      </c>
      <c r="J1262" s="23">
        <f t="shared" ca="1" si="200"/>
        <v>732</v>
      </c>
      <c r="K1262" s="23">
        <f t="shared" ca="1" si="201"/>
        <v>1120</v>
      </c>
      <c r="L1262" s="23">
        <f t="shared" ca="1" si="194"/>
        <v>78400</v>
      </c>
    </row>
    <row r="1263" spans="3:12">
      <c r="C1263" s="23">
        <f t="shared" si="192"/>
        <v>420</v>
      </c>
      <c r="D1263" s="23">
        <f t="shared" si="193"/>
        <v>168</v>
      </c>
      <c r="E1263" s="23">
        <f t="shared" si="195"/>
        <v>252</v>
      </c>
      <c r="F1263" s="23">
        <f t="shared" si="196"/>
        <v>700</v>
      </c>
      <c r="G1263" s="23">
        <f t="shared" ca="1" si="197"/>
        <v>217</v>
      </c>
      <c r="H1263" s="23">
        <f t="shared" ca="1" si="198"/>
        <v>626</v>
      </c>
      <c r="I1263" s="23">
        <f t="shared" ca="1" si="199"/>
        <v>385</v>
      </c>
      <c r="J1263" s="23">
        <f t="shared" ca="1" si="200"/>
        <v>626</v>
      </c>
      <c r="K1263" s="23">
        <f t="shared" ca="1" si="201"/>
        <v>1011</v>
      </c>
      <c r="L1263" s="23">
        <f t="shared" ca="1" si="194"/>
        <v>63685</v>
      </c>
    </row>
    <row r="1264" spans="3:12">
      <c r="C1264" s="23">
        <f t="shared" si="192"/>
        <v>420</v>
      </c>
      <c r="D1264" s="23">
        <f t="shared" si="193"/>
        <v>168</v>
      </c>
      <c r="E1264" s="23">
        <f t="shared" si="195"/>
        <v>252</v>
      </c>
      <c r="F1264" s="23">
        <f t="shared" si="196"/>
        <v>700</v>
      </c>
      <c r="G1264" s="23">
        <f t="shared" ca="1" si="197"/>
        <v>187</v>
      </c>
      <c r="H1264" s="23">
        <f t="shared" ca="1" si="198"/>
        <v>676</v>
      </c>
      <c r="I1264" s="23">
        <f t="shared" ca="1" si="199"/>
        <v>355</v>
      </c>
      <c r="J1264" s="23">
        <f t="shared" ca="1" si="200"/>
        <v>676</v>
      </c>
      <c r="K1264" s="23">
        <f t="shared" ca="1" si="201"/>
        <v>1031</v>
      </c>
      <c r="L1264" s="23">
        <f t="shared" ca="1" si="194"/>
        <v>66385</v>
      </c>
    </row>
    <row r="1265" spans="3:12">
      <c r="C1265" s="23">
        <f t="shared" si="192"/>
        <v>420</v>
      </c>
      <c r="D1265" s="23">
        <f t="shared" si="193"/>
        <v>168</v>
      </c>
      <c r="E1265" s="23">
        <f t="shared" si="195"/>
        <v>252</v>
      </c>
      <c r="F1265" s="23">
        <f t="shared" si="196"/>
        <v>700</v>
      </c>
      <c r="G1265" s="23">
        <f t="shared" ca="1" si="197"/>
        <v>201</v>
      </c>
      <c r="H1265" s="23">
        <f t="shared" ca="1" si="198"/>
        <v>597</v>
      </c>
      <c r="I1265" s="23">
        <f t="shared" ca="1" si="199"/>
        <v>369</v>
      </c>
      <c r="J1265" s="23">
        <f t="shared" ca="1" si="200"/>
        <v>597</v>
      </c>
      <c r="K1265" s="23">
        <f t="shared" ca="1" si="201"/>
        <v>966</v>
      </c>
      <c r="L1265" s="23">
        <f t="shared" ca="1" si="194"/>
        <v>57610</v>
      </c>
    </row>
    <row r="1266" spans="3:12">
      <c r="C1266" s="23">
        <f t="shared" si="192"/>
        <v>420</v>
      </c>
      <c r="D1266" s="23">
        <f t="shared" si="193"/>
        <v>168</v>
      </c>
      <c r="E1266" s="23">
        <f t="shared" si="195"/>
        <v>252</v>
      </c>
      <c r="F1266" s="23">
        <f t="shared" si="196"/>
        <v>700</v>
      </c>
      <c r="G1266" s="23">
        <f t="shared" ca="1" si="197"/>
        <v>234</v>
      </c>
      <c r="H1266" s="23">
        <f t="shared" ca="1" si="198"/>
        <v>668</v>
      </c>
      <c r="I1266" s="23">
        <f t="shared" ca="1" si="199"/>
        <v>402</v>
      </c>
      <c r="J1266" s="23">
        <f t="shared" ca="1" si="200"/>
        <v>668</v>
      </c>
      <c r="K1266" s="23">
        <f t="shared" ca="1" si="201"/>
        <v>1070</v>
      </c>
      <c r="L1266" s="23">
        <f t="shared" ca="1" si="194"/>
        <v>71650</v>
      </c>
    </row>
    <row r="1267" spans="3:12">
      <c r="C1267" s="23">
        <f t="shared" si="192"/>
        <v>420</v>
      </c>
      <c r="D1267" s="23">
        <f t="shared" si="193"/>
        <v>168</v>
      </c>
      <c r="E1267" s="23">
        <f t="shared" si="195"/>
        <v>252</v>
      </c>
      <c r="F1267" s="23">
        <f t="shared" si="196"/>
        <v>700</v>
      </c>
      <c r="G1267" s="23">
        <f t="shared" ca="1" si="197"/>
        <v>214</v>
      </c>
      <c r="H1267" s="23">
        <f t="shared" ca="1" si="198"/>
        <v>611</v>
      </c>
      <c r="I1267" s="23">
        <f t="shared" ca="1" si="199"/>
        <v>382</v>
      </c>
      <c r="J1267" s="23">
        <f t="shared" ca="1" si="200"/>
        <v>611</v>
      </c>
      <c r="K1267" s="23">
        <f t="shared" ca="1" si="201"/>
        <v>993</v>
      </c>
      <c r="L1267" s="23">
        <f t="shared" ca="1" si="194"/>
        <v>61255</v>
      </c>
    </row>
    <row r="1268" spans="3:12">
      <c r="C1268" s="23">
        <f t="shared" si="192"/>
        <v>420</v>
      </c>
      <c r="D1268" s="23">
        <f t="shared" si="193"/>
        <v>168</v>
      </c>
      <c r="E1268" s="23">
        <f t="shared" si="195"/>
        <v>252</v>
      </c>
      <c r="F1268" s="23">
        <f t="shared" si="196"/>
        <v>700</v>
      </c>
      <c r="G1268" s="23">
        <f t="shared" ca="1" si="197"/>
        <v>191</v>
      </c>
      <c r="H1268" s="23">
        <f t="shared" ca="1" si="198"/>
        <v>686</v>
      </c>
      <c r="I1268" s="23">
        <f t="shared" ca="1" si="199"/>
        <v>359</v>
      </c>
      <c r="J1268" s="23">
        <f t="shared" ca="1" si="200"/>
        <v>686</v>
      </c>
      <c r="K1268" s="23">
        <f t="shared" ca="1" si="201"/>
        <v>1045</v>
      </c>
      <c r="L1268" s="23">
        <f t="shared" ca="1" si="194"/>
        <v>68275</v>
      </c>
    </row>
    <row r="1269" spans="3:12">
      <c r="C1269" s="23">
        <f t="shared" si="192"/>
        <v>420</v>
      </c>
      <c r="D1269" s="23">
        <f t="shared" si="193"/>
        <v>168</v>
      </c>
      <c r="E1269" s="23">
        <f t="shared" si="195"/>
        <v>252</v>
      </c>
      <c r="F1269" s="23">
        <f t="shared" si="196"/>
        <v>700</v>
      </c>
      <c r="G1269" s="23">
        <f t="shared" ca="1" si="197"/>
        <v>202</v>
      </c>
      <c r="H1269" s="23">
        <f t="shared" ca="1" si="198"/>
        <v>677</v>
      </c>
      <c r="I1269" s="23">
        <f t="shared" ca="1" si="199"/>
        <v>370</v>
      </c>
      <c r="J1269" s="23">
        <f t="shared" ca="1" si="200"/>
        <v>677</v>
      </c>
      <c r="K1269" s="23">
        <f t="shared" ca="1" si="201"/>
        <v>1047</v>
      </c>
      <c r="L1269" s="23">
        <f t="shared" ca="1" si="194"/>
        <v>68545</v>
      </c>
    </row>
    <row r="1270" spans="3:12">
      <c r="C1270" s="23">
        <f t="shared" si="192"/>
        <v>420</v>
      </c>
      <c r="D1270" s="23">
        <f t="shared" si="193"/>
        <v>168</v>
      </c>
      <c r="E1270" s="23">
        <f t="shared" si="195"/>
        <v>252</v>
      </c>
      <c r="F1270" s="23">
        <f t="shared" si="196"/>
        <v>700</v>
      </c>
      <c r="G1270" s="23">
        <f t="shared" ca="1" si="197"/>
        <v>204</v>
      </c>
      <c r="H1270" s="23">
        <f t="shared" ca="1" si="198"/>
        <v>604</v>
      </c>
      <c r="I1270" s="23">
        <f t="shared" ca="1" si="199"/>
        <v>372</v>
      </c>
      <c r="J1270" s="23">
        <f t="shared" ca="1" si="200"/>
        <v>604</v>
      </c>
      <c r="K1270" s="23">
        <f t="shared" ca="1" si="201"/>
        <v>976</v>
      </c>
      <c r="L1270" s="23">
        <f t="shared" ca="1" si="194"/>
        <v>58960</v>
      </c>
    </row>
    <row r="1271" spans="3:12">
      <c r="C1271" s="23">
        <f t="shared" si="192"/>
        <v>420</v>
      </c>
      <c r="D1271" s="23">
        <f t="shared" si="193"/>
        <v>168</v>
      </c>
      <c r="E1271" s="23">
        <f t="shared" si="195"/>
        <v>252</v>
      </c>
      <c r="F1271" s="23">
        <f t="shared" si="196"/>
        <v>700</v>
      </c>
      <c r="G1271" s="23">
        <f t="shared" ca="1" si="197"/>
        <v>176</v>
      </c>
      <c r="H1271" s="23">
        <f t="shared" ca="1" si="198"/>
        <v>763</v>
      </c>
      <c r="I1271" s="23">
        <f t="shared" ca="1" si="199"/>
        <v>344</v>
      </c>
      <c r="J1271" s="23">
        <f t="shared" ca="1" si="200"/>
        <v>763</v>
      </c>
      <c r="K1271" s="23">
        <f t="shared" ca="1" si="201"/>
        <v>1107</v>
      </c>
      <c r="L1271" s="23">
        <f t="shared" ca="1" si="194"/>
        <v>76645</v>
      </c>
    </row>
    <row r="1272" spans="3:12">
      <c r="C1272" s="23">
        <f t="shared" si="192"/>
        <v>420</v>
      </c>
      <c r="D1272" s="23">
        <f t="shared" si="193"/>
        <v>168</v>
      </c>
      <c r="E1272" s="23">
        <f t="shared" si="195"/>
        <v>252</v>
      </c>
      <c r="F1272" s="23">
        <f t="shared" si="196"/>
        <v>700</v>
      </c>
      <c r="G1272" s="23">
        <f t="shared" ca="1" si="197"/>
        <v>222</v>
      </c>
      <c r="H1272" s="23">
        <f t="shared" ca="1" si="198"/>
        <v>675</v>
      </c>
      <c r="I1272" s="23">
        <f t="shared" ca="1" si="199"/>
        <v>390</v>
      </c>
      <c r="J1272" s="23">
        <f t="shared" ca="1" si="200"/>
        <v>675</v>
      </c>
      <c r="K1272" s="23">
        <f t="shared" ca="1" si="201"/>
        <v>1065</v>
      </c>
      <c r="L1272" s="23">
        <f t="shared" ca="1" si="194"/>
        <v>70975</v>
      </c>
    </row>
    <row r="1273" spans="3:12">
      <c r="C1273" s="23">
        <f t="shared" si="192"/>
        <v>420</v>
      </c>
      <c r="D1273" s="23">
        <f t="shared" si="193"/>
        <v>168</v>
      </c>
      <c r="E1273" s="23">
        <f t="shared" si="195"/>
        <v>252</v>
      </c>
      <c r="F1273" s="23">
        <f t="shared" si="196"/>
        <v>700</v>
      </c>
      <c r="G1273" s="23">
        <f t="shared" ca="1" si="197"/>
        <v>200</v>
      </c>
      <c r="H1273" s="23">
        <f t="shared" ca="1" si="198"/>
        <v>741</v>
      </c>
      <c r="I1273" s="23">
        <f t="shared" ca="1" si="199"/>
        <v>368</v>
      </c>
      <c r="J1273" s="23">
        <f t="shared" ca="1" si="200"/>
        <v>741</v>
      </c>
      <c r="K1273" s="23">
        <f t="shared" ca="1" si="201"/>
        <v>1109</v>
      </c>
      <c r="L1273" s="23">
        <f t="shared" ca="1" si="194"/>
        <v>76915</v>
      </c>
    </row>
    <row r="1274" spans="3:12">
      <c r="C1274" s="23">
        <f t="shared" si="192"/>
        <v>420</v>
      </c>
      <c r="D1274" s="23">
        <f t="shared" si="193"/>
        <v>168</v>
      </c>
      <c r="E1274" s="23">
        <f t="shared" si="195"/>
        <v>252</v>
      </c>
      <c r="F1274" s="23">
        <f t="shared" si="196"/>
        <v>700</v>
      </c>
      <c r="G1274" s="23">
        <f t="shared" ca="1" si="197"/>
        <v>230</v>
      </c>
      <c r="H1274" s="23">
        <f t="shared" ca="1" si="198"/>
        <v>663</v>
      </c>
      <c r="I1274" s="23">
        <f t="shared" ca="1" si="199"/>
        <v>398</v>
      </c>
      <c r="J1274" s="23">
        <f t="shared" ca="1" si="200"/>
        <v>663</v>
      </c>
      <c r="K1274" s="23">
        <f t="shared" ca="1" si="201"/>
        <v>1061</v>
      </c>
      <c r="L1274" s="23">
        <f t="shared" ca="1" si="194"/>
        <v>70435</v>
      </c>
    </row>
    <row r="1275" spans="3:12">
      <c r="C1275" s="23">
        <f t="shared" si="192"/>
        <v>420</v>
      </c>
      <c r="D1275" s="23">
        <f t="shared" si="193"/>
        <v>168</v>
      </c>
      <c r="E1275" s="23">
        <f t="shared" si="195"/>
        <v>252</v>
      </c>
      <c r="F1275" s="23">
        <f t="shared" si="196"/>
        <v>700</v>
      </c>
      <c r="G1275" s="23">
        <f t="shared" ca="1" si="197"/>
        <v>225</v>
      </c>
      <c r="H1275" s="23">
        <f t="shared" ca="1" si="198"/>
        <v>603</v>
      </c>
      <c r="I1275" s="23">
        <f t="shared" ca="1" si="199"/>
        <v>393</v>
      </c>
      <c r="J1275" s="23">
        <f t="shared" ca="1" si="200"/>
        <v>603</v>
      </c>
      <c r="K1275" s="23">
        <f t="shared" ca="1" si="201"/>
        <v>996</v>
      </c>
      <c r="L1275" s="23">
        <f t="shared" ca="1" si="194"/>
        <v>61660</v>
      </c>
    </row>
    <row r="1276" spans="3:12">
      <c r="C1276" s="23">
        <f t="shared" si="192"/>
        <v>420</v>
      </c>
      <c r="D1276" s="23">
        <f t="shared" si="193"/>
        <v>168</v>
      </c>
      <c r="E1276" s="23">
        <f t="shared" si="195"/>
        <v>252</v>
      </c>
      <c r="F1276" s="23">
        <f t="shared" si="196"/>
        <v>700</v>
      </c>
      <c r="G1276" s="23">
        <f t="shared" ca="1" si="197"/>
        <v>210</v>
      </c>
      <c r="H1276" s="23">
        <f t="shared" ca="1" si="198"/>
        <v>643</v>
      </c>
      <c r="I1276" s="23">
        <f t="shared" ca="1" si="199"/>
        <v>378</v>
      </c>
      <c r="J1276" s="23">
        <f t="shared" ca="1" si="200"/>
        <v>643</v>
      </c>
      <c r="K1276" s="23">
        <f t="shared" ca="1" si="201"/>
        <v>1021</v>
      </c>
      <c r="L1276" s="23">
        <f t="shared" ca="1" si="194"/>
        <v>65035</v>
      </c>
    </row>
    <row r="1277" spans="3:12">
      <c r="C1277" s="23">
        <f t="shared" si="192"/>
        <v>420</v>
      </c>
      <c r="D1277" s="23">
        <f t="shared" si="193"/>
        <v>168</v>
      </c>
      <c r="E1277" s="23">
        <f t="shared" si="195"/>
        <v>252</v>
      </c>
      <c r="F1277" s="23">
        <f t="shared" si="196"/>
        <v>700</v>
      </c>
      <c r="G1277" s="23">
        <f t="shared" ca="1" si="197"/>
        <v>189</v>
      </c>
      <c r="H1277" s="23">
        <f t="shared" ca="1" si="198"/>
        <v>701</v>
      </c>
      <c r="I1277" s="23">
        <f t="shared" ca="1" si="199"/>
        <v>357</v>
      </c>
      <c r="J1277" s="23">
        <f t="shared" ca="1" si="200"/>
        <v>701</v>
      </c>
      <c r="K1277" s="23">
        <f t="shared" ca="1" si="201"/>
        <v>1058</v>
      </c>
      <c r="L1277" s="23">
        <f t="shared" ca="1" si="194"/>
        <v>70030</v>
      </c>
    </row>
    <row r="1278" spans="3:12">
      <c r="C1278" s="23">
        <f t="shared" si="192"/>
        <v>420</v>
      </c>
      <c r="D1278" s="23">
        <f t="shared" si="193"/>
        <v>168</v>
      </c>
      <c r="E1278" s="23">
        <f t="shared" si="195"/>
        <v>252</v>
      </c>
      <c r="F1278" s="23">
        <f t="shared" si="196"/>
        <v>700</v>
      </c>
      <c r="G1278" s="23">
        <f t="shared" ca="1" si="197"/>
        <v>217</v>
      </c>
      <c r="H1278" s="23">
        <f t="shared" ca="1" si="198"/>
        <v>648</v>
      </c>
      <c r="I1278" s="23">
        <f t="shared" ca="1" si="199"/>
        <v>385</v>
      </c>
      <c r="J1278" s="23">
        <f t="shared" ca="1" si="200"/>
        <v>648</v>
      </c>
      <c r="K1278" s="23">
        <f t="shared" ca="1" si="201"/>
        <v>1033</v>
      </c>
      <c r="L1278" s="23">
        <f t="shared" ca="1" si="194"/>
        <v>66655</v>
      </c>
    </row>
    <row r="1279" spans="3:12">
      <c r="C1279" s="23">
        <f t="shared" si="192"/>
        <v>420</v>
      </c>
      <c r="D1279" s="23">
        <f t="shared" si="193"/>
        <v>168</v>
      </c>
      <c r="E1279" s="23">
        <f t="shared" si="195"/>
        <v>252</v>
      </c>
      <c r="F1279" s="23">
        <f t="shared" si="196"/>
        <v>700</v>
      </c>
      <c r="G1279" s="23">
        <f t="shared" ca="1" si="197"/>
        <v>188</v>
      </c>
      <c r="H1279" s="23">
        <f t="shared" ca="1" si="198"/>
        <v>616</v>
      </c>
      <c r="I1279" s="23">
        <f t="shared" ca="1" si="199"/>
        <v>356</v>
      </c>
      <c r="J1279" s="23">
        <f t="shared" ca="1" si="200"/>
        <v>616</v>
      </c>
      <c r="K1279" s="23">
        <f t="shared" ca="1" si="201"/>
        <v>972</v>
      </c>
      <c r="L1279" s="23">
        <f t="shared" ca="1" si="194"/>
        <v>58420</v>
      </c>
    </row>
    <row r="1280" spans="3:12">
      <c r="C1280" s="23">
        <f t="shared" si="192"/>
        <v>420</v>
      </c>
      <c r="D1280" s="23">
        <f t="shared" si="193"/>
        <v>168</v>
      </c>
      <c r="E1280" s="23">
        <f t="shared" si="195"/>
        <v>252</v>
      </c>
      <c r="F1280" s="23">
        <f t="shared" si="196"/>
        <v>700</v>
      </c>
      <c r="G1280" s="23">
        <f t="shared" ca="1" si="197"/>
        <v>180</v>
      </c>
      <c r="H1280" s="23">
        <f t="shared" ca="1" si="198"/>
        <v>805</v>
      </c>
      <c r="I1280" s="23">
        <f t="shared" ca="1" si="199"/>
        <v>348</v>
      </c>
      <c r="J1280" s="23">
        <f t="shared" ca="1" si="200"/>
        <v>772</v>
      </c>
      <c r="K1280" s="23">
        <f t="shared" ca="1" si="201"/>
        <v>1120</v>
      </c>
      <c r="L1280" s="23">
        <f t="shared" ca="1" si="194"/>
        <v>78400</v>
      </c>
    </row>
    <row r="1281" spans="3:12">
      <c r="C1281" s="23">
        <f t="shared" si="192"/>
        <v>420</v>
      </c>
      <c r="D1281" s="23">
        <f t="shared" si="193"/>
        <v>168</v>
      </c>
      <c r="E1281" s="23">
        <f t="shared" si="195"/>
        <v>252</v>
      </c>
      <c r="F1281" s="23">
        <f t="shared" si="196"/>
        <v>700</v>
      </c>
      <c r="G1281" s="23">
        <f t="shared" ca="1" si="197"/>
        <v>199</v>
      </c>
      <c r="H1281" s="23">
        <f t="shared" ca="1" si="198"/>
        <v>760</v>
      </c>
      <c r="I1281" s="23">
        <f t="shared" ca="1" si="199"/>
        <v>367</v>
      </c>
      <c r="J1281" s="23">
        <f t="shared" ca="1" si="200"/>
        <v>753</v>
      </c>
      <c r="K1281" s="23">
        <f t="shared" ca="1" si="201"/>
        <v>1120</v>
      </c>
      <c r="L1281" s="23">
        <f t="shared" ca="1" si="194"/>
        <v>78400</v>
      </c>
    </row>
    <row r="1282" spans="3:12">
      <c r="C1282" s="23">
        <f t="shared" si="192"/>
        <v>420</v>
      </c>
      <c r="D1282" s="23">
        <f t="shared" si="193"/>
        <v>168</v>
      </c>
      <c r="E1282" s="23">
        <f t="shared" si="195"/>
        <v>252</v>
      </c>
      <c r="F1282" s="23">
        <f t="shared" si="196"/>
        <v>700</v>
      </c>
      <c r="G1282" s="23">
        <f t="shared" ca="1" si="197"/>
        <v>210</v>
      </c>
      <c r="H1282" s="23">
        <f t="shared" ca="1" si="198"/>
        <v>624</v>
      </c>
      <c r="I1282" s="23">
        <f t="shared" ca="1" si="199"/>
        <v>378</v>
      </c>
      <c r="J1282" s="23">
        <f t="shared" ca="1" si="200"/>
        <v>624</v>
      </c>
      <c r="K1282" s="23">
        <f t="shared" ca="1" si="201"/>
        <v>1002</v>
      </c>
      <c r="L1282" s="23">
        <f t="shared" ca="1" si="194"/>
        <v>62470</v>
      </c>
    </row>
    <row r="1283" spans="3:12">
      <c r="C1283" s="23">
        <f t="shared" si="192"/>
        <v>420</v>
      </c>
      <c r="D1283" s="23">
        <f t="shared" si="193"/>
        <v>168</v>
      </c>
      <c r="E1283" s="23">
        <f t="shared" si="195"/>
        <v>252</v>
      </c>
      <c r="F1283" s="23">
        <f t="shared" si="196"/>
        <v>700</v>
      </c>
      <c r="G1283" s="23">
        <f t="shared" ca="1" si="197"/>
        <v>165</v>
      </c>
      <c r="H1283" s="23">
        <f t="shared" ca="1" si="198"/>
        <v>638</v>
      </c>
      <c r="I1283" s="23">
        <f t="shared" ca="1" si="199"/>
        <v>333</v>
      </c>
      <c r="J1283" s="23">
        <f t="shared" ca="1" si="200"/>
        <v>638</v>
      </c>
      <c r="K1283" s="23">
        <f t="shared" ca="1" si="201"/>
        <v>971</v>
      </c>
      <c r="L1283" s="23">
        <f t="shared" ca="1" si="194"/>
        <v>58285</v>
      </c>
    </row>
    <row r="1284" spans="3:12">
      <c r="C1284" s="23">
        <f t="shared" si="192"/>
        <v>420</v>
      </c>
      <c r="D1284" s="23">
        <f t="shared" si="193"/>
        <v>168</v>
      </c>
      <c r="E1284" s="23">
        <f t="shared" si="195"/>
        <v>252</v>
      </c>
      <c r="F1284" s="23">
        <f t="shared" si="196"/>
        <v>700</v>
      </c>
      <c r="G1284" s="23">
        <f t="shared" ca="1" si="197"/>
        <v>196</v>
      </c>
      <c r="H1284" s="23">
        <f t="shared" ca="1" si="198"/>
        <v>555</v>
      </c>
      <c r="I1284" s="23">
        <f t="shared" ca="1" si="199"/>
        <v>364</v>
      </c>
      <c r="J1284" s="23">
        <f t="shared" ca="1" si="200"/>
        <v>555</v>
      </c>
      <c r="K1284" s="23">
        <f t="shared" ca="1" si="201"/>
        <v>919</v>
      </c>
      <c r="L1284" s="23">
        <f t="shared" ca="1" si="194"/>
        <v>51265</v>
      </c>
    </row>
    <row r="1285" spans="3:12">
      <c r="C1285" s="23">
        <f t="shared" si="192"/>
        <v>420</v>
      </c>
      <c r="D1285" s="23">
        <f t="shared" si="193"/>
        <v>168</v>
      </c>
      <c r="E1285" s="23">
        <f t="shared" si="195"/>
        <v>252</v>
      </c>
      <c r="F1285" s="23">
        <f t="shared" si="196"/>
        <v>700</v>
      </c>
      <c r="G1285" s="23">
        <f t="shared" ca="1" si="197"/>
        <v>206</v>
      </c>
      <c r="H1285" s="23">
        <f t="shared" ca="1" si="198"/>
        <v>661</v>
      </c>
      <c r="I1285" s="23">
        <f t="shared" ca="1" si="199"/>
        <v>374</v>
      </c>
      <c r="J1285" s="23">
        <f t="shared" ca="1" si="200"/>
        <v>661</v>
      </c>
      <c r="K1285" s="23">
        <f t="shared" ca="1" si="201"/>
        <v>1035</v>
      </c>
      <c r="L1285" s="23">
        <f t="shared" ca="1" si="194"/>
        <v>66925</v>
      </c>
    </row>
    <row r="1286" spans="3:12">
      <c r="C1286" s="23">
        <f t="shared" si="192"/>
        <v>420</v>
      </c>
      <c r="D1286" s="23">
        <f t="shared" si="193"/>
        <v>168</v>
      </c>
      <c r="E1286" s="23">
        <f t="shared" si="195"/>
        <v>252</v>
      </c>
      <c r="F1286" s="23">
        <f t="shared" si="196"/>
        <v>700</v>
      </c>
      <c r="G1286" s="23">
        <f t="shared" ca="1" si="197"/>
        <v>190</v>
      </c>
      <c r="H1286" s="23">
        <f t="shared" ca="1" si="198"/>
        <v>706</v>
      </c>
      <c r="I1286" s="23">
        <f t="shared" ca="1" si="199"/>
        <v>358</v>
      </c>
      <c r="J1286" s="23">
        <f t="shared" ca="1" si="200"/>
        <v>706</v>
      </c>
      <c r="K1286" s="23">
        <f t="shared" ca="1" si="201"/>
        <v>1064</v>
      </c>
      <c r="L1286" s="23">
        <f t="shared" ca="1" si="194"/>
        <v>70840</v>
      </c>
    </row>
    <row r="1287" spans="3:12">
      <c r="C1287" s="23">
        <f t="shared" si="192"/>
        <v>420</v>
      </c>
      <c r="D1287" s="23">
        <f t="shared" si="193"/>
        <v>168</v>
      </c>
      <c r="E1287" s="23">
        <f t="shared" si="195"/>
        <v>252</v>
      </c>
      <c r="F1287" s="23">
        <f t="shared" si="196"/>
        <v>700</v>
      </c>
      <c r="G1287" s="23">
        <f t="shared" ca="1" si="197"/>
        <v>207</v>
      </c>
      <c r="H1287" s="23">
        <f t="shared" ca="1" si="198"/>
        <v>712</v>
      </c>
      <c r="I1287" s="23">
        <f t="shared" ca="1" si="199"/>
        <v>375</v>
      </c>
      <c r="J1287" s="23">
        <f t="shared" ca="1" si="200"/>
        <v>712</v>
      </c>
      <c r="K1287" s="23">
        <f t="shared" ca="1" si="201"/>
        <v>1087</v>
      </c>
      <c r="L1287" s="23">
        <f t="shared" ca="1" si="194"/>
        <v>73945</v>
      </c>
    </row>
    <row r="1288" spans="3:12">
      <c r="C1288" s="23">
        <f t="shared" si="192"/>
        <v>420</v>
      </c>
      <c r="D1288" s="23">
        <f t="shared" si="193"/>
        <v>168</v>
      </c>
      <c r="E1288" s="23">
        <f t="shared" si="195"/>
        <v>252</v>
      </c>
      <c r="F1288" s="23">
        <f t="shared" si="196"/>
        <v>700</v>
      </c>
      <c r="G1288" s="23">
        <f t="shared" ca="1" si="197"/>
        <v>184</v>
      </c>
      <c r="H1288" s="23">
        <f t="shared" ca="1" si="198"/>
        <v>738</v>
      </c>
      <c r="I1288" s="23">
        <f t="shared" ca="1" si="199"/>
        <v>352</v>
      </c>
      <c r="J1288" s="23">
        <f t="shared" ca="1" si="200"/>
        <v>738</v>
      </c>
      <c r="K1288" s="23">
        <f t="shared" ca="1" si="201"/>
        <v>1090</v>
      </c>
      <c r="L1288" s="23">
        <f t="shared" ca="1" si="194"/>
        <v>74350</v>
      </c>
    </row>
    <row r="1289" spans="3:12">
      <c r="C1289" s="23">
        <f t="shared" si="192"/>
        <v>420</v>
      </c>
      <c r="D1289" s="23">
        <f t="shared" si="193"/>
        <v>168</v>
      </c>
      <c r="E1289" s="23">
        <f t="shared" si="195"/>
        <v>252</v>
      </c>
      <c r="F1289" s="23">
        <f t="shared" si="196"/>
        <v>700</v>
      </c>
      <c r="G1289" s="23">
        <f t="shared" ca="1" si="197"/>
        <v>160</v>
      </c>
      <c r="H1289" s="23">
        <f t="shared" ca="1" si="198"/>
        <v>635</v>
      </c>
      <c r="I1289" s="23">
        <f t="shared" ca="1" si="199"/>
        <v>328</v>
      </c>
      <c r="J1289" s="23">
        <f t="shared" ca="1" si="200"/>
        <v>635</v>
      </c>
      <c r="K1289" s="23">
        <f t="shared" ca="1" si="201"/>
        <v>963</v>
      </c>
      <c r="L1289" s="23">
        <f t="shared" ca="1" si="194"/>
        <v>57205</v>
      </c>
    </row>
    <row r="1290" spans="3:12">
      <c r="C1290" s="23">
        <f t="shared" si="192"/>
        <v>420</v>
      </c>
      <c r="D1290" s="23">
        <f t="shared" si="193"/>
        <v>168</v>
      </c>
      <c r="E1290" s="23">
        <f t="shared" si="195"/>
        <v>252</v>
      </c>
      <c r="F1290" s="23">
        <f t="shared" si="196"/>
        <v>700</v>
      </c>
      <c r="G1290" s="23">
        <f t="shared" ca="1" si="197"/>
        <v>194</v>
      </c>
      <c r="H1290" s="23">
        <f t="shared" ca="1" si="198"/>
        <v>758</v>
      </c>
      <c r="I1290" s="23">
        <f t="shared" ca="1" si="199"/>
        <v>362</v>
      </c>
      <c r="J1290" s="23">
        <f t="shared" ca="1" si="200"/>
        <v>758</v>
      </c>
      <c r="K1290" s="23">
        <f t="shared" ca="1" si="201"/>
        <v>1120</v>
      </c>
      <c r="L1290" s="23">
        <f t="shared" ca="1" si="194"/>
        <v>78400</v>
      </c>
    </row>
    <row r="1291" spans="3:12">
      <c r="C1291" s="23">
        <f t="shared" si="192"/>
        <v>420</v>
      </c>
      <c r="D1291" s="23">
        <f t="shared" si="193"/>
        <v>168</v>
      </c>
      <c r="E1291" s="23">
        <f t="shared" si="195"/>
        <v>252</v>
      </c>
      <c r="F1291" s="23">
        <f t="shared" si="196"/>
        <v>700</v>
      </c>
      <c r="G1291" s="23">
        <f t="shared" ca="1" si="197"/>
        <v>229</v>
      </c>
      <c r="H1291" s="23">
        <f t="shared" ca="1" si="198"/>
        <v>594</v>
      </c>
      <c r="I1291" s="23">
        <f t="shared" ca="1" si="199"/>
        <v>397</v>
      </c>
      <c r="J1291" s="23">
        <f t="shared" ca="1" si="200"/>
        <v>594</v>
      </c>
      <c r="K1291" s="23">
        <f t="shared" ca="1" si="201"/>
        <v>991</v>
      </c>
      <c r="L1291" s="23">
        <f t="shared" ca="1" si="194"/>
        <v>60985</v>
      </c>
    </row>
    <row r="1292" spans="3:12">
      <c r="C1292" s="23">
        <f t="shared" ref="C1292:C1355" si="202">$B$4</f>
        <v>420</v>
      </c>
      <c r="D1292" s="23">
        <f t="shared" ref="D1292:D1355" si="203">$B$5</f>
        <v>168</v>
      </c>
      <c r="E1292" s="23">
        <f t="shared" si="195"/>
        <v>252</v>
      </c>
      <c r="F1292" s="23">
        <f t="shared" si="196"/>
        <v>700</v>
      </c>
      <c r="G1292" s="23">
        <f t="shared" ca="1" si="197"/>
        <v>227</v>
      </c>
      <c r="H1292" s="23">
        <f t="shared" ca="1" si="198"/>
        <v>588</v>
      </c>
      <c r="I1292" s="23">
        <f t="shared" ca="1" si="199"/>
        <v>395</v>
      </c>
      <c r="J1292" s="23">
        <f t="shared" ca="1" si="200"/>
        <v>588</v>
      </c>
      <c r="K1292" s="23">
        <f t="shared" ca="1" si="201"/>
        <v>983</v>
      </c>
      <c r="L1292" s="23">
        <f t="shared" ref="L1292:L1355" ca="1" si="204">K1292*$B$2-(F1292+C1292)*$B$1</f>
        <v>59905</v>
      </c>
    </row>
    <row r="1293" spans="3:12">
      <c r="C1293" s="23">
        <f t="shared" si="202"/>
        <v>420</v>
      </c>
      <c r="D1293" s="23">
        <f t="shared" si="203"/>
        <v>168</v>
      </c>
      <c r="E1293" s="23">
        <f t="shared" ref="E1293:E1356" si="205">MAX(0,C1293-D1293)</f>
        <v>252</v>
      </c>
      <c r="F1293" s="23">
        <f t="shared" ref="F1293:F1356" si="206">$E$8</f>
        <v>700</v>
      </c>
      <c r="G1293" s="23">
        <f t="shared" ref="G1293:G1356" ca="1" si="207">_xlfn.FLOOR.MATH(MAX(0,_xlfn.NORM.INV(RAND(),$B$6*$B$8,$B$3*($B$8+0.0001))))</f>
        <v>188</v>
      </c>
      <c r="H1293" s="23">
        <f t="shared" ref="H1293:H1356" ca="1" si="208">_xlfn.FLOOR.MATH(MAX(0,_xlfn.NORM.INV(RAND(),$B$6*(1-$B$8),$B$3*(1.00001-$B$8))))</f>
        <v>612</v>
      </c>
      <c r="I1293" s="23">
        <f t="shared" ref="I1293:I1356" ca="1" si="209">MIN(C1293,D1293+G1293)</f>
        <v>356</v>
      </c>
      <c r="J1293" s="23">
        <f t="shared" ref="J1293:J1356" ca="1" si="210">MIN(C1293-I1293+F1293,H1293)</f>
        <v>612</v>
      </c>
      <c r="K1293" s="23">
        <f t="shared" ref="K1293:K1356" ca="1" si="211">I1293+J1293</f>
        <v>968</v>
      </c>
      <c r="L1293" s="23">
        <f t="shared" ca="1" si="204"/>
        <v>57880</v>
      </c>
    </row>
    <row r="1294" spans="3:12">
      <c r="C1294" s="23">
        <f t="shared" si="202"/>
        <v>420</v>
      </c>
      <c r="D1294" s="23">
        <f t="shared" si="203"/>
        <v>168</v>
      </c>
      <c r="E1294" s="23">
        <f t="shared" si="205"/>
        <v>252</v>
      </c>
      <c r="F1294" s="23">
        <f t="shared" si="206"/>
        <v>700</v>
      </c>
      <c r="G1294" s="23">
        <f t="shared" ca="1" si="207"/>
        <v>227</v>
      </c>
      <c r="H1294" s="23">
        <f t="shared" ca="1" si="208"/>
        <v>507</v>
      </c>
      <c r="I1294" s="23">
        <f t="shared" ca="1" si="209"/>
        <v>395</v>
      </c>
      <c r="J1294" s="23">
        <f t="shared" ca="1" si="210"/>
        <v>507</v>
      </c>
      <c r="K1294" s="23">
        <f t="shared" ca="1" si="211"/>
        <v>902</v>
      </c>
      <c r="L1294" s="23">
        <f t="shared" ca="1" si="204"/>
        <v>48970</v>
      </c>
    </row>
    <row r="1295" spans="3:12">
      <c r="C1295" s="23">
        <f t="shared" si="202"/>
        <v>420</v>
      </c>
      <c r="D1295" s="23">
        <f t="shared" si="203"/>
        <v>168</v>
      </c>
      <c r="E1295" s="23">
        <f t="shared" si="205"/>
        <v>252</v>
      </c>
      <c r="F1295" s="23">
        <f t="shared" si="206"/>
        <v>700</v>
      </c>
      <c r="G1295" s="23">
        <f t="shared" ca="1" si="207"/>
        <v>203</v>
      </c>
      <c r="H1295" s="23">
        <f t="shared" ca="1" si="208"/>
        <v>679</v>
      </c>
      <c r="I1295" s="23">
        <f t="shared" ca="1" si="209"/>
        <v>371</v>
      </c>
      <c r="J1295" s="23">
        <f t="shared" ca="1" si="210"/>
        <v>679</v>
      </c>
      <c r="K1295" s="23">
        <f t="shared" ca="1" si="211"/>
        <v>1050</v>
      </c>
      <c r="L1295" s="23">
        <f t="shared" ca="1" si="204"/>
        <v>68950</v>
      </c>
    </row>
    <row r="1296" spans="3:12">
      <c r="C1296" s="23">
        <f t="shared" si="202"/>
        <v>420</v>
      </c>
      <c r="D1296" s="23">
        <f t="shared" si="203"/>
        <v>168</v>
      </c>
      <c r="E1296" s="23">
        <f t="shared" si="205"/>
        <v>252</v>
      </c>
      <c r="F1296" s="23">
        <f t="shared" si="206"/>
        <v>700</v>
      </c>
      <c r="G1296" s="23">
        <f t="shared" ca="1" si="207"/>
        <v>209</v>
      </c>
      <c r="H1296" s="23">
        <f t="shared" ca="1" si="208"/>
        <v>692</v>
      </c>
      <c r="I1296" s="23">
        <f t="shared" ca="1" si="209"/>
        <v>377</v>
      </c>
      <c r="J1296" s="23">
        <f t="shared" ca="1" si="210"/>
        <v>692</v>
      </c>
      <c r="K1296" s="23">
        <f t="shared" ca="1" si="211"/>
        <v>1069</v>
      </c>
      <c r="L1296" s="23">
        <f t="shared" ca="1" si="204"/>
        <v>71515</v>
      </c>
    </row>
    <row r="1297" spans="3:12">
      <c r="C1297" s="23">
        <f t="shared" si="202"/>
        <v>420</v>
      </c>
      <c r="D1297" s="23">
        <f t="shared" si="203"/>
        <v>168</v>
      </c>
      <c r="E1297" s="23">
        <f t="shared" si="205"/>
        <v>252</v>
      </c>
      <c r="F1297" s="23">
        <f t="shared" si="206"/>
        <v>700</v>
      </c>
      <c r="G1297" s="23">
        <f t="shared" ca="1" si="207"/>
        <v>207</v>
      </c>
      <c r="H1297" s="23">
        <f t="shared" ca="1" si="208"/>
        <v>676</v>
      </c>
      <c r="I1297" s="23">
        <f t="shared" ca="1" si="209"/>
        <v>375</v>
      </c>
      <c r="J1297" s="23">
        <f t="shared" ca="1" si="210"/>
        <v>676</v>
      </c>
      <c r="K1297" s="23">
        <f t="shared" ca="1" si="211"/>
        <v>1051</v>
      </c>
      <c r="L1297" s="23">
        <f t="shared" ca="1" si="204"/>
        <v>69085</v>
      </c>
    </row>
    <row r="1298" spans="3:12">
      <c r="C1298" s="23">
        <f t="shared" si="202"/>
        <v>420</v>
      </c>
      <c r="D1298" s="23">
        <f t="shared" si="203"/>
        <v>168</v>
      </c>
      <c r="E1298" s="23">
        <f t="shared" si="205"/>
        <v>252</v>
      </c>
      <c r="F1298" s="23">
        <f t="shared" si="206"/>
        <v>700</v>
      </c>
      <c r="G1298" s="23">
        <f t="shared" ca="1" si="207"/>
        <v>167</v>
      </c>
      <c r="H1298" s="23">
        <f t="shared" ca="1" si="208"/>
        <v>693</v>
      </c>
      <c r="I1298" s="23">
        <f t="shared" ca="1" si="209"/>
        <v>335</v>
      </c>
      <c r="J1298" s="23">
        <f t="shared" ca="1" si="210"/>
        <v>693</v>
      </c>
      <c r="K1298" s="23">
        <f t="shared" ca="1" si="211"/>
        <v>1028</v>
      </c>
      <c r="L1298" s="23">
        <f t="shared" ca="1" si="204"/>
        <v>65980</v>
      </c>
    </row>
    <row r="1299" spans="3:12">
      <c r="C1299" s="23">
        <f t="shared" si="202"/>
        <v>420</v>
      </c>
      <c r="D1299" s="23">
        <f t="shared" si="203"/>
        <v>168</v>
      </c>
      <c r="E1299" s="23">
        <f t="shared" si="205"/>
        <v>252</v>
      </c>
      <c r="F1299" s="23">
        <f t="shared" si="206"/>
        <v>700</v>
      </c>
      <c r="G1299" s="23">
        <f t="shared" ca="1" si="207"/>
        <v>210</v>
      </c>
      <c r="H1299" s="23">
        <f t="shared" ca="1" si="208"/>
        <v>615</v>
      </c>
      <c r="I1299" s="23">
        <f t="shared" ca="1" si="209"/>
        <v>378</v>
      </c>
      <c r="J1299" s="23">
        <f t="shared" ca="1" si="210"/>
        <v>615</v>
      </c>
      <c r="K1299" s="23">
        <f t="shared" ca="1" si="211"/>
        <v>993</v>
      </c>
      <c r="L1299" s="23">
        <f t="shared" ca="1" si="204"/>
        <v>61255</v>
      </c>
    </row>
    <row r="1300" spans="3:12">
      <c r="C1300" s="23">
        <f t="shared" si="202"/>
        <v>420</v>
      </c>
      <c r="D1300" s="23">
        <f t="shared" si="203"/>
        <v>168</v>
      </c>
      <c r="E1300" s="23">
        <f t="shared" si="205"/>
        <v>252</v>
      </c>
      <c r="F1300" s="23">
        <f t="shared" si="206"/>
        <v>700</v>
      </c>
      <c r="G1300" s="23">
        <f t="shared" ca="1" si="207"/>
        <v>237</v>
      </c>
      <c r="H1300" s="23">
        <f t="shared" ca="1" si="208"/>
        <v>769</v>
      </c>
      <c r="I1300" s="23">
        <f t="shared" ca="1" si="209"/>
        <v>405</v>
      </c>
      <c r="J1300" s="23">
        <f t="shared" ca="1" si="210"/>
        <v>715</v>
      </c>
      <c r="K1300" s="23">
        <f t="shared" ca="1" si="211"/>
        <v>1120</v>
      </c>
      <c r="L1300" s="23">
        <f t="shared" ca="1" si="204"/>
        <v>78400</v>
      </c>
    </row>
    <row r="1301" spans="3:12">
      <c r="C1301" s="23">
        <f t="shared" si="202"/>
        <v>420</v>
      </c>
      <c r="D1301" s="23">
        <f t="shared" si="203"/>
        <v>168</v>
      </c>
      <c r="E1301" s="23">
        <f t="shared" si="205"/>
        <v>252</v>
      </c>
      <c r="F1301" s="23">
        <f t="shared" si="206"/>
        <v>700</v>
      </c>
      <c r="G1301" s="23">
        <f t="shared" ca="1" si="207"/>
        <v>185</v>
      </c>
      <c r="H1301" s="23">
        <f t="shared" ca="1" si="208"/>
        <v>664</v>
      </c>
      <c r="I1301" s="23">
        <f t="shared" ca="1" si="209"/>
        <v>353</v>
      </c>
      <c r="J1301" s="23">
        <f t="shared" ca="1" si="210"/>
        <v>664</v>
      </c>
      <c r="K1301" s="23">
        <f t="shared" ca="1" si="211"/>
        <v>1017</v>
      </c>
      <c r="L1301" s="23">
        <f t="shared" ca="1" si="204"/>
        <v>64495</v>
      </c>
    </row>
    <row r="1302" spans="3:12">
      <c r="C1302" s="23">
        <f t="shared" si="202"/>
        <v>420</v>
      </c>
      <c r="D1302" s="23">
        <f t="shared" si="203"/>
        <v>168</v>
      </c>
      <c r="E1302" s="23">
        <f t="shared" si="205"/>
        <v>252</v>
      </c>
      <c r="F1302" s="23">
        <f t="shared" si="206"/>
        <v>700</v>
      </c>
      <c r="G1302" s="23">
        <f t="shared" ca="1" si="207"/>
        <v>192</v>
      </c>
      <c r="H1302" s="23">
        <f t="shared" ca="1" si="208"/>
        <v>634</v>
      </c>
      <c r="I1302" s="23">
        <f t="shared" ca="1" si="209"/>
        <v>360</v>
      </c>
      <c r="J1302" s="23">
        <f t="shared" ca="1" si="210"/>
        <v>634</v>
      </c>
      <c r="K1302" s="23">
        <f t="shared" ca="1" si="211"/>
        <v>994</v>
      </c>
      <c r="L1302" s="23">
        <f t="shared" ca="1" si="204"/>
        <v>61390</v>
      </c>
    </row>
    <row r="1303" spans="3:12">
      <c r="C1303" s="23">
        <f t="shared" si="202"/>
        <v>420</v>
      </c>
      <c r="D1303" s="23">
        <f t="shared" si="203"/>
        <v>168</v>
      </c>
      <c r="E1303" s="23">
        <f t="shared" si="205"/>
        <v>252</v>
      </c>
      <c r="F1303" s="23">
        <f t="shared" si="206"/>
        <v>700</v>
      </c>
      <c r="G1303" s="23">
        <f t="shared" ca="1" si="207"/>
        <v>215</v>
      </c>
      <c r="H1303" s="23">
        <f t="shared" ca="1" si="208"/>
        <v>500</v>
      </c>
      <c r="I1303" s="23">
        <f t="shared" ca="1" si="209"/>
        <v>383</v>
      </c>
      <c r="J1303" s="23">
        <f t="shared" ca="1" si="210"/>
        <v>500</v>
      </c>
      <c r="K1303" s="23">
        <f t="shared" ca="1" si="211"/>
        <v>883</v>
      </c>
      <c r="L1303" s="23">
        <f t="shared" ca="1" si="204"/>
        <v>46405</v>
      </c>
    </row>
    <row r="1304" spans="3:12">
      <c r="C1304" s="23">
        <f t="shared" si="202"/>
        <v>420</v>
      </c>
      <c r="D1304" s="23">
        <f t="shared" si="203"/>
        <v>168</v>
      </c>
      <c r="E1304" s="23">
        <f t="shared" si="205"/>
        <v>252</v>
      </c>
      <c r="F1304" s="23">
        <f t="shared" si="206"/>
        <v>700</v>
      </c>
      <c r="G1304" s="23">
        <f t="shared" ca="1" si="207"/>
        <v>221</v>
      </c>
      <c r="H1304" s="23">
        <f t="shared" ca="1" si="208"/>
        <v>600</v>
      </c>
      <c r="I1304" s="23">
        <f t="shared" ca="1" si="209"/>
        <v>389</v>
      </c>
      <c r="J1304" s="23">
        <f t="shared" ca="1" si="210"/>
        <v>600</v>
      </c>
      <c r="K1304" s="23">
        <f t="shared" ca="1" si="211"/>
        <v>989</v>
      </c>
      <c r="L1304" s="23">
        <f t="shared" ca="1" si="204"/>
        <v>60715</v>
      </c>
    </row>
    <row r="1305" spans="3:12">
      <c r="C1305" s="23">
        <f t="shared" si="202"/>
        <v>420</v>
      </c>
      <c r="D1305" s="23">
        <f t="shared" si="203"/>
        <v>168</v>
      </c>
      <c r="E1305" s="23">
        <f t="shared" si="205"/>
        <v>252</v>
      </c>
      <c r="F1305" s="23">
        <f t="shared" si="206"/>
        <v>700</v>
      </c>
      <c r="G1305" s="23">
        <f t="shared" ca="1" si="207"/>
        <v>187</v>
      </c>
      <c r="H1305" s="23">
        <f t="shared" ca="1" si="208"/>
        <v>680</v>
      </c>
      <c r="I1305" s="23">
        <f t="shared" ca="1" si="209"/>
        <v>355</v>
      </c>
      <c r="J1305" s="23">
        <f t="shared" ca="1" si="210"/>
        <v>680</v>
      </c>
      <c r="K1305" s="23">
        <f t="shared" ca="1" si="211"/>
        <v>1035</v>
      </c>
      <c r="L1305" s="23">
        <f t="shared" ca="1" si="204"/>
        <v>66925</v>
      </c>
    </row>
    <row r="1306" spans="3:12">
      <c r="C1306" s="23">
        <f t="shared" si="202"/>
        <v>420</v>
      </c>
      <c r="D1306" s="23">
        <f t="shared" si="203"/>
        <v>168</v>
      </c>
      <c r="E1306" s="23">
        <f t="shared" si="205"/>
        <v>252</v>
      </c>
      <c r="F1306" s="23">
        <f t="shared" si="206"/>
        <v>700</v>
      </c>
      <c r="G1306" s="23">
        <f t="shared" ca="1" si="207"/>
        <v>181</v>
      </c>
      <c r="H1306" s="23">
        <f t="shared" ca="1" si="208"/>
        <v>798</v>
      </c>
      <c r="I1306" s="23">
        <f t="shared" ca="1" si="209"/>
        <v>349</v>
      </c>
      <c r="J1306" s="23">
        <f t="shared" ca="1" si="210"/>
        <v>771</v>
      </c>
      <c r="K1306" s="23">
        <f t="shared" ca="1" si="211"/>
        <v>1120</v>
      </c>
      <c r="L1306" s="23">
        <f t="shared" ca="1" si="204"/>
        <v>78400</v>
      </c>
    </row>
    <row r="1307" spans="3:12">
      <c r="C1307" s="23">
        <f t="shared" si="202"/>
        <v>420</v>
      </c>
      <c r="D1307" s="23">
        <f t="shared" si="203"/>
        <v>168</v>
      </c>
      <c r="E1307" s="23">
        <f t="shared" si="205"/>
        <v>252</v>
      </c>
      <c r="F1307" s="23">
        <f t="shared" si="206"/>
        <v>700</v>
      </c>
      <c r="G1307" s="23">
        <f t="shared" ca="1" si="207"/>
        <v>212</v>
      </c>
      <c r="H1307" s="23">
        <f t="shared" ca="1" si="208"/>
        <v>658</v>
      </c>
      <c r="I1307" s="23">
        <f t="shared" ca="1" si="209"/>
        <v>380</v>
      </c>
      <c r="J1307" s="23">
        <f t="shared" ca="1" si="210"/>
        <v>658</v>
      </c>
      <c r="K1307" s="23">
        <f t="shared" ca="1" si="211"/>
        <v>1038</v>
      </c>
      <c r="L1307" s="23">
        <f t="shared" ca="1" si="204"/>
        <v>67330</v>
      </c>
    </row>
    <row r="1308" spans="3:12">
      <c r="C1308" s="23">
        <f t="shared" si="202"/>
        <v>420</v>
      </c>
      <c r="D1308" s="23">
        <f t="shared" si="203"/>
        <v>168</v>
      </c>
      <c r="E1308" s="23">
        <f t="shared" si="205"/>
        <v>252</v>
      </c>
      <c r="F1308" s="23">
        <f t="shared" si="206"/>
        <v>700</v>
      </c>
      <c r="G1308" s="23">
        <f t="shared" ca="1" si="207"/>
        <v>189</v>
      </c>
      <c r="H1308" s="23">
        <f t="shared" ca="1" si="208"/>
        <v>561</v>
      </c>
      <c r="I1308" s="23">
        <f t="shared" ca="1" si="209"/>
        <v>357</v>
      </c>
      <c r="J1308" s="23">
        <f t="shared" ca="1" si="210"/>
        <v>561</v>
      </c>
      <c r="K1308" s="23">
        <f t="shared" ca="1" si="211"/>
        <v>918</v>
      </c>
      <c r="L1308" s="23">
        <f t="shared" ca="1" si="204"/>
        <v>51130</v>
      </c>
    </row>
    <row r="1309" spans="3:12">
      <c r="C1309" s="23">
        <f t="shared" si="202"/>
        <v>420</v>
      </c>
      <c r="D1309" s="23">
        <f t="shared" si="203"/>
        <v>168</v>
      </c>
      <c r="E1309" s="23">
        <f t="shared" si="205"/>
        <v>252</v>
      </c>
      <c r="F1309" s="23">
        <f t="shared" si="206"/>
        <v>700</v>
      </c>
      <c r="G1309" s="23">
        <f t="shared" ca="1" si="207"/>
        <v>217</v>
      </c>
      <c r="H1309" s="23">
        <f t="shared" ca="1" si="208"/>
        <v>592</v>
      </c>
      <c r="I1309" s="23">
        <f t="shared" ca="1" si="209"/>
        <v>385</v>
      </c>
      <c r="J1309" s="23">
        <f t="shared" ca="1" si="210"/>
        <v>592</v>
      </c>
      <c r="K1309" s="23">
        <f t="shared" ca="1" si="211"/>
        <v>977</v>
      </c>
      <c r="L1309" s="23">
        <f t="shared" ca="1" si="204"/>
        <v>59095</v>
      </c>
    </row>
    <row r="1310" spans="3:12">
      <c r="C1310" s="23">
        <f t="shared" si="202"/>
        <v>420</v>
      </c>
      <c r="D1310" s="23">
        <f t="shared" si="203"/>
        <v>168</v>
      </c>
      <c r="E1310" s="23">
        <f t="shared" si="205"/>
        <v>252</v>
      </c>
      <c r="F1310" s="23">
        <f t="shared" si="206"/>
        <v>700</v>
      </c>
      <c r="G1310" s="23">
        <f t="shared" ca="1" si="207"/>
        <v>237</v>
      </c>
      <c r="H1310" s="23">
        <f t="shared" ca="1" si="208"/>
        <v>614</v>
      </c>
      <c r="I1310" s="23">
        <f t="shared" ca="1" si="209"/>
        <v>405</v>
      </c>
      <c r="J1310" s="23">
        <f t="shared" ca="1" si="210"/>
        <v>614</v>
      </c>
      <c r="K1310" s="23">
        <f t="shared" ca="1" si="211"/>
        <v>1019</v>
      </c>
      <c r="L1310" s="23">
        <f t="shared" ca="1" si="204"/>
        <v>64765</v>
      </c>
    </row>
    <row r="1311" spans="3:12">
      <c r="C1311" s="23">
        <f t="shared" si="202"/>
        <v>420</v>
      </c>
      <c r="D1311" s="23">
        <f t="shared" si="203"/>
        <v>168</v>
      </c>
      <c r="E1311" s="23">
        <f t="shared" si="205"/>
        <v>252</v>
      </c>
      <c r="F1311" s="23">
        <f t="shared" si="206"/>
        <v>700</v>
      </c>
      <c r="G1311" s="23">
        <f t="shared" ca="1" si="207"/>
        <v>240</v>
      </c>
      <c r="H1311" s="23">
        <f t="shared" ca="1" si="208"/>
        <v>620</v>
      </c>
      <c r="I1311" s="23">
        <f t="shared" ca="1" si="209"/>
        <v>408</v>
      </c>
      <c r="J1311" s="23">
        <f t="shared" ca="1" si="210"/>
        <v>620</v>
      </c>
      <c r="K1311" s="23">
        <f t="shared" ca="1" si="211"/>
        <v>1028</v>
      </c>
      <c r="L1311" s="23">
        <f t="shared" ca="1" si="204"/>
        <v>65980</v>
      </c>
    </row>
    <row r="1312" spans="3:12">
      <c r="C1312" s="23">
        <f t="shared" si="202"/>
        <v>420</v>
      </c>
      <c r="D1312" s="23">
        <f t="shared" si="203"/>
        <v>168</v>
      </c>
      <c r="E1312" s="23">
        <f t="shared" si="205"/>
        <v>252</v>
      </c>
      <c r="F1312" s="23">
        <f t="shared" si="206"/>
        <v>700</v>
      </c>
      <c r="G1312" s="23">
        <f t="shared" ca="1" si="207"/>
        <v>230</v>
      </c>
      <c r="H1312" s="23">
        <f t="shared" ca="1" si="208"/>
        <v>793</v>
      </c>
      <c r="I1312" s="23">
        <f t="shared" ca="1" si="209"/>
        <v>398</v>
      </c>
      <c r="J1312" s="23">
        <f t="shared" ca="1" si="210"/>
        <v>722</v>
      </c>
      <c r="K1312" s="23">
        <f t="shared" ca="1" si="211"/>
        <v>1120</v>
      </c>
      <c r="L1312" s="23">
        <f t="shared" ca="1" si="204"/>
        <v>78400</v>
      </c>
    </row>
    <row r="1313" spans="3:12">
      <c r="C1313" s="23">
        <f t="shared" si="202"/>
        <v>420</v>
      </c>
      <c r="D1313" s="23">
        <f t="shared" si="203"/>
        <v>168</v>
      </c>
      <c r="E1313" s="23">
        <f t="shared" si="205"/>
        <v>252</v>
      </c>
      <c r="F1313" s="23">
        <f t="shared" si="206"/>
        <v>700</v>
      </c>
      <c r="G1313" s="23">
        <f t="shared" ca="1" si="207"/>
        <v>248</v>
      </c>
      <c r="H1313" s="23">
        <f t="shared" ca="1" si="208"/>
        <v>609</v>
      </c>
      <c r="I1313" s="23">
        <f t="shared" ca="1" si="209"/>
        <v>416</v>
      </c>
      <c r="J1313" s="23">
        <f t="shared" ca="1" si="210"/>
        <v>609</v>
      </c>
      <c r="K1313" s="23">
        <f t="shared" ca="1" si="211"/>
        <v>1025</v>
      </c>
      <c r="L1313" s="23">
        <f t="shared" ca="1" si="204"/>
        <v>65575</v>
      </c>
    </row>
    <row r="1314" spans="3:12">
      <c r="C1314" s="23">
        <f t="shared" si="202"/>
        <v>420</v>
      </c>
      <c r="D1314" s="23">
        <f t="shared" si="203"/>
        <v>168</v>
      </c>
      <c r="E1314" s="23">
        <f t="shared" si="205"/>
        <v>252</v>
      </c>
      <c r="F1314" s="23">
        <f t="shared" si="206"/>
        <v>700</v>
      </c>
      <c r="G1314" s="23">
        <f t="shared" ca="1" si="207"/>
        <v>201</v>
      </c>
      <c r="H1314" s="23">
        <f t="shared" ca="1" si="208"/>
        <v>553</v>
      </c>
      <c r="I1314" s="23">
        <f t="shared" ca="1" si="209"/>
        <v>369</v>
      </c>
      <c r="J1314" s="23">
        <f t="shared" ca="1" si="210"/>
        <v>553</v>
      </c>
      <c r="K1314" s="23">
        <f t="shared" ca="1" si="211"/>
        <v>922</v>
      </c>
      <c r="L1314" s="23">
        <f t="shared" ca="1" si="204"/>
        <v>51670</v>
      </c>
    </row>
    <row r="1315" spans="3:12">
      <c r="C1315" s="23">
        <f t="shared" si="202"/>
        <v>420</v>
      </c>
      <c r="D1315" s="23">
        <f t="shared" si="203"/>
        <v>168</v>
      </c>
      <c r="E1315" s="23">
        <f t="shared" si="205"/>
        <v>252</v>
      </c>
      <c r="F1315" s="23">
        <f t="shared" si="206"/>
        <v>700</v>
      </c>
      <c r="G1315" s="23">
        <f t="shared" ca="1" si="207"/>
        <v>226</v>
      </c>
      <c r="H1315" s="23">
        <f t="shared" ca="1" si="208"/>
        <v>607</v>
      </c>
      <c r="I1315" s="23">
        <f t="shared" ca="1" si="209"/>
        <v>394</v>
      </c>
      <c r="J1315" s="23">
        <f t="shared" ca="1" si="210"/>
        <v>607</v>
      </c>
      <c r="K1315" s="23">
        <f t="shared" ca="1" si="211"/>
        <v>1001</v>
      </c>
      <c r="L1315" s="23">
        <f t="shared" ca="1" si="204"/>
        <v>62335</v>
      </c>
    </row>
    <row r="1316" spans="3:12">
      <c r="C1316" s="23">
        <f t="shared" si="202"/>
        <v>420</v>
      </c>
      <c r="D1316" s="23">
        <f t="shared" si="203"/>
        <v>168</v>
      </c>
      <c r="E1316" s="23">
        <f t="shared" si="205"/>
        <v>252</v>
      </c>
      <c r="F1316" s="23">
        <f t="shared" si="206"/>
        <v>700</v>
      </c>
      <c r="G1316" s="23">
        <f t="shared" ca="1" si="207"/>
        <v>205</v>
      </c>
      <c r="H1316" s="23">
        <f t="shared" ca="1" si="208"/>
        <v>728</v>
      </c>
      <c r="I1316" s="23">
        <f t="shared" ca="1" si="209"/>
        <v>373</v>
      </c>
      <c r="J1316" s="23">
        <f t="shared" ca="1" si="210"/>
        <v>728</v>
      </c>
      <c r="K1316" s="23">
        <f t="shared" ca="1" si="211"/>
        <v>1101</v>
      </c>
      <c r="L1316" s="23">
        <f t="shared" ca="1" si="204"/>
        <v>75835</v>
      </c>
    </row>
    <row r="1317" spans="3:12">
      <c r="C1317" s="23">
        <f t="shared" si="202"/>
        <v>420</v>
      </c>
      <c r="D1317" s="23">
        <f t="shared" si="203"/>
        <v>168</v>
      </c>
      <c r="E1317" s="23">
        <f t="shared" si="205"/>
        <v>252</v>
      </c>
      <c r="F1317" s="23">
        <f t="shared" si="206"/>
        <v>700</v>
      </c>
      <c r="G1317" s="23">
        <f t="shared" ca="1" si="207"/>
        <v>253</v>
      </c>
      <c r="H1317" s="23">
        <f t="shared" ca="1" si="208"/>
        <v>656</v>
      </c>
      <c r="I1317" s="23">
        <f t="shared" ca="1" si="209"/>
        <v>420</v>
      </c>
      <c r="J1317" s="23">
        <f t="shared" ca="1" si="210"/>
        <v>656</v>
      </c>
      <c r="K1317" s="23">
        <f t="shared" ca="1" si="211"/>
        <v>1076</v>
      </c>
      <c r="L1317" s="23">
        <f t="shared" ca="1" si="204"/>
        <v>72460</v>
      </c>
    </row>
    <row r="1318" spans="3:12">
      <c r="C1318" s="23">
        <f t="shared" si="202"/>
        <v>420</v>
      </c>
      <c r="D1318" s="23">
        <f t="shared" si="203"/>
        <v>168</v>
      </c>
      <c r="E1318" s="23">
        <f t="shared" si="205"/>
        <v>252</v>
      </c>
      <c r="F1318" s="23">
        <f t="shared" si="206"/>
        <v>700</v>
      </c>
      <c r="G1318" s="23">
        <f t="shared" ca="1" si="207"/>
        <v>207</v>
      </c>
      <c r="H1318" s="23">
        <f t="shared" ca="1" si="208"/>
        <v>613</v>
      </c>
      <c r="I1318" s="23">
        <f t="shared" ca="1" si="209"/>
        <v>375</v>
      </c>
      <c r="J1318" s="23">
        <f t="shared" ca="1" si="210"/>
        <v>613</v>
      </c>
      <c r="K1318" s="23">
        <f t="shared" ca="1" si="211"/>
        <v>988</v>
      </c>
      <c r="L1318" s="23">
        <f t="shared" ca="1" si="204"/>
        <v>60580</v>
      </c>
    </row>
    <row r="1319" spans="3:12">
      <c r="C1319" s="23">
        <f t="shared" si="202"/>
        <v>420</v>
      </c>
      <c r="D1319" s="23">
        <f t="shared" si="203"/>
        <v>168</v>
      </c>
      <c r="E1319" s="23">
        <f t="shared" si="205"/>
        <v>252</v>
      </c>
      <c r="F1319" s="23">
        <f t="shared" si="206"/>
        <v>700</v>
      </c>
      <c r="G1319" s="23">
        <f t="shared" ca="1" si="207"/>
        <v>241</v>
      </c>
      <c r="H1319" s="23">
        <f t="shared" ca="1" si="208"/>
        <v>541</v>
      </c>
      <c r="I1319" s="23">
        <f t="shared" ca="1" si="209"/>
        <v>409</v>
      </c>
      <c r="J1319" s="23">
        <f t="shared" ca="1" si="210"/>
        <v>541</v>
      </c>
      <c r="K1319" s="23">
        <f t="shared" ca="1" si="211"/>
        <v>950</v>
      </c>
      <c r="L1319" s="23">
        <f t="shared" ca="1" si="204"/>
        <v>55450</v>
      </c>
    </row>
    <row r="1320" spans="3:12">
      <c r="C1320" s="23">
        <f t="shared" si="202"/>
        <v>420</v>
      </c>
      <c r="D1320" s="23">
        <f t="shared" si="203"/>
        <v>168</v>
      </c>
      <c r="E1320" s="23">
        <f t="shared" si="205"/>
        <v>252</v>
      </c>
      <c r="F1320" s="23">
        <f t="shared" si="206"/>
        <v>700</v>
      </c>
      <c r="G1320" s="23">
        <f t="shared" ca="1" si="207"/>
        <v>202</v>
      </c>
      <c r="H1320" s="23">
        <f t="shared" ca="1" si="208"/>
        <v>545</v>
      </c>
      <c r="I1320" s="23">
        <f t="shared" ca="1" si="209"/>
        <v>370</v>
      </c>
      <c r="J1320" s="23">
        <f t="shared" ca="1" si="210"/>
        <v>545</v>
      </c>
      <c r="K1320" s="23">
        <f t="shared" ca="1" si="211"/>
        <v>915</v>
      </c>
      <c r="L1320" s="23">
        <f t="shared" ca="1" si="204"/>
        <v>50725</v>
      </c>
    </row>
    <row r="1321" spans="3:12">
      <c r="C1321" s="23">
        <f t="shared" si="202"/>
        <v>420</v>
      </c>
      <c r="D1321" s="23">
        <f t="shared" si="203"/>
        <v>168</v>
      </c>
      <c r="E1321" s="23">
        <f t="shared" si="205"/>
        <v>252</v>
      </c>
      <c r="F1321" s="23">
        <f t="shared" si="206"/>
        <v>700</v>
      </c>
      <c r="G1321" s="23">
        <f t="shared" ca="1" si="207"/>
        <v>202</v>
      </c>
      <c r="H1321" s="23">
        <f t="shared" ca="1" si="208"/>
        <v>634</v>
      </c>
      <c r="I1321" s="23">
        <f t="shared" ca="1" si="209"/>
        <v>370</v>
      </c>
      <c r="J1321" s="23">
        <f t="shared" ca="1" si="210"/>
        <v>634</v>
      </c>
      <c r="K1321" s="23">
        <f t="shared" ca="1" si="211"/>
        <v>1004</v>
      </c>
      <c r="L1321" s="23">
        <f t="shared" ca="1" si="204"/>
        <v>62740</v>
      </c>
    </row>
    <row r="1322" spans="3:12">
      <c r="C1322" s="23">
        <f t="shared" si="202"/>
        <v>420</v>
      </c>
      <c r="D1322" s="23">
        <f t="shared" si="203"/>
        <v>168</v>
      </c>
      <c r="E1322" s="23">
        <f t="shared" si="205"/>
        <v>252</v>
      </c>
      <c r="F1322" s="23">
        <f t="shared" si="206"/>
        <v>700</v>
      </c>
      <c r="G1322" s="23">
        <f t="shared" ca="1" si="207"/>
        <v>173</v>
      </c>
      <c r="H1322" s="23">
        <f t="shared" ca="1" si="208"/>
        <v>651</v>
      </c>
      <c r="I1322" s="23">
        <f t="shared" ca="1" si="209"/>
        <v>341</v>
      </c>
      <c r="J1322" s="23">
        <f t="shared" ca="1" si="210"/>
        <v>651</v>
      </c>
      <c r="K1322" s="23">
        <f t="shared" ca="1" si="211"/>
        <v>992</v>
      </c>
      <c r="L1322" s="23">
        <f t="shared" ca="1" si="204"/>
        <v>61120</v>
      </c>
    </row>
    <row r="1323" spans="3:12">
      <c r="C1323" s="23">
        <f t="shared" si="202"/>
        <v>420</v>
      </c>
      <c r="D1323" s="23">
        <f t="shared" si="203"/>
        <v>168</v>
      </c>
      <c r="E1323" s="23">
        <f t="shared" si="205"/>
        <v>252</v>
      </c>
      <c r="F1323" s="23">
        <f t="shared" si="206"/>
        <v>700</v>
      </c>
      <c r="G1323" s="23">
        <f t="shared" ca="1" si="207"/>
        <v>218</v>
      </c>
      <c r="H1323" s="23">
        <f t="shared" ca="1" si="208"/>
        <v>668</v>
      </c>
      <c r="I1323" s="23">
        <f t="shared" ca="1" si="209"/>
        <v>386</v>
      </c>
      <c r="J1323" s="23">
        <f t="shared" ca="1" si="210"/>
        <v>668</v>
      </c>
      <c r="K1323" s="23">
        <f t="shared" ca="1" si="211"/>
        <v>1054</v>
      </c>
      <c r="L1323" s="23">
        <f t="shared" ca="1" si="204"/>
        <v>69490</v>
      </c>
    </row>
    <row r="1324" spans="3:12">
      <c r="C1324" s="23">
        <f t="shared" si="202"/>
        <v>420</v>
      </c>
      <c r="D1324" s="23">
        <f t="shared" si="203"/>
        <v>168</v>
      </c>
      <c r="E1324" s="23">
        <f t="shared" si="205"/>
        <v>252</v>
      </c>
      <c r="F1324" s="23">
        <f t="shared" si="206"/>
        <v>700</v>
      </c>
      <c r="G1324" s="23">
        <f t="shared" ca="1" si="207"/>
        <v>224</v>
      </c>
      <c r="H1324" s="23">
        <f t="shared" ca="1" si="208"/>
        <v>534</v>
      </c>
      <c r="I1324" s="23">
        <f t="shared" ca="1" si="209"/>
        <v>392</v>
      </c>
      <c r="J1324" s="23">
        <f t="shared" ca="1" si="210"/>
        <v>534</v>
      </c>
      <c r="K1324" s="23">
        <f t="shared" ca="1" si="211"/>
        <v>926</v>
      </c>
      <c r="L1324" s="23">
        <f t="shared" ca="1" si="204"/>
        <v>52210</v>
      </c>
    </row>
    <row r="1325" spans="3:12">
      <c r="C1325" s="23">
        <f t="shared" si="202"/>
        <v>420</v>
      </c>
      <c r="D1325" s="23">
        <f t="shared" si="203"/>
        <v>168</v>
      </c>
      <c r="E1325" s="23">
        <f t="shared" si="205"/>
        <v>252</v>
      </c>
      <c r="F1325" s="23">
        <f t="shared" si="206"/>
        <v>700</v>
      </c>
      <c r="G1325" s="23">
        <f t="shared" ca="1" si="207"/>
        <v>232</v>
      </c>
      <c r="H1325" s="23">
        <f t="shared" ca="1" si="208"/>
        <v>794</v>
      </c>
      <c r="I1325" s="23">
        <f t="shared" ca="1" si="209"/>
        <v>400</v>
      </c>
      <c r="J1325" s="23">
        <f t="shared" ca="1" si="210"/>
        <v>720</v>
      </c>
      <c r="K1325" s="23">
        <f t="shared" ca="1" si="211"/>
        <v>1120</v>
      </c>
      <c r="L1325" s="23">
        <f t="shared" ca="1" si="204"/>
        <v>78400</v>
      </c>
    </row>
    <row r="1326" spans="3:12">
      <c r="C1326" s="23">
        <f t="shared" si="202"/>
        <v>420</v>
      </c>
      <c r="D1326" s="23">
        <f t="shared" si="203"/>
        <v>168</v>
      </c>
      <c r="E1326" s="23">
        <f t="shared" si="205"/>
        <v>252</v>
      </c>
      <c r="F1326" s="23">
        <f t="shared" si="206"/>
        <v>700</v>
      </c>
      <c r="G1326" s="23">
        <f t="shared" ca="1" si="207"/>
        <v>228</v>
      </c>
      <c r="H1326" s="23">
        <f t="shared" ca="1" si="208"/>
        <v>599</v>
      </c>
      <c r="I1326" s="23">
        <f t="shared" ca="1" si="209"/>
        <v>396</v>
      </c>
      <c r="J1326" s="23">
        <f t="shared" ca="1" si="210"/>
        <v>599</v>
      </c>
      <c r="K1326" s="23">
        <f t="shared" ca="1" si="211"/>
        <v>995</v>
      </c>
      <c r="L1326" s="23">
        <f t="shared" ca="1" si="204"/>
        <v>61525</v>
      </c>
    </row>
    <row r="1327" spans="3:12">
      <c r="C1327" s="23">
        <f t="shared" si="202"/>
        <v>420</v>
      </c>
      <c r="D1327" s="23">
        <f t="shared" si="203"/>
        <v>168</v>
      </c>
      <c r="E1327" s="23">
        <f t="shared" si="205"/>
        <v>252</v>
      </c>
      <c r="F1327" s="23">
        <f t="shared" si="206"/>
        <v>700</v>
      </c>
      <c r="G1327" s="23">
        <f t="shared" ca="1" si="207"/>
        <v>189</v>
      </c>
      <c r="H1327" s="23">
        <f t="shared" ca="1" si="208"/>
        <v>619</v>
      </c>
      <c r="I1327" s="23">
        <f t="shared" ca="1" si="209"/>
        <v>357</v>
      </c>
      <c r="J1327" s="23">
        <f t="shared" ca="1" si="210"/>
        <v>619</v>
      </c>
      <c r="K1327" s="23">
        <f t="shared" ca="1" si="211"/>
        <v>976</v>
      </c>
      <c r="L1327" s="23">
        <f t="shared" ca="1" si="204"/>
        <v>58960</v>
      </c>
    </row>
    <row r="1328" spans="3:12">
      <c r="C1328" s="23">
        <f t="shared" si="202"/>
        <v>420</v>
      </c>
      <c r="D1328" s="23">
        <f t="shared" si="203"/>
        <v>168</v>
      </c>
      <c r="E1328" s="23">
        <f t="shared" si="205"/>
        <v>252</v>
      </c>
      <c r="F1328" s="23">
        <f t="shared" si="206"/>
        <v>700</v>
      </c>
      <c r="G1328" s="23">
        <f t="shared" ca="1" si="207"/>
        <v>225</v>
      </c>
      <c r="H1328" s="23">
        <f t="shared" ca="1" si="208"/>
        <v>530</v>
      </c>
      <c r="I1328" s="23">
        <f t="shared" ca="1" si="209"/>
        <v>393</v>
      </c>
      <c r="J1328" s="23">
        <f t="shared" ca="1" si="210"/>
        <v>530</v>
      </c>
      <c r="K1328" s="23">
        <f t="shared" ca="1" si="211"/>
        <v>923</v>
      </c>
      <c r="L1328" s="23">
        <f t="shared" ca="1" si="204"/>
        <v>51805</v>
      </c>
    </row>
    <row r="1329" spans="3:12">
      <c r="C1329" s="23">
        <f t="shared" si="202"/>
        <v>420</v>
      </c>
      <c r="D1329" s="23">
        <f t="shared" si="203"/>
        <v>168</v>
      </c>
      <c r="E1329" s="23">
        <f t="shared" si="205"/>
        <v>252</v>
      </c>
      <c r="F1329" s="23">
        <f t="shared" si="206"/>
        <v>700</v>
      </c>
      <c r="G1329" s="23">
        <f t="shared" ca="1" si="207"/>
        <v>227</v>
      </c>
      <c r="H1329" s="23">
        <f t="shared" ca="1" si="208"/>
        <v>654</v>
      </c>
      <c r="I1329" s="23">
        <f t="shared" ca="1" si="209"/>
        <v>395</v>
      </c>
      <c r="J1329" s="23">
        <f t="shared" ca="1" si="210"/>
        <v>654</v>
      </c>
      <c r="K1329" s="23">
        <f t="shared" ca="1" si="211"/>
        <v>1049</v>
      </c>
      <c r="L1329" s="23">
        <f t="shared" ca="1" si="204"/>
        <v>68815</v>
      </c>
    </row>
    <row r="1330" spans="3:12">
      <c r="C1330" s="23">
        <f t="shared" si="202"/>
        <v>420</v>
      </c>
      <c r="D1330" s="23">
        <f t="shared" si="203"/>
        <v>168</v>
      </c>
      <c r="E1330" s="23">
        <f t="shared" si="205"/>
        <v>252</v>
      </c>
      <c r="F1330" s="23">
        <f t="shared" si="206"/>
        <v>700</v>
      </c>
      <c r="G1330" s="23">
        <f t="shared" ca="1" si="207"/>
        <v>217</v>
      </c>
      <c r="H1330" s="23">
        <f t="shared" ca="1" si="208"/>
        <v>631</v>
      </c>
      <c r="I1330" s="23">
        <f t="shared" ca="1" si="209"/>
        <v>385</v>
      </c>
      <c r="J1330" s="23">
        <f t="shared" ca="1" si="210"/>
        <v>631</v>
      </c>
      <c r="K1330" s="23">
        <f t="shared" ca="1" si="211"/>
        <v>1016</v>
      </c>
      <c r="L1330" s="23">
        <f t="shared" ca="1" si="204"/>
        <v>64360</v>
      </c>
    </row>
    <row r="1331" spans="3:12">
      <c r="C1331" s="23">
        <f t="shared" si="202"/>
        <v>420</v>
      </c>
      <c r="D1331" s="23">
        <f t="shared" si="203"/>
        <v>168</v>
      </c>
      <c r="E1331" s="23">
        <f t="shared" si="205"/>
        <v>252</v>
      </c>
      <c r="F1331" s="23">
        <f t="shared" si="206"/>
        <v>700</v>
      </c>
      <c r="G1331" s="23">
        <f t="shared" ca="1" si="207"/>
        <v>184</v>
      </c>
      <c r="H1331" s="23">
        <f t="shared" ca="1" si="208"/>
        <v>656</v>
      </c>
      <c r="I1331" s="23">
        <f t="shared" ca="1" si="209"/>
        <v>352</v>
      </c>
      <c r="J1331" s="23">
        <f t="shared" ca="1" si="210"/>
        <v>656</v>
      </c>
      <c r="K1331" s="23">
        <f t="shared" ca="1" si="211"/>
        <v>1008</v>
      </c>
      <c r="L1331" s="23">
        <f t="shared" ca="1" si="204"/>
        <v>63280</v>
      </c>
    </row>
    <row r="1332" spans="3:12">
      <c r="C1332" s="23">
        <f t="shared" si="202"/>
        <v>420</v>
      </c>
      <c r="D1332" s="23">
        <f t="shared" si="203"/>
        <v>168</v>
      </c>
      <c r="E1332" s="23">
        <f t="shared" si="205"/>
        <v>252</v>
      </c>
      <c r="F1332" s="23">
        <f t="shared" si="206"/>
        <v>700</v>
      </c>
      <c r="G1332" s="23">
        <f t="shared" ca="1" si="207"/>
        <v>213</v>
      </c>
      <c r="H1332" s="23">
        <f t="shared" ca="1" si="208"/>
        <v>615</v>
      </c>
      <c r="I1332" s="23">
        <f t="shared" ca="1" si="209"/>
        <v>381</v>
      </c>
      <c r="J1332" s="23">
        <f t="shared" ca="1" si="210"/>
        <v>615</v>
      </c>
      <c r="K1332" s="23">
        <f t="shared" ca="1" si="211"/>
        <v>996</v>
      </c>
      <c r="L1332" s="23">
        <f t="shared" ca="1" si="204"/>
        <v>61660</v>
      </c>
    </row>
    <row r="1333" spans="3:12">
      <c r="C1333" s="23">
        <f t="shared" si="202"/>
        <v>420</v>
      </c>
      <c r="D1333" s="23">
        <f t="shared" si="203"/>
        <v>168</v>
      </c>
      <c r="E1333" s="23">
        <f t="shared" si="205"/>
        <v>252</v>
      </c>
      <c r="F1333" s="23">
        <f t="shared" si="206"/>
        <v>700</v>
      </c>
      <c r="G1333" s="23">
        <f t="shared" ca="1" si="207"/>
        <v>222</v>
      </c>
      <c r="H1333" s="23">
        <f t="shared" ca="1" si="208"/>
        <v>670</v>
      </c>
      <c r="I1333" s="23">
        <f t="shared" ca="1" si="209"/>
        <v>390</v>
      </c>
      <c r="J1333" s="23">
        <f t="shared" ca="1" si="210"/>
        <v>670</v>
      </c>
      <c r="K1333" s="23">
        <f t="shared" ca="1" si="211"/>
        <v>1060</v>
      </c>
      <c r="L1333" s="23">
        <f t="shared" ca="1" si="204"/>
        <v>70300</v>
      </c>
    </row>
    <row r="1334" spans="3:12">
      <c r="C1334" s="23">
        <f t="shared" si="202"/>
        <v>420</v>
      </c>
      <c r="D1334" s="23">
        <f t="shared" si="203"/>
        <v>168</v>
      </c>
      <c r="E1334" s="23">
        <f t="shared" si="205"/>
        <v>252</v>
      </c>
      <c r="F1334" s="23">
        <f t="shared" si="206"/>
        <v>700</v>
      </c>
      <c r="G1334" s="23">
        <f t="shared" ca="1" si="207"/>
        <v>228</v>
      </c>
      <c r="H1334" s="23">
        <f t="shared" ca="1" si="208"/>
        <v>614</v>
      </c>
      <c r="I1334" s="23">
        <f t="shared" ca="1" si="209"/>
        <v>396</v>
      </c>
      <c r="J1334" s="23">
        <f t="shared" ca="1" si="210"/>
        <v>614</v>
      </c>
      <c r="K1334" s="23">
        <f t="shared" ca="1" si="211"/>
        <v>1010</v>
      </c>
      <c r="L1334" s="23">
        <f t="shared" ca="1" si="204"/>
        <v>63550</v>
      </c>
    </row>
    <row r="1335" spans="3:12">
      <c r="C1335" s="23">
        <f t="shared" si="202"/>
        <v>420</v>
      </c>
      <c r="D1335" s="23">
        <f t="shared" si="203"/>
        <v>168</v>
      </c>
      <c r="E1335" s="23">
        <f t="shared" si="205"/>
        <v>252</v>
      </c>
      <c r="F1335" s="23">
        <f t="shared" si="206"/>
        <v>700</v>
      </c>
      <c r="G1335" s="23">
        <f t="shared" ca="1" si="207"/>
        <v>189</v>
      </c>
      <c r="H1335" s="23">
        <f t="shared" ca="1" si="208"/>
        <v>572</v>
      </c>
      <c r="I1335" s="23">
        <f t="shared" ca="1" si="209"/>
        <v>357</v>
      </c>
      <c r="J1335" s="23">
        <f t="shared" ca="1" si="210"/>
        <v>572</v>
      </c>
      <c r="K1335" s="23">
        <f t="shared" ca="1" si="211"/>
        <v>929</v>
      </c>
      <c r="L1335" s="23">
        <f t="shared" ca="1" si="204"/>
        <v>52615</v>
      </c>
    </row>
    <row r="1336" spans="3:12">
      <c r="C1336" s="23">
        <f t="shared" si="202"/>
        <v>420</v>
      </c>
      <c r="D1336" s="23">
        <f t="shared" si="203"/>
        <v>168</v>
      </c>
      <c r="E1336" s="23">
        <f t="shared" si="205"/>
        <v>252</v>
      </c>
      <c r="F1336" s="23">
        <f t="shared" si="206"/>
        <v>700</v>
      </c>
      <c r="G1336" s="23">
        <f t="shared" ca="1" si="207"/>
        <v>186</v>
      </c>
      <c r="H1336" s="23">
        <f t="shared" ca="1" si="208"/>
        <v>693</v>
      </c>
      <c r="I1336" s="23">
        <f t="shared" ca="1" si="209"/>
        <v>354</v>
      </c>
      <c r="J1336" s="23">
        <f t="shared" ca="1" si="210"/>
        <v>693</v>
      </c>
      <c r="K1336" s="23">
        <f t="shared" ca="1" si="211"/>
        <v>1047</v>
      </c>
      <c r="L1336" s="23">
        <f t="shared" ca="1" si="204"/>
        <v>68545</v>
      </c>
    </row>
    <row r="1337" spans="3:12">
      <c r="C1337" s="23">
        <f t="shared" si="202"/>
        <v>420</v>
      </c>
      <c r="D1337" s="23">
        <f t="shared" si="203"/>
        <v>168</v>
      </c>
      <c r="E1337" s="23">
        <f t="shared" si="205"/>
        <v>252</v>
      </c>
      <c r="F1337" s="23">
        <f t="shared" si="206"/>
        <v>700</v>
      </c>
      <c r="G1337" s="23">
        <f t="shared" ca="1" si="207"/>
        <v>187</v>
      </c>
      <c r="H1337" s="23">
        <f t="shared" ca="1" si="208"/>
        <v>674</v>
      </c>
      <c r="I1337" s="23">
        <f t="shared" ca="1" si="209"/>
        <v>355</v>
      </c>
      <c r="J1337" s="23">
        <f t="shared" ca="1" si="210"/>
        <v>674</v>
      </c>
      <c r="K1337" s="23">
        <f t="shared" ca="1" si="211"/>
        <v>1029</v>
      </c>
      <c r="L1337" s="23">
        <f t="shared" ca="1" si="204"/>
        <v>66115</v>
      </c>
    </row>
    <row r="1338" spans="3:12">
      <c r="C1338" s="23">
        <f t="shared" si="202"/>
        <v>420</v>
      </c>
      <c r="D1338" s="23">
        <f t="shared" si="203"/>
        <v>168</v>
      </c>
      <c r="E1338" s="23">
        <f t="shared" si="205"/>
        <v>252</v>
      </c>
      <c r="F1338" s="23">
        <f t="shared" si="206"/>
        <v>700</v>
      </c>
      <c r="G1338" s="23">
        <f t="shared" ca="1" si="207"/>
        <v>236</v>
      </c>
      <c r="H1338" s="23">
        <f t="shared" ca="1" si="208"/>
        <v>611</v>
      </c>
      <c r="I1338" s="23">
        <f t="shared" ca="1" si="209"/>
        <v>404</v>
      </c>
      <c r="J1338" s="23">
        <f t="shared" ca="1" si="210"/>
        <v>611</v>
      </c>
      <c r="K1338" s="23">
        <f t="shared" ca="1" si="211"/>
        <v>1015</v>
      </c>
      <c r="L1338" s="23">
        <f t="shared" ca="1" si="204"/>
        <v>64225</v>
      </c>
    </row>
    <row r="1339" spans="3:12">
      <c r="C1339" s="23">
        <f t="shared" si="202"/>
        <v>420</v>
      </c>
      <c r="D1339" s="23">
        <f t="shared" si="203"/>
        <v>168</v>
      </c>
      <c r="E1339" s="23">
        <f t="shared" si="205"/>
        <v>252</v>
      </c>
      <c r="F1339" s="23">
        <f t="shared" si="206"/>
        <v>700</v>
      </c>
      <c r="G1339" s="23">
        <f t="shared" ca="1" si="207"/>
        <v>254</v>
      </c>
      <c r="H1339" s="23">
        <f t="shared" ca="1" si="208"/>
        <v>627</v>
      </c>
      <c r="I1339" s="23">
        <f t="shared" ca="1" si="209"/>
        <v>420</v>
      </c>
      <c r="J1339" s="23">
        <f t="shared" ca="1" si="210"/>
        <v>627</v>
      </c>
      <c r="K1339" s="23">
        <f t="shared" ca="1" si="211"/>
        <v>1047</v>
      </c>
      <c r="L1339" s="23">
        <f t="shared" ca="1" si="204"/>
        <v>68545</v>
      </c>
    </row>
    <row r="1340" spans="3:12">
      <c r="C1340" s="23">
        <f t="shared" si="202"/>
        <v>420</v>
      </c>
      <c r="D1340" s="23">
        <f t="shared" si="203"/>
        <v>168</v>
      </c>
      <c r="E1340" s="23">
        <f t="shared" si="205"/>
        <v>252</v>
      </c>
      <c r="F1340" s="23">
        <f t="shared" si="206"/>
        <v>700</v>
      </c>
      <c r="G1340" s="23">
        <f t="shared" ca="1" si="207"/>
        <v>181</v>
      </c>
      <c r="H1340" s="23">
        <f t="shared" ca="1" si="208"/>
        <v>602</v>
      </c>
      <c r="I1340" s="23">
        <f t="shared" ca="1" si="209"/>
        <v>349</v>
      </c>
      <c r="J1340" s="23">
        <f t="shared" ca="1" si="210"/>
        <v>602</v>
      </c>
      <c r="K1340" s="23">
        <f t="shared" ca="1" si="211"/>
        <v>951</v>
      </c>
      <c r="L1340" s="23">
        <f t="shared" ca="1" si="204"/>
        <v>55585</v>
      </c>
    </row>
    <row r="1341" spans="3:12">
      <c r="C1341" s="23">
        <f t="shared" si="202"/>
        <v>420</v>
      </c>
      <c r="D1341" s="23">
        <f t="shared" si="203"/>
        <v>168</v>
      </c>
      <c r="E1341" s="23">
        <f t="shared" si="205"/>
        <v>252</v>
      </c>
      <c r="F1341" s="23">
        <f t="shared" si="206"/>
        <v>700</v>
      </c>
      <c r="G1341" s="23">
        <f t="shared" ca="1" si="207"/>
        <v>214</v>
      </c>
      <c r="H1341" s="23">
        <f t="shared" ca="1" si="208"/>
        <v>602</v>
      </c>
      <c r="I1341" s="23">
        <f t="shared" ca="1" si="209"/>
        <v>382</v>
      </c>
      <c r="J1341" s="23">
        <f t="shared" ca="1" si="210"/>
        <v>602</v>
      </c>
      <c r="K1341" s="23">
        <f t="shared" ca="1" si="211"/>
        <v>984</v>
      </c>
      <c r="L1341" s="23">
        <f t="shared" ca="1" si="204"/>
        <v>60040</v>
      </c>
    </row>
    <row r="1342" spans="3:12">
      <c r="C1342" s="23">
        <f t="shared" si="202"/>
        <v>420</v>
      </c>
      <c r="D1342" s="23">
        <f t="shared" si="203"/>
        <v>168</v>
      </c>
      <c r="E1342" s="23">
        <f t="shared" si="205"/>
        <v>252</v>
      </c>
      <c r="F1342" s="23">
        <f t="shared" si="206"/>
        <v>700</v>
      </c>
      <c r="G1342" s="23">
        <f t="shared" ca="1" si="207"/>
        <v>199</v>
      </c>
      <c r="H1342" s="23">
        <f t="shared" ca="1" si="208"/>
        <v>685</v>
      </c>
      <c r="I1342" s="23">
        <f t="shared" ca="1" si="209"/>
        <v>367</v>
      </c>
      <c r="J1342" s="23">
        <f t="shared" ca="1" si="210"/>
        <v>685</v>
      </c>
      <c r="K1342" s="23">
        <f t="shared" ca="1" si="211"/>
        <v>1052</v>
      </c>
      <c r="L1342" s="23">
        <f t="shared" ca="1" si="204"/>
        <v>69220</v>
      </c>
    </row>
    <row r="1343" spans="3:12">
      <c r="C1343" s="23">
        <f t="shared" si="202"/>
        <v>420</v>
      </c>
      <c r="D1343" s="23">
        <f t="shared" si="203"/>
        <v>168</v>
      </c>
      <c r="E1343" s="23">
        <f t="shared" si="205"/>
        <v>252</v>
      </c>
      <c r="F1343" s="23">
        <f t="shared" si="206"/>
        <v>700</v>
      </c>
      <c r="G1343" s="23">
        <f t="shared" ca="1" si="207"/>
        <v>248</v>
      </c>
      <c r="H1343" s="23">
        <f t="shared" ca="1" si="208"/>
        <v>678</v>
      </c>
      <c r="I1343" s="23">
        <f t="shared" ca="1" si="209"/>
        <v>416</v>
      </c>
      <c r="J1343" s="23">
        <f t="shared" ca="1" si="210"/>
        <v>678</v>
      </c>
      <c r="K1343" s="23">
        <f t="shared" ca="1" si="211"/>
        <v>1094</v>
      </c>
      <c r="L1343" s="23">
        <f t="shared" ca="1" si="204"/>
        <v>74890</v>
      </c>
    </row>
    <row r="1344" spans="3:12">
      <c r="C1344" s="23">
        <f t="shared" si="202"/>
        <v>420</v>
      </c>
      <c r="D1344" s="23">
        <f t="shared" si="203"/>
        <v>168</v>
      </c>
      <c r="E1344" s="23">
        <f t="shared" si="205"/>
        <v>252</v>
      </c>
      <c r="F1344" s="23">
        <f t="shared" si="206"/>
        <v>700</v>
      </c>
      <c r="G1344" s="23">
        <f t="shared" ca="1" si="207"/>
        <v>217</v>
      </c>
      <c r="H1344" s="23">
        <f t="shared" ca="1" si="208"/>
        <v>625</v>
      </c>
      <c r="I1344" s="23">
        <f t="shared" ca="1" si="209"/>
        <v>385</v>
      </c>
      <c r="J1344" s="23">
        <f t="shared" ca="1" si="210"/>
        <v>625</v>
      </c>
      <c r="K1344" s="23">
        <f t="shared" ca="1" si="211"/>
        <v>1010</v>
      </c>
      <c r="L1344" s="23">
        <f t="shared" ca="1" si="204"/>
        <v>63550</v>
      </c>
    </row>
    <row r="1345" spans="3:12">
      <c r="C1345" s="23">
        <f t="shared" si="202"/>
        <v>420</v>
      </c>
      <c r="D1345" s="23">
        <f t="shared" si="203"/>
        <v>168</v>
      </c>
      <c r="E1345" s="23">
        <f t="shared" si="205"/>
        <v>252</v>
      </c>
      <c r="F1345" s="23">
        <f t="shared" si="206"/>
        <v>700</v>
      </c>
      <c r="G1345" s="23">
        <f t="shared" ca="1" si="207"/>
        <v>244</v>
      </c>
      <c r="H1345" s="23">
        <f t="shared" ca="1" si="208"/>
        <v>597</v>
      </c>
      <c r="I1345" s="23">
        <f t="shared" ca="1" si="209"/>
        <v>412</v>
      </c>
      <c r="J1345" s="23">
        <f t="shared" ca="1" si="210"/>
        <v>597</v>
      </c>
      <c r="K1345" s="23">
        <f t="shared" ca="1" si="211"/>
        <v>1009</v>
      </c>
      <c r="L1345" s="23">
        <f t="shared" ca="1" si="204"/>
        <v>63415</v>
      </c>
    </row>
    <row r="1346" spans="3:12">
      <c r="C1346" s="23">
        <f t="shared" si="202"/>
        <v>420</v>
      </c>
      <c r="D1346" s="23">
        <f t="shared" si="203"/>
        <v>168</v>
      </c>
      <c r="E1346" s="23">
        <f t="shared" si="205"/>
        <v>252</v>
      </c>
      <c r="F1346" s="23">
        <f t="shared" si="206"/>
        <v>700</v>
      </c>
      <c r="G1346" s="23">
        <f t="shared" ca="1" si="207"/>
        <v>216</v>
      </c>
      <c r="H1346" s="23">
        <f t="shared" ca="1" si="208"/>
        <v>557</v>
      </c>
      <c r="I1346" s="23">
        <f t="shared" ca="1" si="209"/>
        <v>384</v>
      </c>
      <c r="J1346" s="23">
        <f t="shared" ca="1" si="210"/>
        <v>557</v>
      </c>
      <c r="K1346" s="23">
        <f t="shared" ca="1" si="211"/>
        <v>941</v>
      </c>
      <c r="L1346" s="23">
        <f t="shared" ca="1" si="204"/>
        <v>54235</v>
      </c>
    </row>
    <row r="1347" spans="3:12">
      <c r="C1347" s="23">
        <f t="shared" si="202"/>
        <v>420</v>
      </c>
      <c r="D1347" s="23">
        <f t="shared" si="203"/>
        <v>168</v>
      </c>
      <c r="E1347" s="23">
        <f t="shared" si="205"/>
        <v>252</v>
      </c>
      <c r="F1347" s="23">
        <f t="shared" si="206"/>
        <v>700</v>
      </c>
      <c r="G1347" s="23">
        <f t="shared" ca="1" si="207"/>
        <v>224</v>
      </c>
      <c r="H1347" s="23">
        <f t="shared" ca="1" si="208"/>
        <v>722</v>
      </c>
      <c r="I1347" s="23">
        <f t="shared" ca="1" si="209"/>
        <v>392</v>
      </c>
      <c r="J1347" s="23">
        <f t="shared" ca="1" si="210"/>
        <v>722</v>
      </c>
      <c r="K1347" s="23">
        <f t="shared" ca="1" si="211"/>
        <v>1114</v>
      </c>
      <c r="L1347" s="23">
        <f t="shared" ca="1" si="204"/>
        <v>77590</v>
      </c>
    </row>
    <row r="1348" spans="3:12">
      <c r="C1348" s="23">
        <f t="shared" si="202"/>
        <v>420</v>
      </c>
      <c r="D1348" s="23">
        <f t="shared" si="203"/>
        <v>168</v>
      </c>
      <c r="E1348" s="23">
        <f t="shared" si="205"/>
        <v>252</v>
      </c>
      <c r="F1348" s="23">
        <f t="shared" si="206"/>
        <v>700</v>
      </c>
      <c r="G1348" s="23">
        <f t="shared" ca="1" si="207"/>
        <v>222</v>
      </c>
      <c r="H1348" s="23">
        <f t="shared" ca="1" si="208"/>
        <v>644</v>
      </c>
      <c r="I1348" s="23">
        <f t="shared" ca="1" si="209"/>
        <v>390</v>
      </c>
      <c r="J1348" s="23">
        <f t="shared" ca="1" si="210"/>
        <v>644</v>
      </c>
      <c r="K1348" s="23">
        <f t="shared" ca="1" si="211"/>
        <v>1034</v>
      </c>
      <c r="L1348" s="23">
        <f t="shared" ca="1" si="204"/>
        <v>66790</v>
      </c>
    </row>
    <row r="1349" spans="3:12">
      <c r="C1349" s="23">
        <f t="shared" si="202"/>
        <v>420</v>
      </c>
      <c r="D1349" s="23">
        <f t="shared" si="203"/>
        <v>168</v>
      </c>
      <c r="E1349" s="23">
        <f t="shared" si="205"/>
        <v>252</v>
      </c>
      <c r="F1349" s="23">
        <f t="shared" si="206"/>
        <v>700</v>
      </c>
      <c r="G1349" s="23">
        <f t="shared" ca="1" si="207"/>
        <v>199</v>
      </c>
      <c r="H1349" s="23">
        <f t="shared" ca="1" si="208"/>
        <v>638</v>
      </c>
      <c r="I1349" s="23">
        <f t="shared" ca="1" si="209"/>
        <v>367</v>
      </c>
      <c r="J1349" s="23">
        <f t="shared" ca="1" si="210"/>
        <v>638</v>
      </c>
      <c r="K1349" s="23">
        <f t="shared" ca="1" si="211"/>
        <v>1005</v>
      </c>
      <c r="L1349" s="23">
        <f t="shared" ca="1" si="204"/>
        <v>62875</v>
      </c>
    </row>
    <row r="1350" spans="3:12">
      <c r="C1350" s="23">
        <f t="shared" si="202"/>
        <v>420</v>
      </c>
      <c r="D1350" s="23">
        <f t="shared" si="203"/>
        <v>168</v>
      </c>
      <c r="E1350" s="23">
        <f t="shared" si="205"/>
        <v>252</v>
      </c>
      <c r="F1350" s="23">
        <f t="shared" si="206"/>
        <v>700</v>
      </c>
      <c r="G1350" s="23">
        <f t="shared" ca="1" si="207"/>
        <v>259</v>
      </c>
      <c r="H1350" s="23">
        <f t="shared" ca="1" si="208"/>
        <v>621</v>
      </c>
      <c r="I1350" s="23">
        <f t="shared" ca="1" si="209"/>
        <v>420</v>
      </c>
      <c r="J1350" s="23">
        <f t="shared" ca="1" si="210"/>
        <v>621</v>
      </c>
      <c r="K1350" s="23">
        <f t="shared" ca="1" si="211"/>
        <v>1041</v>
      </c>
      <c r="L1350" s="23">
        <f t="shared" ca="1" si="204"/>
        <v>67735</v>
      </c>
    </row>
    <row r="1351" spans="3:12">
      <c r="C1351" s="23">
        <f t="shared" si="202"/>
        <v>420</v>
      </c>
      <c r="D1351" s="23">
        <f t="shared" si="203"/>
        <v>168</v>
      </c>
      <c r="E1351" s="23">
        <f t="shared" si="205"/>
        <v>252</v>
      </c>
      <c r="F1351" s="23">
        <f t="shared" si="206"/>
        <v>700</v>
      </c>
      <c r="G1351" s="23">
        <f t="shared" ca="1" si="207"/>
        <v>209</v>
      </c>
      <c r="H1351" s="23">
        <f t="shared" ca="1" si="208"/>
        <v>607</v>
      </c>
      <c r="I1351" s="23">
        <f t="shared" ca="1" si="209"/>
        <v>377</v>
      </c>
      <c r="J1351" s="23">
        <f t="shared" ca="1" si="210"/>
        <v>607</v>
      </c>
      <c r="K1351" s="23">
        <f t="shared" ca="1" si="211"/>
        <v>984</v>
      </c>
      <c r="L1351" s="23">
        <f t="shared" ca="1" si="204"/>
        <v>60040</v>
      </c>
    </row>
    <row r="1352" spans="3:12">
      <c r="C1352" s="23">
        <f t="shared" si="202"/>
        <v>420</v>
      </c>
      <c r="D1352" s="23">
        <f t="shared" si="203"/>
        <v>168</v>
      </c>
      <c r="E1352" s="23">
        <f t="shared" si="205"/>
        <v>252</v>
      </c>
      <c r="F1352" s="23">
        <f t="shared" si="206"/>
        <v>700</v>
      </c>
      <c r="G1352" s="23">
        <f t="shared" ca="1" si="207"/>
        <v>204</v>
      </c>
      <c r="H1352" s="23">
        <f t="shared" ca="1" si="208"/>
        <v>657</v>
      </c>
      <c r="I1352" s="23">
        <f t="shared" ca="1" si="209"/>
        <v>372</v>
      </c>
      <c r="J1352" s="23">
        <f t="shared" ca="1" si="210"/>
        <v>657</v>
      </c>
      <c r="K1352" s="23">
        <f t="shared" ca="1" si="211"/>
        <v>1029</v>
      </c>
      <c r="L1352" s="23">
        <f t="shared" ca="1" si="204"/>
        <v>66115</v>
      </c>
    </row>
    <row r="1353" spans="3:12">
      <c r="C1353" s="23">
        <f t="shared" si="202"/>
        <v>420</v>
      </c>
      <c r="D1353" s="23">
        <f t="shared" si="203"/>
        <v>168</v>
      </c>
      <c r="E1353" s="23">
        <f t="shared" si="205"/>
        <v>252</v>
      </c>
      <c r="F1353" s="23">
        <f t="shared" si="206"/>
        <v>700</v>
      </c>
      <c r="G1353" s="23">
        <f t="shared" ca="1" si="207"/>
        <v>243</v>
      </c>
      <c r="H1353" s="23">
        <f t="shared" ca="1" si="208"/>
        <v>597</v>
      </c>
      <c r="I1353" s="23">
        <f t="shared" ca="1" si="209"/>
        <v>411</v>
      </c>
      <c r="J1353" s="23">
        <f t="shared" ca="1" si="210"/>
        <v>597</v>
      </c>
      <c r="K1353" s="23">
        <f t="shared" ca="1" si="211"/>
        <v>1008</v>
      </c>
      <c r="L1353" s="23">
        <f t="shared" ca="1" si="204"/>
        <v>63280</v>
      </c>
    </row>
    <row r="1354" spans="3:12">
      <c r="C1354" s="23">
        <f t="shared" si="202"/>
        <v>420</v>
      </c>
      <c r="D1354" s="23">
        <f t="shared" si="203"/>
        <v>168</v>
      </c>
      <c r="E1354" s="23">
        <f t="shared" si="205"/>
        <v>252</v>
      </c>
      <c r="F1354" s="23">
        <f t="shared" si="206"/>
        <v>700</v>
      </c>
      <c r="G1354" s="23">
        <f t="shared" ca="1" si="207"/>
        <v>195</v>
      </c>
      <c r="H1354" s="23">
        <f t="shared" ca="1" si="208"/>
        <v>561</v>
      </c>
      <c r="I1354" s="23">
        <f t="shared" ca="1" si="209"/>
        <v>363</v>
      </c>
      <c r="J1354" s="23">
        <f t="shared" ca="1" si="210"/>
        <v>561</v>
      </c>
      <c r="K1354" s="23">
        <f t="shared" ca="1" si="211"/>
        <v>924</v>
      </c>
      <c r="L1354" s="23">
        <f t="shared" ca="1" si="204"/>
        <v>51940</v>
      </c>
    </row>
    <row r="1355" spans="3:12">
      <c r="C1355" s="23">
        <f t="shared" si="202"/>
        <v>420</v>
      </c>
      <c r="D1355" s="23">
        <f t="shared" si="203"/>
        <v>168</v>
      </c>
      <c r="E1355" s="23">
        <f t="shared" si="205"/>
        <v>252</v>
      </c>
      <c r="F1355" s="23">
        <f t="shared" si="206"/>
        <v>700</v>
      </c>
      <c r="G1355" s="23">
        <f t="shared" ca="1" si="207"/>
        <v>188</v>
      </c>
      <c r="H1355" s="23">
        <f t="shared" ca="1" si="208"/>
        <v>668</v>
      </c>
      <c r="I1355" s="23">
        <f t="shared" ca="1" si="209"/>
        <v>356</v>
      </c>
      <c r="J1355" s="23">
        <f t="shared" ca="1" si="210"/>
        <v>668</v>
      </c>
      <c r="K1355" s="23">
        <f t="shared" ca="1" si="211"/>
        <v>1024</v>
      </c>
      <c r="L1355" s="23">
        <f t="shared" ca="1" si="204"/>
        <v>65440</v>
      </c>
    </row>
    <row r="1356" spans="3:12">
      <c r="C1356" s="23">
        <f t="shared" ref="C1356:C1419" si="212">$B$4</f>
        <v>420</v>
      </c>
      <c r="D1356" s="23">
        <f t="shared" ref="D1356:D1419" si="213">$B$5</f>
        <v>168</v>
      </c>
      <c r="E1356" s="23">
        <f t="shared" si="205"/>
        <v>252</v>
      </c>
      <c r="F1356" s="23">
        <f t="shared" si="206"/>
        <v>700</v>
      </c>
      <c r="G1356" s="23">
        <f t="shared" ca="1" si="207"/>
        <v>235</v>
      </c>
      <c r="H1356" s="23">
        <f t="shared" ca="1" si="208"/>
        <v>684</v>
      </c>
      <c r="I1356" s="23">
        <f t="shared" ca="1" si="209"/>
        <v>403</v>
      </c>
      <c r="J1356" s="23">
        <f t="shared" ca="1" si="210"/>
        <v>684</v>
      </c>
      <c r="K1356" s="23">
        <f t="shared" ca="1" si="211"/>
        <v>1087</v>
      </c>
      <c r="L1356" s="23">
        <f t="shared" ref="L1356:L1419" ca="1" si="214">K1356*$B$2-(F1356+C1356)*$B$1</f>
        <v>73945</v>
      </c>
    </row>
    <row r="1357" spans="3:12">
      <c r="C1357" s="23">
        <f t="shared" si="212"/>
        <v>420</v>
      </c>
      <c r="D1357" s="23">
        <f t="shared" si="213"/>
        <v>168</v>
      </c>
      <c r="E1357" s="23">
        <f t="shared" ref="E1357:E1420" si="215">MAX(0,C1357-D1357)</f>
        <v>252</v>
      </c>
      <c r="F1357" s="23">
        <f t="shared" ref="F1357:F1420" si="216">$E$8</f>
        <v>700</v>
      </c>
      <c r="G1357" s="23">
        <f t="shared" ref="G1357:G1420" ca="1" si="217">_xlfn.FLOOR.MATH(MAX(0,_xlfn.NORM.INV(RAND(),$B$6*$B$8,$B$3*($B$8+0.0001))))</f>
        <v>204</v>
      </c>
      <c r="H1357" s="23">
        <f t="shared" ref="H1357:H1420" ca="1" si="218">_xlfn.FLOOR.MATH(MAX(0,_xlfn.NORM.INV(RAND(),$B$6*(1-$B$8),$B$3*(1.00001-$B$8))))</f>
        <v>647</v>
      </c>
      <c r="I1357" s="23">
        <f t="shared" ref="I1357:I1420" ca="1" si="219">MIN(C1357,D1357+G1357)</f>
        <v>372</v>
      </c>
      <c r="J1357" s="23">
        <f t="shared" ref="J1357:J1420" ca="1" si="220">MIN(C1357-I1357+F1357,H1357)</f>
        <v>647</v>
      </c>
      <c r="K1357" s="23">
        <f t="shared" ref="K1357:K1420" ca="1" si="221">I1357+J1357</f>
        <v>1019</v>
      </c>
      <c r="L1357" s="23">
        <f t="shared" ca="1" si="214"/>
        <v>64765</v>
      </c>
    </row>
    <row r="1358" spans="3:12">
      <c r="C1358" s="23">
        <f t="shared" si="212"/>
        <v>420</v>
      </c>
      <c r="D1358" s="23">
        <f t="shared" si="213"/>
        <v>168</v>
      </c>
      <c r="E1358" s="23">
        <f t="shared" si="215"/>
        <v>252</v>
      </c>
      <c r="F1358" s="23">
        <f t="shared" si="216"/>
        <v>700</v>
      </c>
      <c r="G1358" s="23">
        <f t="shared" ca="1" si="217"/>
        <v>188</v>
      </c>
      <c r="H1358" s="23">
        <f t="shared" ca="1" si="218"/>
        <v>629</v>
      </c>
      <c r="I1358" s="23">
        <f t="shared" ca="1" si="219"/>
        <v>356</v>
      </c>
      <c r="J1358" s="23">
        <f t="shared" ca="1" si="220"/>
        <v>629</v>
      </c>
      <c r="K1358" s="23">
        <f t="shared" ca="1" si="221"/>
        <v>985</v>
      </c>
      <c r="L1358" s="23">
        <f t="shared" ca="1" si="214"/>
        <v>60175</v>
      </c>
    </row>
    <row r="1359" spans="3:12">
      <c r="C1359" s="23">
        <f t="shared" si="212"/>
        <v>420</v>
      </c>
      <c r="D1359" s="23">
        <f t="shared" si="213"/>
        <v>168</v>
      </c>
      <c r="E1359" s="23">
        <f t="shared" si="215"/>
        <v>252</v>
      </c>
      <c r="F1359" s="23">
        <f t="shared" si="216"/>
        <v>700</v>
      </c>
      <c r="G1359" s="23">
        <f t="shared" ca="1" si="217"/>
        <v>191</v>
      </c>
      <c r="H1359" s="23">
        <f t="shared" ca="1" si="218"/>
        <v>715</v>
      </c>
      <c r="I1359" s="23">
        <f t="shared" ca="1" si="219"/>
        <v>359</v>
      </c>
      <c r="J1359" s="23">
        <f t="shared" ca="1" si="220"/>
        <v>715</v>
      </c>
      <c r="K1359" s="23">
        <f t="shared" ca="1" si="221"/>
        <v>1074</v>
      </c>
      <c r="L1359" s="23">
        <f t="shared" ca="1" si="214"/>
        <v>72190</v>
      </c>
    </row>
    <row r="1360" spans="3:12">
      <c r="C1360" s="23">
        <f t="shared" si="212"/>
        <v>420</v>
      </c>
      <c r="D1360" s="23">
        <f t="shared" si="213"/>
        <v>168</v>
      </c>
      <c r="E1360" s="23">
        <f t="shared" si="215"/>
        <v>252</v>
      </c>
      <c r="F1360" s="23">
        <f t="shared" si="216"/>
        <v>700</v>
      </c>
      <c r="G1360" s="23">
        <f t="shared" ca="1" si="217"/>
        <v>214</v>
      </c>
      <c r="H1360" s="23">
        <f t="shared" ca="1" si="218"/>
        <v>591</v>
      </c>
      <c r="I1360" s="23">
        <f t="shared" ca="1" si="219"/>
        <v>382</v>
      </c>
      <c r="J1360" s="23">
        <f t="shared" ca="1" si="220"/>
        <v>591</v>
      </c>
      <c r="K1360" s="23">
        <f t="shared" ca="1" si="221"/>
        <v>973</v>
      </c>
      <c r="L1360" s="23">
        <f t="shared" ca="1" si="214"/>
        <v>58555</v>
      </c>
    </row>
    <row r="1361" spans="3:12">
      <c r="C1361" s="23">
        <f t="shared" si="212"/>
        <v>420</v>
      </c>
      <c r="D1361" s="23">
        <f t="shared" si="213"/>
        <v>168</v>
      </c>
      <c r="E1361" s="23">
        <f t="shared" si="215"/>
        <v>252</v>
      </c>
      <c r="F1361" s="23">
        <f t="shared" si="216"/>
        <v>700</v>
      </c>
      <c r="G1361" s="23">
        <f t="shared" ca="1" si="217"/>
        <v>214</v>
      </c>
      <c r="H1361" s="23">
        <f t="shared" ca="1" si="218"/>
        <v>700</v>
      </c>
      <c r="I1361" s="23">
        <f t="shared" ca="1" si="219"/>
        <v>382</v>
      </c>
      <c r="J1361" s="23">
        <f t="shared" ca="1" si="220"/>
        <v>700</v>
      </c>
      <c r="K1361" s="23">
        <f t="shared" ca="1" si="221"/>
        <v>1082</v>
      </c>
      <c r="L1361" s="23">
        <f t="shared" ca="1" si="214"/>
        <v>73270</v>
      </c>
    </row>
    <row r="1362" spans="3:12">
      <c r="C1362" s="23">
        <f t="shared" si="212"/>
        <v>420</v>
      </c>
      <c r="D1362" s="23">
        <f t="shared" si="213"/>
        <v>168</v>
      </c>
      <c r="E1362" s="23">
        <f t="shared" si="215"/>
        <v>252</v>
      </c>
      <c r="F1362" s="23">
        <f t="shared" si="216"/>
        <v>700</v>
      </c>
      <c r="G1362" s="23">
        <f t="shared" ca="1" si="217"/>
        <v>250</v>
      </c>
      <c r="H1362" s="23">
        <f t="shared" ca="1" si="218"/>
        <v>807</v>
      </c>
      <c r="I1362" s="23">
        <f t="shared" ca="1" si="219"/>
        <v>418</v>
      </c>
      <c r="J1362" s="23">
        <f t="shared" ca="1" si="220"/>
        <v>702</v>
      </c>
      <c r="K1362" s="23">
        <f t="shared" ca="1" si="221"/>
        <v>1120</v>
      </c>
      <c r="L1362" s="23">
        <f t="shared" ca="1" si="214"/>
        <v>78400</v>
      </c>
    </row>
    <row r="1363" spans="3:12">
      <c r="C1363" s="23">
        <f t="shared" si="212"/>
        <v>420</v>
      </c>
      <c r="D1363" s="23">
        <f t="shared" si="213"/>
        <v>168</v>
      </c>
      <c r="E1363" s="23">
        <f t="shared" si="215"/>
        <v>252</v>
      </c>
      <c r="F1363" s="23">
        <f t="shared" si="216"/>
        <v>700</v>
      </c>
      <c r="G1363" s="23">
        <f t="shared" ca="1" si="217"/>
        <v>229</v>
      </c>
      <c r="H1363" s="23">
        <f t="shared" ca="1" si="218"/>
        <v>593</v>
      </c>
      <c r="I1363" s="23">
        <f t="shared" ca="1" si="219"/>
        <v>397</v>
      </c>
      <c r="J1363" s="23">
        <f t="shared" ca="1" si="220"/>
        <v>593</v>
      </c>
      <c r="K1363" s="23">
        <f t="shared" ca="1" si="221"/>
        <v>990</v>
      </c>
      <c r="L1363" s="23">
        <f t="shared" ca="1" si="214"/>
        <v>60850</v>
      </c>
    </row>
    <row r="1364" spans="3:12">
      <c r="C1364" s="23">
        <f t="shared" si="212"/>
        <v>420</v>
      </c>
      <c r="D1364" s="23">
        <f t="shared" si="213"/>
        <v>168</v>
      </c>
      <c r="E1364" s="23">
        <f t="shared" si="215"/>
        <v>252</v>
      </c>
      <c r="F1364" s="23">
        <f t="shared" si="216"/>
        <v>700</v>
      </c>
      <c r="G1364" s="23">
        <f t="shared" ca="1" si="217"/>
        <v>209</v>
      </c>
      <c r="H1364" s="23">
        <f t="shared" ca="1" si="218"/>
        <v>670</v>
      </c>
      <c r="I1364" s="23">
        <f t="shared" ca="1" si="219"/>
        <v>377</v>
      </c>
      <c r="J1364" s="23">
        <f t="shared" ca="1" si="220"/>
        <v>670</v>
      </c>
      <c r="K1364" s="23">
        <f t="shared" ca="1" si="221"/>
        <v>1047</v>
      </c>
      <c r="L1364" s="23">
        <f t="shared" ca="1" si="214"/>
        <v>68545</v>
      </c>
    </row>
    <row r="1365" spans="3:12">
      <c r="C1365" s="23">
        <f t="shared" si="212"/>
        <v>420</v>
      </c>
      <c r="D1365" s="23">
        <f t="shared" si="213"/>
        <v>168</v>
      </c>
      <c r="E1365" s="23">
        <f t="shared" si="215"/>
        <v>252</v>
      </c>
      <c r="F1365" s="23">
        <f t="shared" si="216"/>
        <v>700</v>
      </c>
      <c r="G1365" s="23">
        <f t="shared" ca="1" si="217"/>
        <v>178</v>
      </c>
      <c r="H1365" s="23">
        <f t="shared" ca="1" si="218"/>
        <v>639</v>
      </c>
      <c r="I1365" s="23">
        <f t="shared" ca="1" si="219"/>
        <v>346</v>
      </c>
      <c r="J1365" s="23">
        <f t="shared" ca="1" si="220"/>
        <v>639</v>
      </c>
      <c r="K1365" s="23">
        <f t="shared" ca="1" si="221"/>
        <v>985</v>
      </c>
      <c r="L1365" s="23">
        <f t="shared" ca="1" si="214"/>
        <v>60175</v>
      </c>
    </row>
    <row r="1366" spans="3:12">
      <c r="C1366" s="23">
        <f t="shared" si="212"/>
        <v>420</v>
      </c>
      <c r="D1366" s="23">
        <f t="shared" si="213"/>
        <v>168</v>
      </c>
      <c r="E1366" s="23">
        <f t="shared" si="215"/>
        <v>252</v>
      </c>
      <c r="F1366" s="23">
        <f t="shared" si="216"/>
        <v>700</v>
      </c>
      <c r="G1366" s="23">
        <f t="shared" ca="1" si="217"/>
        <v>215</v>
      </c>
      <c r="H1366" s="23">
        <f t="shared" ca="1" si="218"/>
        <v>640</v>
      </c>
      <c r="I1366" s="23">
        <f t="shared" ca="1" si="219"/>
        <v>383</v>
      </c>
      <c r="J1366" s="23">
        <f t="shared" ca="1" si="220"/>
        <v>640</v>
      </c>
      <c r="K1366" s="23">
        <f t="shared" ca="1" si="221"/>
        <v>1023</v>
      </c>
      <c r="L1366" s="23">
        <f t="shared" ca="1" si="214"/>
        <v>65305</v>
      </c>
    </row>
    <row r="1367" spans="3:12">
      <c r="C1367" s="23">
        <f t="shared" si="212"/>
        <v>420</v>
      </c>
      <c r="D1367" s="23">
        <f t="shared" si="213"/>
        <v>168</v>
      </c>
      <c r="E1367" s="23">
        <f t="shared" si="215"/>
        <v>252</v>
      </c>
      <c r="F1367" s="23">
        <f t="shared" si="216"/>
        <v>700</v>
      </c>
      <c r="G1367" s="23">
        <f t="shared" ca="1" si="217"/>
        <v>231</v>
      </c>
      <c r="H1367" s="23">
        <f t="shared" ca="1" si="218"/>
        <v>645</v>
      </c>
      <c r="I1367" s="23">
        <f t="shared" ca="1" si="219"/>
        <v>399</v>
      </c>
      <c r="J1367" s="23">
        <f t="shared" ca="1" si="220"/>
        <v>645</v>
      </c>
      <c r="K1367" s="23">
        <f t="shared" ca="1" si="221"/>
        <v>1044</v>
      </c>
      <c r="L1367" s="23">
        <f t="shared" ca="1" si="214"/>
        <v>68140</v>
      </c>
    </row>
    <row r="1368" spans="3:12">
      <c r="C1368" s="23">
        <f t="shared" si="212"/>
        <v>420</v>
      </c>
      <c r="D1368" s="23">
        <f t="shared" si="213"/>
        <v>168</v>
      </c>
      <c r="E1368" s="23">
        <f t="shared" si="215"/>
        <v>252</v>
      </c>
      <c r="F1368" s="23">
        <f t="shared" si="216"/>
        <v>700</v>
      </c>
      <c r="G1368" s="23">
        <f t="shared" ca="1" si="217"/>
        <v>204</v>
      </c>
      <c r="H1368" s="23">
        <f t="shared" ca="1" si="218"/>
        <v>724</v>
      </c>
      <c r="I1368" s="23">
        <f t="shared" ca="1" si="219"/>
        <v>372</v>
      </c>
      <c r="J1368" s="23">
        <f t="shared" ca="1" si="220"/>
        <v>724</v>
      </c>
      <c r="K1368" s="23">
        <f t="shared" ca="1" si="221"/>
        <v>1096</v>
      </c>
      <c r="L1368" s="23">
        <f t="shared" ca="1" si="214"/>
        <v>75160</v>
      </c>
    </row>
    <row r="1369" spans="3:12">
      <c r="C1369" s="23">
        <f t="shared" si="212"/>
        <v>420</v>
      </c>
      <c r="D1369" s="23">
        <f t="shared" si="213"/>
        <v>168</v>
      </c>
      <c r="E1369" s="23">
        <f t="shared" si="215"/>
        <v>252</v>
      </c>
      <c r="F1369" s="23">
        <f t="shared" si="216"/>
        <v>700</v>
      </c>
      <c r="G1369" s="23">
        <f t="shared" ca="1" si="217"/>
        <v>205</v>
      </c>
      <c r="H1369" s="23">
        <f t="shared" ca="1" si="218"/>
        <v>559</v>
      </c>
      <c r="I1369" s="23">
        <f t="shared" ca="1" si="219"/>
        <v>373</v>
      </c>
      <c r="J1369" s="23">
        <f t="shared" ca="1" si="220"/>
        <v>559</v>
      </c>
      <c r="K1369" s="23">
        <f t="shared" ca="1" si="221"/>
        <v>932</v>
      </c>
      <c r="L1369" s="23">
        <f t="shared" ca="1" si="214"/>
        <v>53020</v>
      </c>
    </row>
    <row r="1370" spans="3:12">
      <c r="C1370" s="23">
        <f t="shared" si="212"/>
        <v>420</v>
      </c>
      <c r="D1370" s="23">
        <f t="shared" si="213"/>
        <v>168</v>
      </c>
      <c r="E1370" s="23">
        <f t="shared" si="215"/>
        <v>252</v>
      </c>
      <c r="F1370" s="23">
        <f t="shared" si="216"/>
        <v>700</v>
      </c>
      <c r="G1370" s="23">
        <f t="shared" ca="1" si="217"/>
        <v>206</v>
      </c>
      <c r="H1370" s="23">
        <f t="shared" ca="1" si="218"/>
        <v>672</v>
      </c>
      <c r="I1370" s="23">
        <f t="shared" ca="1" si="219"/>
        <v>374</v>
      </c>
      <c r="J1370" s="23">
        <f t="shared" ca="1" si="220"/>
        <v>672</v>
      </c>
      <c r="K1370" s="23">
        <f t="shared" ca="1" si="221"/>
        <v>1046</v>
      </c>
      <c r="L1370" s="23">
        <f t="shared" ca="1" si="214"/>
        <v>68410</v>
      </c>
    </row>
    <row r="1371" spans="3:12">
      <c r="C1371" s="23">
        <f t="shared" si="212"/>
        <v>420</v>
      </c>
      <c r="D1371" s="23">
        <f t="shared" si="213"/>
        <v>168</v>
      </c>
      <c r="E1371" s="23">
        <f t="shared" si="215"/>
        <v>252</v>
      </c>
      <c r="F1371" s="23">
        <f t="shared" si="216"/>
        <v>700</v>
      </c>
      <c r="G1371" s="23">
        <f t="shared" ca="1" si="217"/>
        <v>242</v>
      </c>
      <c r="H1371" s="23">
        <f t="shared" ca="1" si="218"/>
        <v>505</v>
      </c>
      <c r="I1371" s="23">
        <f t="shared" ca="1" si="219"/>
        <v>410</v>
      </c>
      <c r="J1371" s="23">
        <f t="shared" ca="1" si="220"/>
        <v>505</v>
      </c>
      <c r="K1371" s="23">
        <f t="shared" ca="1" si="221"/>
        <v>915</v>
      </c>
      <c r="L1371" s="23">
        <f t="shared" ca="1" si="214"/>
        <v>50725</v>
      </c>
    </row>
    <row r="1372" spans="3:12">
      <c r="C1372" s="23">
        <f t="shared" si="212"/>
        <v>420</v>
      </c>
      <c r="D1372" s="23">
        <f t="shared" si="213"/>
        <v>168</v>
      </c>
      <c r="E1372" s="23">
        <f t="shared" si="215"/>
        <v>252</v>
      </c>
      <c r="F1372" s="23">
        <f t="shared" si="216"/>
        <v>700</v>
      </c>
      <c r="G1372" s="23">
        <f t="shared" ca="1" si="217"/>
        <v>212</v>
      </c>
      <c r="H1372" s="23">
        <f t="shared" ca="1" si="218"/>
        <v>593</v>
      </c>
      <c r="I1372" s="23">
        <f t="shared" ca="1" si="219"/>
        <v>380</v>
      </c>
      <c r="J1372" s="23">
        <f t="shared" ca="1" si="220"/>
        <v>593</v>
      </c>
      <c r="K1372" s="23">
        <f t="shared" ca="1" si="221"/>
        <v>973</v>
      </c>
      <c r="L1372" s="23">
        <f t="shared" ca="1" si="214"/>
        <v>58555</v>
      </c>
    </row>
    <row r="1373" spans="3:12">
      <c r="C1373" s="23">
        <f t="shared" si="212"/>
        <v>420</v>
      </c>
      <c r="D1373" s="23">
        <f t="shared" si="213"/>
        <v>168</v>
      </c>
      <c r="E1373" s="23">
        <f t="shared" si="215"/>
        <v>252</v>
      </c>
      <c r="F1373" s="23">
        <f t="shared" si="216"/>
        <v>700</v>
      </c>
      <c r="G1373" s="23">
        <f t="shared" ca="1" si="217"/>
        <v>204</v>
      </c>
      <c r="H1373" s="23">
        <f t="shared" ca="1" si="218"/>
        <v>635</v>
      </c>
      <c r="I1373" s="23">
        <f t="shared" ca="1" si="219"/>
        <v>372</v>
      </c>
      <c r="J1373" s="23">
        <f t="shared" ca="1" si="220"/>
        <v>635</v>
      </c>
      <c r="K1373" s="23">
        <f t="shared" ca="1" si="221"/>
        <v>1007</v>
      </c>
      <c r="L1373" s="23">
        <f t="shared" ca="1" si="214"/>
        <v>63145</v>
      </c>
    </row>
    <row r="1374" spans="3:12">
      <c r="C1374" s="23">
        <f t="shared" si="212"/>
        <v>420</v>
      </c>
      <c r="D1374" s="23">
        <f t="shared" si="213"/>
        <v>168</v>
      </c>
      <c r="E1374" s="23">
        <f t="shared" si="215"/>
        <v>252</v>
      </c>
      <c r="F1374" s="23">
        <f t="shared" si="216"/>
        <v>700</v>
      </c>
      <c r="G1374" s="23">
        <f t="shared" ca="1" si="217"/>
        <v>197</v>
      </c>
      <c r="H1374" s="23">
        <f t="shared" ca="1" si="218"/>
        <v>555</v>
      </c>
      <c r="I1374" s="23">
        <f t="shared" ca="1" si="219"/>
        <v>365</v>
      </c>
      <c r="J1374" s="23">
        <f t="shared" ca="1" si="220"/>
        <v>555</v>
      </c>
      <c r="K1374" s="23">
        <f t="shared" ca="1" si="221"/>
        <v>920</v>
      </c>
      <c r="L1374" s="23">
        <f t="shared" ca="1" si="214"/>
        <v>51400</v>
      </c>
    </row>
    <row r="1375" spans="3:12">
      <c r="C1375" s="23">
        <f t="shared" si="212"/>
        <v>420</v>
      </c>
      <c r="D1375" s="23">
        <f t="shared" si="213"/>
        <v>168</v>
      </c>
      <c r="E1375" s="23">
        <f t="shared" si="215"/>
        <v>252</v>
      </c>
      <c r="F1375" s="23">
        <f t="shared" si="216"/>
        <v>700</v>
      </c>
      <c r="G1375" s="23">
        <f t="shared" ca="1" si="217"/>
        <v>216</v>
      </c>
      <c r="H1375" s="23">
        <f t="shared" ca="1" si="218"/>
        <v>625</v>
      </c>
      <c r="I1375" s="23">
        <f t="shared" ca="1" si="219"/>
        <v>384</v>
      </c>
      <c r="J1375" s="23">
        <f t="shared" ca="1" si="220"/>
        <v>625</v>
      </c>
      <c r="K1375" s="23">
        <f t="shared" ca="1" si="221"/>
        <v>1009</v>
      </c>
      <c r="L1375" s="23">
        <f t="shared" ca="1" si="214"/>
        <v>63415</v>
      </c>
    </row>
    <row r="1376" spans="3:12">
      <c r="C1376" s="23">
        <f t="shared" si="212"/>
        <v>420</v>
      </c>
      <c r="D1376" s="23">
        <f t="shared" si="213"/>
        <v>168</v>
      </c>
      <c r="E1376" s="23">
        <f t="shared" si="215"/>
        <v>252</v>
      </c>
      <c r="F1376" s="23">
        <f t="shared" si="216"/>
        <v>700</v>
      </c>
      <c r="G1376" s="23">
        <f t="shared" ca="1" si="217"/>
        <v>241</v>
      </c>
      <c r="H1376" s="23">
        <f t="shared" ca="1" si="218"/>
        <v>671</v>
      </c>
      <c r="I1376" s="23">
        <f t="shared" ca="1" si="219"/>
        <v>409</v>
      </c>
      <c r="J1376" s="23">
        <f t="shared" ca="1" si="220"/>
        <v>671</v>
      </c>
      <c r="K1376" s="23">
        <f t="shared" ca="1" si="221"/>
        <v>1080</v>
      </c>
      <c r="L1376" s="23">
        <f t="shared" ca="1" si="214"/>
        <v>73000</v>
      </c>
    </row>
    <row r="1377" spans="3:12">
      <c r="C1377" s="23">
        <f t="shared" si="212"/>
        <v>420</v>
      </c>
      <c r="D1377" s="23">
        <f t="shared" si="213"/>
        <v>168</v>
      </c>
      <c r="E1377" s="23">
        <f t="shared" si="215"/>
        <v>252</v>
      </c>
      <c r="F1377" s="23">
        <f t="shared" si="216"/>
        <v>700</v>
      </c>
      <c r="G1377" s="23">
        <f t="shared" ca="1" si="217"/>
        <v>247</v>
      </c>
      <c r="H1377" s="23">
        <f t="shared" ca="1" si="218"/>
        <v>675</v>
      </c>
      <c r="I1377" s="23">
        <f t="shared" ca="1" si="219"/>
        <v>415</v>
      </c>
      <c r="J1377" s="23">
        <f t="shared" ca="1" si="220"/>
        <v>675</v>
      </c>
      <c r="K1377" s="23">
        <f t="shared" ca="1" si="221"/>
        <v>1090</v>
      </c>
      <c r="L1377" s="23">
        <f t="shared" ca="1" si="214"/>
        <v>74350</v>
      </c>
    </row>
    <row r="1378" spans="3:12">
      <c r="C1378" s="23">
        <f t="shared" si="212"/>
        <v>420</v>
      </c>
      <c r="D1378" s="23">
        <f t="shared" si="213"/>
        <v>168</v>
      </c>
      <c r="E1378" s="23">
        <f t="shared" si="215"/>
        <v>252</v>
      </c>
      <c r="F1378" s="23">
        <f t="shared" si="216"/>
        <v>700</v>
      </c>
      <c r="G1378" s="23">
        <f t="shared" ca="1" si="217"/>
        <v>201</v>
      </c>
      <c r="H1378" s="23">
        <f t="shared" ca="1" si="218"/>
        <v>522</v>
      </c>
      <c r="I1378" s="23">
        <f t="shared" ca="1" si="219"/>
        <v>369</v>
      </c>
      <c r="J1378" s="23">
        <f t="shared" ca="1" si="220"/>
        <v>522</v>
      </c>
      <c r="K1378" s="23">
        <f t="shared" ca="1" si="221"/>
        <v>891</v>
      </c>
      <c r="L1378" s="23">
        <f t="shared" ca="1" si="214"/>
        <v>47485</v>
      </c>
    </row>
    <row r="1379" spans="3:12">
      <c r="C1379" s="23">
        <f t="shared" si="212"/>
        <v>420</v>
      </c>
      <c r="D1379" s="23">
        <f t="shared" si="213"/>
        <v>168</v>
      </c>
      <c r="E1379" s="23">
        <f t="shared" si="215"/>
        <v>252</v>
      </c>
      <c r="F1379" s="23">
        <f t="shared" si="216"/>
        <v>700</v>
      </c>
      <c r="G1379" s="23">
        <f t="shared" ca="1" si="217"/>
        <v>190</v>
      </c>
      <c r="H1379" s="23">
        <f t="shared" ca="1" si="218"/>
        <v>782</v>
      </c>
      <c r="I1379" s="23">
        <f t="shared" ca="1" si="219"/>
        <v>358</v>
      </c>
      <c r="J1379" s="23">
        <f t="shared" ca="1" si="220"/>
        <v>762</v>
      </c>
      <c r="K1379" s="23">
        <f t="shared" ca="1" si="221"/>
        <v>1120</v>
      </c>
      <c r="L1379" s="23">
        <f t="shared" ca="1" si="214"/>
        <v>78400</v>
      </c>
    </row>
    <row r="1380" spans="3:12">
      <c r="C1380" s="23">
        <f t="shared" si="212"/>
        <v>420</v>
      </c>
      <c r="D1380" s="23">
        <f t="shared" si="213"/>
        <v>168</v>
      </c>
      <c r="E1380" s="23">
        <f t="shared" si="215"/>
        <v>252</v>
      </c>
      <c r="F1380" s="23">
        <f t="shared" si="216"/>
        <v>700</v>
      </c>
      <c r="G1380" s="23">
        <f t="shared" ca="1" si="217"/>
        <v>204</v>
      </c>
      <c r="H1380" s="23">
        <f t="shared" ca="1" si="218"/>
        <v>552</v>
      </c>
      <c r="I1380" s="23">
        <f t="shared" ca="1" si="219"/>
        <v>372</v>
      </c>
      <c r="J1380" s="23">
        <f t="shared" ca="1" si="220"/>
        <v>552</v>
      </c>
      <c r="K1380" s="23">
        <f t="shared" ca="1" si="221"/>
        <v>924</v>
      </c>
      <c r="L1380" s="23">
        <f t="shared" ca="1" si="214"/>
        <v>51940</v>
      </c>
    </row>
    <row r="1381" spans="3:12">
      <c r="C1381" s="23">
        <f t="shared" si="212"/>
        <v>420</v>
      </c>
      <c r="D1381" s="23">
        <f t="shared" si="213"/>
        <v>168</v>
      </c>
      <c r="E1381" s="23">
        <f t="shared" si="215"/>
        <v>252</v>
      </c>
      <c r="F1381" s="23">
        <f t="shared" si="216"/>
        <v>700</v>
      </c>
      <c r="G1381" s="23">
        <f t="shared" ca="1" si="217"/>
        <v>216</v>
      </c>
      <c r="H1381" s="23">
        <f t="shared" ca="1" si="218"/>
        <v>656</v>
      </c>
      <c r="I1381" s="23">
        <f t="shared" ca="1" si="219"/>
        <v>384</v>
      </c>
      <c r="J1381" s="23">
        <f t="shared" ca="1" si="220"/>
        <v>656</v>
      </c>
      <c r="K1381" s="23">
        <f t="shared" ca="1" si="221"/>
        <v>1040</v>
      </c>
      <c r="L1381" s="23">
        <f t="shared" ca="1" si="214"/>
        <v>67600</v>
      </c>
    </row>
    <row r="1382" spans="3:12">
      <c r="C1382" s="23">
        <f t="shared" si="212"/>
        <v>420</v>
      </c>
      <c r="D1382" s="23">
        <f t="shared" si="213"/>
        <v>168</v>
      </c>
      <c r="E1382" s="23">
        <f t="shared" si="215"/>
        <v>252</v>
      </c>
      <c r="F1382" s="23">
        <f t="shared" si="216"/>
        <v>700</v>
      </c>
      <c r="G1382" s="23">
        <f t="shared" ca="1" si="217"/>
        <v>188</v>
      </c>
      <c r="H1382" s="23">
        <f t="shared" ca="1" si="218"/>
        <v>708</v>
      </c>
      <c r="I1382" s="23">
        <f t="shared" ca="1" si="219"/>
        <v>356</v>
      </c>
      <c r="J1382" s="23">
        <f t="shared" ca="1" si="220"/>
        <v>708</v>
      </c>
      <c r="K1382" s="23">
        <f t="shared" ca="1" si="221"/>
        <v>1064</v>
      </c>
      <c r="L1382" s="23">
        <f t="shared" ca="1" si="214"/>
        <v>70840</v>
      </c>
    </row>
    <row r="1383" spans="3:12">
      <c r="C1383" s="23">
        <f t="shared" si="212"/>
        <v>420</v>
      </c>
      <c r="D1383" s="23">
        <f t="shared" si="213"/>
        <v>168</v>
      </c>
      <c r="E1383" s="23">
        <f t="shared" si="215"/>
        <v>252</v>
      </c>
      <c r="F1383" s="23">
        <f t="shared" si="216"/>
        <v>700</v>
      </c>
      <c r="G1383" s="23">
        <f t="shared" ca="1" si="217"/>
        <v>192</v>
      </c>
      <c r="H1383" s="23">
        <f t="shared" ca="1" si="218"/>
        <v>688</v>
      </c>
      <c r="I1383" s="23">
        <f t="shared" ca="1" si="219"/>
        <v>360</v>
      </c>
      <c r="J1383" s="23">
        <f t="shared" ca="1" si="220"/>
        <v>688</v>
      </c>
      <c r="K1383" s="23">
        <f t="shared" ca="1" si="221"/>
        <v>1048</v>
      </c>
      <c r="L1383" s="23">
        <f t="shared" ca="1" si="214"/>
        <v>68680</v>
      </c>
    </row>
    <row r="1384" spans="3:12">
      <c r="C1384" s="23">
        <f t="shared" si="212"/>
        <v>420</v>
      </c>
      <c r="D1384" s="23">
        <f t="shared" si="213"/>
        <v>168</v>
      </c>
      <c r="E1384" s="23">
        <f t="shared" si="215"/>
        <v>252</v>
      </c>
      <c r="F1384" s="23">
        <f t="shared" si="216"/>
        <v>700</v>
      </c>
      <c r="G1384" s="23">
        <f t="shared" ca="1" si="217"/>
        <v>225</v>
      </c>
      <c r="H1384" s="23">
        <f t="shared" ca="1" si="218"/>
        <v>648</v>
      </c>
      <c r="I1384" s="23">
        <f t="shared" ca="1" si="219"/>
        <v>393</v>
      </c>
      <c r="J1384" s="23">
        <f t="shared" ca="1" si="220"/>
        <v>648</v>
      </c>
      <c r="K1384" s="23">
        <f t="shared" ca="1" si="221"/>
        <v>1041</v>
      </c>
      <c r="L1384" s="23">
        <f t="shared" ca="1" si="214"/>
        <v>67735</v>
      </c>
    </row>
    <row r="1385" spans="3:12">
      <c r="C1385" s="23">
        <f t="shared" si="212"/>
        <v>420</v>
      </c>
      <c r="D1385" s="23">
        <f t="shared" si="213"/>
        <v>168</v>
      </c>
      <c r="E1385" s="23">
        <f t="shared" si="215"/>
        <v>252</v>
      </c>
      <c r="F1385" s="23">
        <f t="shared" si="216"/>
        <v>700</v>
      </c>
      <c r="G1385" s="23">
        <f t="shared" ca="1" si="217"/>
        <v>195</v>
      </c>
      <c r="H1385" s="23">
        <f t="shared" ca="1" si="218"/>
        <v>733</v>
      </c>
      <c r="I1385" s="23">
        <f t="shared" ca="1" si="219"/>
        <v>363</v>
      </c>
      <c r="J1385" s="23">
        <f t="shared" ca="1" si="220"/>
        <v>733</v>
      </c>
      <c r="K1385" s="23">
        <f t="shared" ca="1" si="221"/>
        <v>1096</v>
      </c>
      <c r="L1385" s="23">
        <f t="shared" ca="1" si="214"/>
        <v>75160</v>
      </c>
    </row>
    <row r="1386" spans="3:12">
      <c r="C1386" s="23">
        <f t="shared" si="212"/>
        <v>420</v>
      </c>
      <c r="D1386" s="23">
        <f t="shared" si="213"/>
        <v>168</v>
      </c>
      <c r="E1386" s="23">
        <f t="shared" si="215"/>
        <v>252</v>
      </c>
      <c r="F1386" s="23">
        <f t="shared" si="216"/>
        <v>700</v>
      </c>
      <c r="G1386" s="23">
        <f t="shared" ca="1" si="217"/>
        <v>233</v>
      </c>
      <c r="H1386" s="23">
        <f t="shared" ca="1" si="218"/>
        <v>626</v>
      </c>
      <c r="I1386" s="23">
        <f t="shared" ca="1" si="219"/>
        <v>401</v>
      </c>
      <c r="J1386" s="23">
        <f t="shared" ca="1" si="220"/>
        <v>626</v>
      </c>
      <c r="K1386" s="23">
        <f t="shared" ca="1" si="221"/>
        <v>1027</v>
      </c>
      <c r="L1386" s="23">
        <f t="shared" ca="1" si="214"/>
        <v>65845</v>
      </c>
    </row>
    <row r="1387" spans="3:12">
      <c r="C1387" s="23">
        <f t="shared" si="212"/>
        <v>420</v>
      </c>
      <c r="D1387" s="23">
        <f t="shared" si="213"/>
        <v>168</v>
      </c>
      <c r="E1387" s="23">
        <f t="shared" si="215"/>
        <v>252</v>
      </c>
      <c r="F1387" s="23">
        <f t="shared" si="216"/>
        <v>700</v>
      </c>
      <c r="G1387" s="23">
        <f t="shared" ca="1" si="217"/>
        <v>223</v>
      </c>
      <c r="H1387" s="23">
        <f t="shared" ca="1" si="218"/>
        <v>581</v>
      </c>
      <c r="I1387" s="23">
        <f t="shared" ca="1" si="219"/>
        <v>391</v>
      </c>
      <c r="J1387" s="23">
        <f t="shared" ca="1" si="220"/>
        <v>581</v>
      </c>
      <c r="K1387" s="23">
        <f t="shared" ca="1" si="221"/>
        <v>972</v>
      </c>
      <c r="L1387" s="23">
        <f t="shared" ca="1" si="214"/>
        <v>58420</v>
      </c>
    </row>
    <row r="1388" spans="3:12">
      <c r="C1388" s="23">
        <f t="shared" si="212"/>
        <v>420</v>
      </c>
      <c r="D1388" s="23">
        <f t="shared" si="213"/>
        <v>168</v>
      </c>
      <c r="E1388" s="23">
        <f t="shared" si="215"/>
        <v>252</v>
      </c>
      <c r="F1388" s="23">
        <f t="shared" si="216"/>
        <v>700</v>
      </c>
      <c r="G1388" s="23">
        <f t="shared" ca="1" si="217"/>
        <v>221</v>
      </c>
      <c r="H1388" s="23">
        <f t="shared" ca="1" si="218"/>
        <v>654</v>
      </c>
      <c r="I1388" s="23">
        <f t="shared" ca="1" si="219"/>
        <v>389</v>
      </c>
      <c r="J1388" s="23">
        <f t="shared" ca="1" si="220"/>
        <v>654</v>
      </c>
      <c r="K1388" s="23">
        <f t="shared" ca="1" si="221"/>
        <v>1043</v>
      </c>
      <c r="L1388" s="23">
        <f t="shared" ca="1" si="214"/>
        <v>68005</v>
      </c>
    </row>
    <row r="1389" spans="3:12">
      <c r="C1389" s="23">
        <f t="shared" si="212"/>
        <v>420</v>
      </c>
      <c r="D1389" s="23">
        <f t="shared" si="213"/>
        <v>168</v>
      </c>
      <c r="E1389" s="23">
        <f t="shared" si="215"/>
        <v>252</v>
      </c>
      <c r="F1389" s="23">
        <f t="shared" si="216"/>
        <v>700</v>
      </c>
      <c r="G1389" s="23">
        <f t="shared" ca="1" si="217"/>
        <v>204</v>
      </c>
      <c r="H1389" s="23">
        <f t="shared" ca="1" si="218"/>
        <v>713</v>
      </c>
      <c r="I1389" s="23">
        <f t="shared" ca="1" si="219"/>
        <v>372</v>
      </c>
      <c r="J1389" s="23">
        <f t="shared" ca="1" si="220"/>
        <v>713</v>
      </c>
      <c r="K1389" s="23">
        <f t="shared" ca="1" si="221"/>
        <v>1085</v>
      </c>
      <c r="L1389" s="23">
        <f t="shared" ca="1" si="214"/>
        <v>73675</v>
      </c>
    </row>
    <row r="1390" spans="3:12">
      <c r="C1390" s="23">
        <f t="shared" si="212"/>
        <v>420</v>
      </c>
      <c r="D1390" s="23">
        <f t="shared" si="213"/>
        <v>168</v>
      </c>
      <c r="E1390" s="23">
        <f t="shared" si="215"/>
        <v>252</v>
      </c>
      <c r="F1390" s="23">
        <f t="shared" si="216"/>
        <v>700</v>
      </c>
      <c r="G1390" s="23">
        <f t="shared" ca="1" si="217"/>
        <v>213</v>
      </c>
      <c r="H1390" s="23">
        <f t="shared" ca="1" si="218"/>
        <v>606</v>
      </c>
      <c r="I1390" s="23">
        <f t="shared" ca="1" si="219"/>
        <v>381</v>
      </c>
      <c r="J1390" s="23">
        <f t="shared" ca="1" si="220"/>
        <v>606</v>
      </c>
      <c r="K1390" s="23">
        <f t="shared" ca="1" si="221"/>
        <v>987</v>
      </c>
      <c r="L1390" s="23">
        <f t="shared" ca="1" si="214"/>
        <v>60445</v>
      </c>
    </row>
    <row r="1391" spans="3:12">
      <c r="C1391" s="23">
        <f t="shared" si="212"/>
        <v>420</v>
      </c>
      <c r="D1391" s="23">
        <f t="shared" si="213"/>
        <v>168</v>
      </c>
      <c r="E1391" s="23">
        <f t="shared" si="215"/>
        <v>252</v>
      </c>
      <c r="F1391" s="23">
        <f t="shared" si="216"/>
        <v>700</v>
      </c>
      <c r="G1391" s="23">
        <f t="shared" ca="1" si="217"/>
        <v>226</v>
      </c>
      <c r="H1391" s="23">
        <f t="shared" ca="1" si="218"/>
        <v>689</v>
      </c>
      <c r="I1391" s="23">
        <f t="shared" ca="1" si="219"/>
        <v>394</v>
      </c>
      <c r="J1391" s="23">
        <f t="shared" ca="1" si="220"/>
        <v>689</v>
      </c>
      <c r="K1391" s="23">
        <f t="shared" ca="1" si="221"/>
        <v>1083</v>
      </c>
      <c r="L1391" s="23">
        <f t="shared" ca="1" si="214"/>
        <v>73405</v>
      </c>
    </row>
    <row r="1392" spans="3:12">
      <c r="C1392" s="23">
        <f t="shared" si="212"/>
        <v>420</v>
      </c>
      <c r="D1392" s="23">
        <f t="shared" si="213"/>
        <v>168</v>
      </c>
      <c r="E1392" s="23">
        <f t="shared" si="215"/>
        <v>252</v>
      </c>
      <c r="F1392" s="23">
        <f t="shared" si="216"/>
        <v>700</v>
      </c>
      <c r="G1392" s="23">
        <f t="shared" ca="1" si="217"/>
        <v>223</v>
      </c>
      <c r="H1392" s="23">
        <f t="shared" ca="1" si="218"/>
        <v>670</v>
      </c>
      <c r="I1392" s="23">
        <f t="shared" ca="1" si="219"/>
        <v>391</v>
      </c>
      <c r="J1392" s="23">
        <f t="shared" ca="1" si="220"/>
        <v>670</v>
      </c>
      <c r="K1392" s="23">
        <f t="shared" ca="1" si="221"/>
        <v>1061</v>
      </c>
      <c r="L1392" s="23">
        <f t="shared" ca="1" si="214"/>
        <v>70435</v>
      </c>
    </row>
    <row r="1393" spans="3:12">
      <c r="C1393" s="23">
        <f t="shared" si="212"/>
        <v>420</v>
      </c>
      <c r="D1393" s="23">
        <f t="shared" si="213"/>
        <v>168</v>
      </c>
      <c r="E1393" s="23">
        <f t="shared" si="215"/>
        <v>252</v>
      </c>
      <c r="F1393" s="23">
        <f t="shared" si="216"/>
        <v>700</v>
      </c>
      <c r="G1393" s="23">
        <f t="shared" ca="1" si="217"/>
        <v>236</v>
      </c>
      <c r="H1393" s="23">
        <f t="shared" ca="1" si="218"/>
        <v>673</v>
      </c>
      <c r="I1393" s="23">
        <f t="shared" ca="1" si="219"/>
        <v>404</v>
      </c>
      <c r="J1393" s="23">
        <f t="shared" ca="1" si="220"/>
        <v>673</v>
      </c>
      <c r="K1393" s="23">
        <f t="shared" ca="1" si="221"/>
        <v>1077</v>
      </c>
      <c r="L1393" s="23">
        <f t="shared" ca="1" si="214"/>
        <v>72595</v>
      </c>
    </row>
    <row r="1394" spans="3:12">
      <c r="C1394" s="23">
        <f t="shared" si="212"/>
        <v>420</v>
      </c>
      <c r="D1394" s="23">
        <f t="shared" si="213"/>
        <v>168</v>
      </c>
      <c r="E1394" s="23">
        <f t="shared" si="215"/>
        <v>252</v>
      </c>
      <c r="F1394" s="23">
        <f t="shared" si="216"/>
        <v>700</v>
      </c>
      <c r="G1394" s="23">
        <f t="shared" ca="1" si="217"/>
        <v>207</v>
      </c>
      <c r="H1394" s="23">
        <f t="shared" ca="1" si="218"/>
        <v>623</v>
      </c>
      <c r="I1394" s="23">
        <f t="shared" ca="1" si="219"/>
        <v>375</v>
      </c>
      <c r="J1394" s="23">
        <f t="shared" ca="1" si="220"/>
        <v>623</v>
      </c>
      <c r="K1394" s="23">
        <f t="shared" ca="1" si="221"/>
        <v>998</v>
      </c>
      <c r="L1394" s="23">
        <f t="shared" ca="1" si="214"/>
        <v>61930</v>
      </c>
    </row>
    <row r="1395" spans="3:12">
      <c r="C1395" s="23">
        <f t="shared" si="212"/>
        <v>420</v>
      </c>
      <c r="D1395" s="23">
        <f t="shared" si="213"/>
        <v>168</v>
      </c>
      <c r="E1395" s="23">
        <f t="shared" si="215"/>
        <v>252</v>
      </c>
      <c r="F1395" s="23">
        <f t="shared" si="216"/>
        <v>700</v>
      </c>
      <c r="G1395" s="23">
        <f t="shared" ca="1" si="217"/>
        <v>218</v>
      </c>
      <c r="H1395" s="23">
        <f t="shared" ca="1" si="218"/>
        <v>752</v>
      </c>
      <c r="I1395" s="23">
        <f t="shared" ca="1" si="219"/>
        <v>386</v>
      </c>
      <c r="J1395" s="23">
        <f t="shared" ca="1" si="220"/>
        <v>734</v>
      </c>
      <c r="K1395" s="23">
        <f t="shared" ca="1" si="221"/>
        <v>1120</v>
      </c>
      <c r="L1395" s="23">
        <f t="shared" ca="1" si="214"/>
        <v>78400</v>
      </c>
    </row>
    <row r="1396" spans="3:12">
      <c r="C1396" s="23">
        <f t="shared" si="212"/>
        <v>420</v>
      </c>
      <c r="D1396" s="23">
        <f t="shared" si="213"/>
        <v>168</v>
      </c>
      <c r="E1396" s="23">
        <f t="shared" si="215"/>
        <v>252</v>
      </c>
      <c r="F1396" s="23">
        <f t="shared" si="216"/>
        <v>700</v>
      </c>
      <c r="G1396" s="23">
        <f t="shared" ca="1" si="217"/>
        <v>199</v>
      </c>
      <c r="H1396" s="23">
        <f t="shared" ca="1" si="218"/>
        <v>622</v>
      </c>
      <c r="I1396" s="23">
        <f t="shared" ca="1" si="219"/>
        <v>367</v>
      </c>
      <c r="J1396" s="23">
        <f t="shared" ca="1" si="220"/>
        <v>622</v>
      </c>
      <c r="K1396" s="23">
        <f t="shared" ca="1" si="221"/>
        <v>989</v>
      </c>
      <c r="L1396" s="23">
        <f t="shared" ca="1" si="214"/>
        <v>60715</v>
      </c>
    </row>
    <row r="1397" spans="3:12">
      <c r="C1397" s="23">
        <f t="shared" si="212"/>
        <v>420</v>
      </c>
      <c r="D1397" s="23">
        <f t="shared" si="213"/>
        <v>168</v>
      </c>
      <c r="E1397" s="23">
        <f t="shared" si="215"/>
        <v>252</v>
      </c>
      <c r="F1397" s="23">
        <f t="shared" si="216"/>
        <v>700</v>
      </c>
      <c r="G1397" s="23">
        <f t="shared" ca="1" si="217"/>
        <v>238</v>
      </c>
      <c r="H1397" s="23">
        <f t="shared" ca="1" si="218"/>
        <v>544</v>
      </c>
      <c r="I1397" s="23">
        <f t="shared" ca="1" si="219"/>
        <v>406</v>
      </c>
      <c r="J1397" s="23">
        <f t="shared" ca="1" si="220"/>
        <v>544</v>
      </c>
      <c r="K1397" s="23">
        <f t="shared" ca="1" si="221"/>
        <v>950</v>
      </c>
      <c r="L1397" s="23">
        <f t="shared" ca="1" si="214"/>
        <v>55450</v>
      </c>
    </row>
    <row r="1398" spans="3:12">
      <c r="C1398" s="23">
        <f t="shared" si="212"/>
        <v>420</v>
      </c>
      <c r="D1398" s="23">
        <f t="shared" si="213"/>
        <v>168</v>
      </c>
      <c r="E1398" s="23">
        <f t="shared" si="215"/>
        <v>252</v>
      </c>
      <c r="F1398" s="23">
        <f t="shared" si="216"/>
        <v>700</v>
      </c>
      <c r="G1398" s="23">
        <f t="shared" ca="1" si="217"/>
        <v>230</v>
      </c>
      <c r="H1398" s="23">
        <f t="shared" ca="1" si="218"/>
        <v>652</v>
      </c>
      <c r="I1398" s="23">
        <f t="shared" ca="1" si="219"/>
        <v>398</v>
      </c>
      <c r="J1398" s="23">
        <f t="shared" ca="1" si="220"/>
        <v>652</v>
      </c>
      <c r="K1398" s="23">
        <f t="shared" ca="1" si="221"/>
        <v>1050</v>
      </c>
      <c r="L1398" s="23">
        <f t="shared" ca="1" si="214"/>
        <v>68950</v>
      </c>
    </row>
    <row r="1399" spans="3:12">
      <c r="C1399" s="23">
        <f t="shared" si="212"/>
        <v>420</v>
      </c>
      <c r="D1399" s="23">
        <f t="shared" si="213"/>
        <v>168</v>
      </c>
      <c r="E1399" s="23">
        <f t="shared" si="215"/>
        <v>252</v>
      </c>
      <c r="F1399" s="23">
        <f t="shared" si="216"/>
        <v>700</v>
      </c>
      <c r="G1399" s="23">
        <f t="shared" ca="1" si="217"/>
        <v>205</v>
      </c>
      <c r="H1399" s="23">
        <f t="shared" ca="1" si="218"/>
        <v>602</v>
      </c>
      <c r="I1399" s="23">
        <f t="shared" ca="1" si="219"/>
        <v>373</v>
      </c>
      <c r="J1399" s="23">
        <f t="shared" ca="1" si="220"/>
        <v>602</v>
      </c>
      <c r="K1399" s="23">
        <f t="shared" ca="1" si="221"/>
        <v>975</v>
      </c>
      <c r="L1399" s="23">
        <f t="shared" ca="1" si="214"/>
        <v>58825</v>
      </c>
    </row>
    <row r="1400" spans="3:12">
      <c r="C1400" s="23">
        <f t="shared" si="212"/>
        <v>420</v>
      </c>
      <c r="D1400" s="23">
        <f t="shared" si="213"/>
        <v>168</v>
      </c>
      <c r="E1400" s="23">
        <f t="shared" si="215"/>
        <v>252</v>
      </c>
      <c r="F1400" s="23">
        <f t="shared" si="216"/>
        <v>700</v>
      </c>
      <c r="G1400" s="23">
        <f t="shared" ca="1" si="217"/>
        <v>231</v>
      </c>
      <c r="H1400" s="23">
        <f t="shared" ca="1" si="218"/>
        <v>649</v>
      </c>
      <c r="I1400" s="23">
        <f t="shared" ca="1" si="219"/>
        <v>399</v>
      </c>
      <c r="J1400" s="23">
        <f t="shared" ca="1" si="220"/>
        <v>649</v>
      </c>
      <c r="K1400" s="23">
        <f t="shared" ca="1" si="221"/>
        <v>1048</v>
      </c>
      <c r="L1400" s="23">
        <f t="shared" ca="1" si="214"/>
        <v>68680</v>
      </c>
    </row>
    <row r="1401" spans="3:12">
      <c r="C1401" s="23">
        <f t="shared" si="212"/>
        <v>420</v>
      </c>
      <c r="D1401" s="23">
        <f t="shared" si="213"/>
        <v>168</v>
      </c>
      <c r="E1401" s="23">
        <f t="shared" si="215"/>
        <v>252</v>
      </c>
      <c r="F1401" s="23">
        <f t="shared" si="216"/>
        <v>700</v>
      </c>
      <c r="G1401" s="23">
        <f t="shared" ca="1" si="217"/>
        <v>184</v>
      </c>
      <c r="H1401" s="23">
        <f t="shared" ca="1" si="218"/>
        <v>649</v>
      </c>
      <c r="I1401" s="23">
        <f t="shared" ca="1" si="219"/>
        <v>352</v>
      </c>
      <c r="J1401" s="23">
        <f t="shared" ca="1" si="220"/>
        <v>649</v>
      </c>
      <c r="K1401" s="23">
        <f t="shared" ca="1" si="221"/>
        <v>1001</v>
      </c>
      <c r="L1401" s="23">
        <f t="shared" ca="1" si="214"/>
        <v>62335</v>
      </c>
    </row>
    <row r="1402" spans="3:12">
      <c r="C1402" s="23">
        <f t="shared" si="212"/>
        <v>420</v>
      </c>
      <c r="D1402" s="23">
        <f t="shared" si="213"/>
        <v>168</v>
      </c>
      <c r="E1402" s="23">
        <f t="shared" si="215"/>
        <v>252</v>
      </c>
      <c r="F1402" s="23">
        <f t="shared" si="216"/>
        <v>700</v>
      </c>
      <c r="G1402" s="23">
        <f t="shared" ca="1" si="217"/>
        <v>201</v>
      </c>
      <c r="H1402" s="23">
        <f t="shared" ca="1" si="218"/>
        <v>600</v>
      </c>
      <c r="I1402" s="23">
        <f t="shared" ca="1" si="219"/>
        <v>369</v>
      </c>
      <c r="J1402" s="23">
        <f t="shared" ca="1" si="220"/>
        <v>600</v>
      </c>
      <c r="K1402" s="23">
        <f t="shared" ca="1" si="221"/>
        <v>969</v>
      </c>
      <c r="L1402" s="23">
        <f t="shared" ca="1" si="214"/>
        <v>58015</v>
      </c>
    </row>
    <row r="1403" spans="3:12">
      <c r="C1403" s="23">
        <f t="shared" si="212"/>
        <v>420</v>
      </c>
      <c r="D1403" s="23">
        <f t="shared" si="213"/>
        <v>168</v>
      </c>
      <c r="E1403" s="23">
        <f t="shared" si="215"/>
        <v>252</v>
      </c>
      <c r="F1403" s="23">
        <f t="shared" si="216"/>
        <v>700</v>
      </c>
      <c r="G1403" s="23">
        <f t="shared" ca="1" si="217"/>
        <v>215</v>
      </c>
      <c r="H1403" s="23">
        <f t="shared" ca="1" si="218"/>
        <v>697</v>
      </c>
      <c r="I1403" s="23">
        <f t="shared" ca="1" si="219"/>
        <v>383</v>
      </c>
      <c r="J1403" s="23">
        <f t="shared" ca="1" si="220"/>
        <v>697</v>
      </c>
      <c r="K1403" s="23">
        <f t="shared" ca="1" si="221"/>
        <v>1080</v>
      </c>
      <c r="L1403" s="23">
        <f t="shared" ca="1" si="214"/>
        <v>73000</v>
      </c>
    </row>
    <row r="1404" spans="3:12">
      <c r="C1404" s="23">
        <f t="shared" si="212"/>
        <v>420</v>
      </c>
      <c r="D1404" s="23">
        <f t="shared" si="213"/>
        <v>168</v>
      </c>
      <c r="E1404" s="23">
        <f t="shared" si="215"/>
        <v>252</v>
      </c>
      <c r="F1404" s="23">
        <f t="shared" si="216"/>
        <v>700</v>
      </c>
      <c r="G1404" s="23">
        <f t="shared" ca="1" si="217"/>
        <v>216</v>
      </c>
      <c r="H1404" s="23">
        <f t="shared" ca="1" si="218"/>
        <v>661</v>
      </c>
      <c r="I1404" s="23">
        <f t="shared" ca="1" si="219"/>
        <v>384</v>
      </c>
      <c r="J1404" s="23">
        <f t="shared" ca="1" si="220"/>
        <v>661</v>
      </c>
      <c r="K1404" s="23">
        <f t="shared" ca="1" si="221"/>
        <v>1045</v>
      </c>
      <c r="L1404" s="23">
        <f t="shared" ca="1" si="214"/>
        <v>68275</v>
      </c>
    </row>
    <row r="1405" spans="3:12">
      <c r="C1405" s="23">
        <f t="shared" si="212"/>
        <v>420</v>
      </c>
      <c r="D1405" s="23">
        <f t="shared" si="213"/>
        <v>168</v>
      </c>
      <c r="E1405" s="23">
        <f t="shared" si="215"/>
        <v>252</v>
      </c>
      <c r="F1405" s="23">
        <f t="shared" si="216"/>
        <v>700</v>
      </c>
      <c r="G1405" s="23">
        <f t="shared" ca="1" si="217"/>
        <v>265</v>
      </c>
      <c r="H1405" s="23">
        <f t="shared" ca="1" si="218"/>
        <v>643</v>
      </c>
      <c r="I1405" s="23">
        <f t="shared" ca="1" si="219"/>
        <v>420</v>
      </c>
      <c r="J1405" s="23">
        <f t="shared" ca="1" si="220"/>
        <v>643</v>
      </c>
      <c r="K1405" s="23">
        <f t="shared" ca="1" si="221"/>
        <v>1063</v>
      </c>
      <c r="L1405" s="23">
        <f t="shared" ca="1" si="214"/>
        <v>70705</v>
      </c>
    </row>
    <row r="1406" spans="3:12">
      <c r="C1406" s="23">
        <f t="shared" si="212"/>
        <v>420</v>
      </c>
      <c r="D1406" s="23">
        <f t="shared" si="213"/>
        <v>168</v>
      </c>
      <c r="E1406" s="23">
        <f t="shared" si="215"/>
        <v>252</v>
      </c>
      <c r="F1406" s="23">
        <f t="shared" si="216"/>
        <v>700</v>
      </c>
      <c r="G1406" s="23">
        <f t="shared" ca="1" si="217"/>
        <v>227</v>
      </c>
      <c r="H1406" s="23">
        <f t="shared" ca="1" si="218"/>
        <v>698</v>
      </c>
      <c r="I1406" s="23">
        <f t="shared" ca="1" si="219"/>
        <v>395</v>
      </c>
      <c r="J1406" s="23">
        <f t="shared" ca="1" si="220"/>
        <v>698</v>
      </c>
      <c r="K1406" s="23">
        <f t="shared" ca="1" si="221"/>
        <v>1093</v>
      </c>
      <c r="L1406" s="23">
        <f t="shared" ca="1" si="214"/>
        <v>74755</v>
      </c>
    </row>
    <row r="1407" spans="3:12">
      <c r="C1407" s="23">
        <f t="shared" si="212"/>
        <v>420</v>
      </c>
      <c r="D1407" s="23">
        <f t="shared" si="213"/>
        <v>168</v>
      </c>
      <c r="E1407" s="23">
        <f t="shared" si="215"/>
        <v>252</v>
      </c>
      <c r="F1407" s="23">
        <f t="shared" si="216"/>
        <v>700</v>
      </c>
      <c r="G1407" s="23">
        <f t="shared" ca="1" si="217"/>
        <v>221</v>
      </c>
      <c r="H1407" s="23">
        <f t="shared" ca="1" si="218"/>
        <v>614</v>
      </c>
      <c r="I1407" s="23">
        <f t="shared" ca="1" si="219"/>
        <v>389</v>
      </c>
      <c r="J1407" s="23">
        <f t="shared" ca="1" si="220"/>
        <v>614</v>
      </c>
      <c r="K1407" s="23">
        <f t="shared" ca="1" si="221"/>
        <v>1003</v>
      </c>
      <c r="L1407" s="23">
        <f t="shared" ca="1" si="214"/>
        <v>62605</v>
      </c>
    </row>
    <row r="1408" spans="3:12">
      <c r="C1408" s="23">
        <f t="shared" si="212"/>
        <v>420</v>
      </c>
      <c r="D1408" s="23">
        <f t="shared" si="213"/>
        <v>168</v>
      </c>
      <c r="E1408" s="23">
        <f t="shared" si="215"/>
        <v>252</v>
      </c>
      <c r="F1408" s="23">
        <f t="shared" si="216"/>
        <v>700</v>
      </c>
      <c r="G1408" s="23">
        <f t="shared" ca="1" si="217"/>
        <v>211</v>
      </c>
      <c r="H1408" s="23">
        <f t="shared" ca="1" si="218"/>
        <v>633</v>
      </c>
      <c r="I1408" s="23">
        <f t="shared" ca="1" si="219"/>
        <v>379</v>
      </c>
      <c r="J1408" s="23">
        <f t="shared" ca="1" si="220"/>
        <v>633</v>
      </c>
      <c r="K1408" s="23">
        <f t="shared" ca="1" si="221"/>
        <v>1012</v>
      </c>
      <c r="L1408" s="23">
        <f t="shared" ca="1" si="214"/>
        <v>63820</v>
      </c>
    </row>
    <row r="1409" spans="3:12">
      <c r="C1409" s="23">
        <f t="shared" si="212"/>
        <v>420</v>
      </c>
      <c r="D1409" s="23">
        <f t="shared" si="213"/>
        <v>168</v>
      </c>
      <c r="E1409" s="23">
        <f t="shared" si="215"/>
        <v>252</v>
      </c>
      <c r="F1409" s="23">
        <f t="shared" si="216"/>
        <v>700</v>
      </c>
      <c r="G1409" s="23">
        <f t="shared" ca="1" si="217"/>
        <v>198</v>
      </c>
      <c r="H1409" s="23">
        <f t="shared" ca="1" si="218"/>
        <v>788</v>
      </c>
      <c r="I1409" s="23">
        <f t="shared" ca="1" si="219"/>
        <v>366</v>
      </c>
      <c r="J1409" s="23">
        <f t="shared" ca="1" si="220"/>
        <v>754</v>
      </c>
      <c r="K1409" s="23">
        <f t="shared" ca="1" si="221"/>
        <v>1120</v>
      </c>
      <c r="L1409" s="23">
        <f t="shared" ca="1" si="214"/>
        <v>78400</v>
      </c>
    </row>
    <row r="1410" spans="3:12">
      <c r="C1410" s="23">
        <f t="shared" si="212"/>
        <v>420</v>
      </c>
      <c r="D1410" s="23">
        <f t="shared" si="213"/>
        <v>168</v>
      </c>
      <c r="E1410" s="23">
        <f t="shared" si="215"/>
        <v>252</v>
      </c>
      <c r="F1410" s="23">
        <f t="shared" si="216"/>
        <v>700</v>
      </c>
      <c r="G1410" s="23">
        <f t="shared" ca="1" si="217"/>
        <v>204</v>
      </c>
      <c r="H1410" s="23">
        <f t="shared" ca="1" si="218"/>
        <v>558</v>
      </c>
      <c r="I1410" s="23">
        <f t="shared" ca="1" si="219"/>
        <v>372</v>
      </c>
      <c r="J1410" s="23">
        <f t="shared" ca="1" si="220"/>
        <v>558</v>
      </c>
      <c r="K1410" s="23">
        <f t="shared" ca="1" si="221"/>
        <v>930</v>
      </c>
      <c r="L1410" s="23">
        <f t="shared" ca="1" si="214"/>
        <v>52750</v>
      </c>
    </row>
    <row r="1411" spans="3:12">
      <c r="C1411" s="23">
        <f t="shared" si="212"/>
        <v>420</v>
      </c>
      <c r="D1411" s="23">
        <f t="shared" si="213"/>
        <v>168</v>
      </c>
      <c r="E1411" s="23">
        <f t="shared" si="215"/>
        <v>252</v>
      </c>
      <c r="F1411" s="23">
        <f t="shared" si="216"/>
        <v>700</v>
      </c>
      <c r="G1411" s="23">
        <f t="shared" ca="1" si="217"/>
        <v>221</v>
      </c>
      <c r="H1411" s="23">
        <f t="shared" ca="1" si="218"/>
        <v>697</v>
      </c>
      <c r="I1411" s="23">
        <f t="shared" ca="1" si="219"/>
        <v>389</v>
      </c>
      <c r="J1411" s="23">
        <f t="shared" ca="1" si="220"/>
        <v>697</v>
      </c>
      <c r="K1411" s="23">
        <f t="shared" ca="1" si="221"/>
        <v>1086</v>
      </c>
      <c r="L1411" s="23">
        <f t="shared" ca="1" si="214"/>
        <v>73810</v>
      </c>
    </row>
    <row r="1412" spans="3:12">
      <c r="C1412" s="23">
        <f t="shared" si="212"/>
        <v>420</v>
      </c>
      <c r="D1412" s="23">
        <f t="shared" si="213"/>
        <v>168</v>
      </c>
      <c r="E1412" s="23">
        <f t="shared" si="215"/>
        <v>252</v>
      </c>
      <c r="F1412" s="23">
        <f t="shared" si="216"/>
        <v>700</v>
      </c>
      <c r="G1412" s="23">
        <f t="shared" ca="1" si="217"/>
        <v>262</v>
      </c>
      <c r="H1412" s="23">
        <f t="shared" ca="1" si="218"/>
        <v>568</v>
      </c>
      <c r="I1412" s="23">
        <f t="shared" ca="1" si="219"/>
        <v>420</v>
      </c>
      <c r="J1412" s="23">
        <f t="shared" ca="1" si="220"/>
        <v>568</v>
      </c>
      <c r="K1412" s="23">
        <f t="shared" ca="1" si="221"/>
        <v>988</v>
      </c>
      <c r="L1412" s="23">
        <f t="shared" ca="1" si="214"/>
        <v>60580</v>
      </c>
    </row>
    <row r="1413" spans="3:12">
      <c r="C1413" s="23">
        <f t="shared" si="212"/>
        <v>420</v>
      </c>
      <c r="D1413" s="23">
        <f t="shared" si="213"/>
        <v>168</v>
      </c>
      <c r="E1413" s="23">
        <f t="shared" si="215"/>
        <v>252</v>
      </c>
      <c r="F1413" s="23">
        <f t="shared" si="216"/>
        <v>700</v>
      </c>
      <c r="G1413" s="23">
        <f t="shared" ca="1" si="217"/>
        <v>236</v>
      </c>
      <c r="H1413" s="23">
        <f t="shared" ca="1" si="218"/>
        <v>622</v>
      </c>
      <c r="I1413" s="23">
        <f t="shared" ca="1" si="219"/>
        <v>404</v>
      </c>
      <c r="J1413" s="23">
        <f t="shared" ca="1" si="220"/>
        <v>622</v>
      </c>
      <c r="K1413" s="23">
        <f t="shared" ca="1" si="221"/>
        <v>1026</v>
      </c>
      <c r="L1413" s="23">
        <f t="shared" ca="1" si="214"/>
        <v>65710</v>
      </c>
    </row>
    <row r="1414" spans="3:12">
      <c r="C1414" s="23">
        <f t="shared" si="212"/>
        <v>420</v>
      </c>
      <c r="D1414" s="23">
        <f t="shared" si="213"/>
        <v>168</v>
      </c>
      <c r="E1414" s="23">
        <f t="shared" si="215"/>
        <v>252</v>
      </c>
      <c r="F1414" s="23">
        <f t="shared" si="216"/>
        <v>700</v>
      </c>
      <c r="G1414" s="23">
        <f t="shared" ca="1" si="217"/>
        <v>177</v>
      </c>
      <c r="H1414" s="23">
        <f t="shared" ca="1" si="218"/>
        <v>711</v>
      </c>
      <c r="I1414" s="23">
        <f t="shared" ca="1" si="219"/>
        <v>345</v>
      </c>
      <c r="J1414" s="23">
        <f t="shared" ca="1" si="220"/>
        <v>711</v>
      </c>
      <c r="K1414" s="23">
        <f t="shared" ca="1" si="221"/>
        <v>1056</v>
      </c>
      <c r="L1414" s="23">
        <f t="shared" ca="1" si="214"/>
        <v>69760</v>
      </c>
    </row>
    <row r="1415" spans="3:12">
      <c r="C1415" s="23">
        <f t="shared" si="212"/>
        <v>420</v>
      </c>
      <c r="D1415" s="23">
        <f t="shared" si="213"/>
        <v>168</v>
      </c>
      <c r="E1415" s="23">
        <f t="shared" si="215"/>
        <v>252</v>
      </c>
      <c r="F1415" s="23">
        <f t="shared" si="216"/>
        <v>700</v>
      </c>
      <c r="G1415" s="23">
        <f t="shared" ca="1" si="217"/>
        <v>212</v>
      </c>
      <c r="H1415" s="23">
        <f t="shared" ca="1" si="218"/>
        <v>692</v>
      </c>
      <c r="I1415" s="23">
        <f t="shared" ca="1" si="219"/>
        <v>380</v>
      </c>
      <c r="J1415" s="23">
        <f t="shared" ca="1" si="220"/>
        <v>692</v>
      </c>
      <c r="K1415" s="23">
        <f t="shared" ca="1" si="221"/>
        <v>1072</v>
      </c>
      <c r="L1415" s="23">
        <f t="shared" ca="1" si="214"/>
        <v>71920</v>
      </c>
    </row>
    <row r="1416" spans="3:12">
      <c r="C1416" s="23">
        <f t="shared" si="212"/>
        <v>420</v>
      </c>
      <c r="D1416" s="23">
        <f t="shared" si="213"/>
        <v>168</v>
      </c>
      <c r="E1416" s="23">
        <f t="shared" si="215"/>
        <v>252</v>
      </c>
      <c r="F1416" s="23">
        <f t="shared" si="216"/>
        <v>700</v>
      </c>
      <c r="G1416" s="23">
        <f t="shared" ca="1" si="217"/>
        <v>196</v>
      </c>
      <c r="H1416" s="23">
        <f t="shared" ca="1" si="218"/>
        <v>655</v>
      </c>
      <c r="I1416" s="23">
        <f t="shared" ca="1" si="219"/>
        <v>364</v>
      </c>
      <c r="J1416" s="23">
        <f t="shared" ca="1" si="220"/>
        <v>655</v>
      </c>
      <c r="K1416" s="23">
        <f t="shared" ca="1" si="221"/>
        <v>1019</v>
      </c>
      <c r="L1416" s="23">
        <f t="shared" ca="1" si="214"/>
        <v>64765</v>
      </c>
    </row>
    <row r="1417" spans="3:12">
      <c r="C1417" s="23">
        <f t="shared" si="212"/>
        <v>420</v>
      </c>
      <c r="D1417" s="23">
        <f t="shared" si="213"/>
        <v>168</v>
      </c>
      <c r="E1417" s="23">
        <f t="shared" si="215"/>
        <v>252</v>
      </c>
      <c r="F1417" s="23">
        <f t="shared" si="216"/>
        <v>700</v>
      </c>
      <c r="G1417" s="23">
        <f t="shared" ca="1" si="217"/>
        <v>200</v>
      </c>
      <c r="H1417" s="23">
        <f t="shared" ca="1" si="218"/>
        <v>681</v>
      </c>
      <c r="I1417" s="23">
        <f t="shared" ca="1" si="219"/>
        <v>368</v>
      </c>
      <c r="J1417" s="23">
        <f t="shared" ca="1" si="220"/>
        <v>681</v>
      </c>
      <c r="K1417" s="23">
        <f t="shared" ca="1" si="221"/>
        <v>1049</v>
      </c>
      <c r="L1417" s="23">
        <f t="shared" ca="1" si="214"/>
        <v>68815</v>
      </c>
    </row>
    <row r="1418" spans="3:12">
      <c r="C1418" s="23">
        <f t="shared" si="212"/>
        <v>420</v>
      </c>
      <c r="D1418" s="23">
        <f t="shared" si="213"/>
        <v>168</v>
      </c>
      <c r="E1418" s="23">
        <f t="shared" si="215"/>
        <v>252</v>
      </c>
      <c r="F1418" s="23">
        <f t="shared" si="216"/>
        <v>700</v>
      </c>
      <c r="G1418" s="23">
        <f t="shared" ca="1" si="217"/>
        <v>205</v>
      </c>
      <c r="H1418" s="23">
        <f t="shared" ca="1" si="218"/>
        <v>524</v>
      </c>
      <c r="I1418" s="23">
        <f t="shared" ca="1" si="219"/>
        <v>373</v>
      </c>
      <c r="J1418" s="23">
        <f t="shared" ca="1" si="220"/>
        <v>524</v>
      </c>
      <c r="K1418" s="23">
        <f t="shared" ca="1" si="221"/>
        <v>897</v>
      </c>
      <c r="L1418" s="23">
        <f t="shared" ca="1" si="214"/>
        <v>48295</v>
      </c>
    </row>
    <row r="1419" spans="3:12">
      <c r="C1419" s="23">
        <f t="shared" si="212"/>
        <v>420</v>
      </c>
      <c r="D1419" s="23">
        <f t="shared" si="213"/>
        <v>168</v>
      </c>
      <c r="E1419" s="23">
        <f t="shared" si="215"/>
        <v>252</v>
      </c>
      <c r="F1419" s="23">
        <f t="shared" si="216"/>
        <v>700</v>
      </c>
      <c r="G1419" s="23">
        <f t="shared" ca="1" si="217"/>
        <v>189</v>
      </c>
      <c r="H1419" s="23">
        <f t="shared" ca="1" si="218"/>
        <v>547</v>
      </c>
      <c r="I1419" s="23">
        <f t="shared" ca="1" si="219"/>
        <v>357</v>
      </c>
      <c r="J1419" s="23">
        <f t="shared" ca="1" si="220"/>
        <v>547</v>
      </c>
      <c r="K1419" s="23">
        <f t="shared" ca="1" si="221"/>
        <v>904</v>
      </c>
      <c r="L1419" s="23">
        <f t="shared" ca="1" si="214"/>
        <v>49240</v>
      </c>
    </row>
    <row r="1420" spans="3:12">
      <c r="C1420" s="23">
        <f t="shared" ref="C1420:C1483" si="222">$B$4</f>
        <v>420</v>
      </c>
      <c r="D1420" s="23">
        <f t="shared" ref="D1420:D1483" si="223">$B$5</f>
        <v>168</v>
      </c>
      <c r="E1420" s="23">
        <f t="shared" si="215"/>
        <v>252</v>
      </c>
      <c r="F1420" s="23">
        <f t="shared" si="216"/>
        <v>700</v>
      </c>
      <c r="G1420" s="23">
        <f t="shared" ca="1" si="217"/>
        <v>217</v>
      </c>
      <c r="H1420" s="23">
        <f t="shared" ca="1" si="218"/>
        <v>653</v>
      </c>
      <c r="I1420" s="23">
        <f t="shared" ca="1" si="219"/>
        <v>385</v>
      </c>
      <c r="J1420" s="23">
        <f t="shared" ca="1" si="220"/>
        <v>653</v>
      </c>
      <c r="K1420" s="23">
        <f t="shared" ca="1" si="221"/>
        <v>1038</v>
      </c>
      <c r="L1420" s="23">
        <f t="shared" ref="L1420:L1483" ca="1" si="224">K1420*$B$2-(F1420+C1420)*$B$1</f>
        <v>67330</v>
      </c>
    </row>
    <row r="1421" spans="3:12">
      <c r="C1421" s="23">
        <f t="shared" si="222"/>
        <v>420</v>
      </c>
      <c r="D1421" s="23">
        <f t="shared" si="223"/>
        <v>168</v>
      </c>
      <c r="E1421" s="23">
        <f t="shared" ref="E1421:E1484" si="225">MAX(0,C1421-D1421)</f>
        <v>252</v>
      </c>
      <c r="F1421" s="23">
        <f t="shared" ref="F1421:F1484" si="226">$E$8</f>
        <v>700</v>
      </c>
      <c r="G1421" s="23">
        <f t="shared" ref="G1421:G1484" ca="1" si="227">_xlfn.FLOOR.MATH(MAX(0,_xlfn.NORM.INV(RAND(),$B$6*$B$8,$B$3*($B$8+0.0001))))</f>
        <v>212</v>
      </c>
      <c r="H1421" s="23">
        <f t="shared" ref="H1421:H1484" ca="1" si="228">_xlfn.FLOOR.MATH(MAX(0,_xlfn.NORM.INV(RAND(),$B$6*(1-$B$8),$B$3*(1.00001-$B$8))))</f>
        <v>693</v>
      </c>
      <c r="I1421" s="23">
        <f t="shared" ref="I1421:I1484" ca="1" si="229">MIN(C1421,D1421+G1421)</f>
        <v>380</v>
      </c>
      <c r="J1421" s="23">
        <f t="shared" ref="J1421:J1484" ca="1" si="230">MIN(C1421-I1421+F1421,H1421)</f>
        <v>693</v>
      </c>
      <c r="K1421" s="23">
        <f t="shared" ref="K1421:K1484" ca="1" si="231">I1421+J1421</f>
        <v>1073</v>
      </c>
      <c r="L1421" s="23">
        <f t="shared" ca="1" si="224"/>
        <v>72055</v>
      </c>
    </row>
    <row r="1422" spans="3:12">
      <c r="C1422" s="23">
        <f t="shared" si="222"/>
        <v>420</v>
      </c>
      <c r="D1422" s="23">
        <f t="shared" si="223"/>
        <v>168</v>
      </c>
      <c r="E1422" s="23">
        <f t="shared" si="225"/>
        <v>252</v>
      </c>
      <c r="F1422" s="23">
        <f t="shared" si="226"/>
        <v>700</v>
      </c>
      <c r="G1422" s="23">
        <f t="shared" ca="1" si="227"/>
        <v>196</v>
      </c>
      <c r="H1422" s="23">
        <f t="shared" ca="1" si="228"/>
        <v>687</v>
      </c>
      <c r="I1422" s="23">
        <f t="shared" ca="1" si="229"/>
        <v>364</v>
      </c>
      <c r="J1422" s="23">
        <f t="shared" ca="1" si="230"/>
        <v>687</v>
      </c>
      <c r="K1422" s="23">
        <f t="shared" ca="1" si="231"/>
        <v>1051</v>
      </c>
      <c r="L1422" s="23">
        <f t="shared" ca="1" si="224"/>
        <v>69085</v>
      </c>
    </row>
    <row r="1423" spans="3:12">
      <c r="C1423" s="23">
        <f t="shared" si="222"/>
        <v>420</v>
      </c>
      <c r="D1423" s="23">
        <f t="shared" si="223"/>
        <v>168</v>
      </c>
      <c r="E1423" s="23">
        <f t="shared" si="225"/>
        <v>252</v>
      </c>
      <c r="F1423" s="23">
        <f t="shared" si="226"/>
        <v>700</v>
      </c>
      <c r="G1423" s="23">
        <f t="shared" ca="1" si="227"/>
        <v>202</v>
      </c>
      <c r="H1423" s="23">
        <f t="shared" ca="1" si="228"/>
        <v>506</v>
      </c>
      <c r="I1423" s="23">
        <f t="shared" ca="1" si="229"/>
        <v>370</v>
      </c>
      <c r="J1423" s="23">
        <f t="shared" ca="1" si="230"/>
        <v>506</v>
      </c>
      <c r="K1423" s="23">
        <f t="shared" ca="1" si="231"/>
        <v>876</v>
      </c>
      <c r="L1423" s="23">
        <f t="shared" ca="1" si="224"/>
        <v>45460</v>
      </c>
    </row>
    <row r="1424" spans="3:12">
      <c r="C1424" s="23">
        <f t="shared" si="222"/>
        <v>420</v>
      </c>
      <c r="D1424" s="23">
        <f t="shared" si="223"/>
        <v>168</v>
      </c>
      <c r="E1424" s="23">
        <f t="shared" si="225"/>
        <v>252</v>
      </c>
      <c r="F1424" s="23">
        <f t="shared" si="226"/>
        <v>700</v>
      </c>
      <c r="G1424" s="23">
        <f t="shared" ca="1" si="227"/>
        <v>242</v>
      </c>
      <c r="H1424" s="23">
        <f t="shared" ca="1" si="228"/>
        <v>600</v>
      </c>
      <c r="I1424" s="23">
        <f t="shared" ca="1" si="229"/>
        <v>410</v>
      </c>
      <c r="J1424" s="23">
        <f t="shared" ca="1" si="230"/>
        <v>600</v>
      </c>
      <c r="K1424" s="23">
        <f t="shared" ca="1" si="231"/>
        <v>1010</v>
      </c>
      <c r="L1424" s="23">
        <f t="shared" ca="1" si="224"/>
        <v>63550</v>
      </c>
    </row>
    <row r="1425" spans="3:12">
      <c r="C1425" s="23">
        <f t="shared" si="222"/>
        <v>420</v>
      </c>
      <c r="D1425" s="23">
        <f t="shared" si="223"/>
        <v>168</v>
      </c>
      <c r="E1425" s="23">
        <f t="shared" si="225"/>
        <v>252</v>
      </c>
      <c r="F1425" s="23">
        <f t="shared" si="226"/>
        <v>700</v>
      </c>
      <c r="G1425" s="23">
        <f t="shared" ca="1" si="227"/>
        <v>244</v>
      </c>
      <c r="H1425" s="23">
        <f t="shared" ca="1" si="228"/>
        <v>711</v>
      </c>
      <c r="I1425" s="23">
        <f t="shared" ca="1" si="229"/>
        <v>412</v>
      </c>
      <c r="J1425" s="23">
        <f t="shared" ca="1" si="230"/>
        <v>708</v>
      </c>
      <c r="K1425" s="23">
        <f t="shared" ca="1" si="231"/>
        <v>1120</v>
      </c>
      <c r="L1425" s="23">
        <f t="shared" ca="1" si="224"/>
        <v>78400</v>
      </c>
    </row>
    <row r="1426" spans="3:12">
      <c r="C1426" s="23">
        <f t="shared" si="222"/>
        <v>420</v>
      </c>
      <c r="D1426" s="23">
        <f t="shared" si="223"/>
        <v>168</v>
      </c>
      <c r="E1426" s="23">
        <f t="shared" si="225"/>
        <v>252</v>
      </c>
      <c r="F1426" s="23">
        <f t="shared" si="226"/>
        <v>700</v>
      </c>
      <c r="G1426" s="23">
        <f t="shared" ca="1" si="227"/>
        <v>226</v>
      </c>
      <c r="H1426" s="23">
        <f t="shared" ca="1" si="228"/>
        <v>587</v>
      </c>
      <c r="I1426" s="23">
        <f t="shared" ca="1" si="229"/>
        <v>394</v>
      </c>
      <c r="J1426" s="23">
        <f t="shared" ca="1" si="230"/>
        <v>587</v>
      </c>
      <c r="K1426" s="23">
        <f t="shared" ca="1" si="231"/>
        <v>981</v>
      </c>
      <c r="L1426" s="23">
        <f t="shared" ca="1" si="224"/>
        <v>59635</v>
      </c>
    </row>
    <row r="1427" spans="3:12">
      <c r="C1427" s="23">
        <f t="shared" si="222"/>
        <v>420</v>
      </c>
      <c r="D1427" s="23">
        <f t="shared" si="223"/>
        <v>168</v>
      </c>
      <c r="E1427" s="23">
        <f t="shared" si="225"/>
        <v>252</v>
      </c>
      <c r="F1427" s="23">
        <f t="shared" si="226"/>
        <v>700</v>
      </c>
      <c r="G1427" s="23">
        <f t="shared" ca="1" si="227"/>
        <v>199</v>
      </c>
      <c r="H1427" s="23">
        <f t="shared" ca="1" si="228"/>
        <v>729</v>
      </c>
      <c r="I1427" s="23">
        <f t="shared" ca="1" si="229"/>
        <v>367</v>
      </c>
      <c r="J1427" s="23">
        <f t="shared" ca="1" si="230"/>
        <v>729</v>
      </c>
      <c r="K1427" s="23">
        <f t="shared" ca="1" si="231"/>
        <v>1096</v>
      </c>
      <c r="L1427" s="23">
        <f t="shared" ca="1" si="224"/>
        <v>75160</v>
      </c>
    </row>
    <row r="1428" spans="3:12">
      <c r="C1428" s="23">
        <f t="shared" si="222"/>
        <v>420</v>
      </c>
      <c r="D1428" s="23">
        <f t="shared" si="223"/>
        <v>168</v>
      </c>
      <c r="E1428" s="23">
        <f t="shared" si="225"/>
        <v>252</v>
      </c>
      <c r="F1428" s="23">
        <f t="shared" si="226"/>
        <v>700</v>
      </c>
      <c r="G1428" s="23">
        <f t="shared" ca="1" si="227"/>
        <v>210</v>
      </c>
      <c r="H1428" s="23">
        <f t="shared" ca="1" si="228"/>
        <v>639</v>
      </c>
      <c r="I1428" s="23">
        <f t="shared" ca="1" si="229"/>
        <v>378</v>
      </c>
      <c r="J1428" s="23">
        <f t="shared" ca="1" si="230"/>
        <v>639</v>
      </c>
      <c r="K1428" s="23">
        <f t="shared" ca="1" si="231"/>
        <v>1017</v>
      </c>
      <c r="L1428" s="23">
        <f t="shared" ca="1" si="224"/>
        <v>64495</v>
      </c>
    </row>
    <row r="1429" spans="3:12">
      <c r="C1429" s="23">
        <f t="shared" si="222"/>
        <v>420</v>
      </c>
      <c r="D1429" s="23">
        <f t="shared" si="223"/>
        <v>168</v>
      </c>
      <c r="E1429" s="23">
        <f t="shared" si="225"/>
        <v>252</v>
      </c>
      <c r="F1429" s="23">
        <f t="shared" si="226"/>
        <v>700</v>
      </c>
      <c r="G1429" s="23">
        <f t="shared" ca="1" si="227"/>
        <v>223</v>
      </c>
      <c r="H1429" s="23">
        <f t="shared" ca="1" si="228"/>
        <v>620</v>
      </c>
      <c r="I1429" s="23">
        <f t="shared" ca="1" si="229"/>
        <v>391</v>
      </c>
      <c r="J1429" s="23">
        <f t="shared" ca="1" si="230"/>
        <v>620</v>
      </c>
      <c r="K1429" s="23">
        <f t="shared" ca="1" si="231"/>
        <v>1011</v>
      </c>
      <c r="L1429" s="23">
        <f t="shared" ca="1" si="224"/>
        <v>63685</v>
      </c>
    </row>
    <row r="1430" spans="3:12">
      <c r="C1430" s="23">
        <f t="shared" si="222"/>
        <v>420</v>
      </c>
      <c r="D1430" s="23">
        <f t="shared" si="223"/>
        <v>168</v>
      </c>
      <c r="E1430" s="23">
        <f t="shared" si="225"/>
        <v>252</v>
      </c>
      <c r="F1430" s="23">
        <f t="shared" si="226"/>
        <v>700</v>
      </c>
      <c r="G1430" s="23">
        <f t="shared" ca="1" si="227"/>
        <v>235</v>
      </c>
      <c r="H1430" s="23">
        <f t="shared" ca="1" si="228"/>
        <v>694</v>
      </c>
      <c r="I1430" s="23">
        <f t="shared" ca="1" si="229"/>
        <v>403</v>
      </c>
      <c r="J1430" s="23">
        <f t="shared" ca="1" si="230"/>
        <v>694</v>
      </c>
      <c r="K1430" s="23">
        <f t="shared" ca="1" si="231"/>
        <v>1097</v>
      </c>
      <c r="L1430" s="23">
        <f t="shared" ca="1" si="224"/>
        <v>75295</v>
      </c>
    </row>
    <row r="1431" spans="3:12">
      <c r="C1431" s="23">
        <f t="shared" si="222"/>
        <v>420</v>
      </c>
      <c r="D1431" s="23">
        <f t="shared" si="223"/>
        <v>168</v>
      </c>
      <c r="E1431" s="23">
        <f t="shared" si="225"/>
        <v>252</v>
      </c>
      <c r="F1431" s="23">
        <f t="shared" si="226"/>
        <v>700</v>
      </c>
      <c r="G1431" s="23">
        <f t="shared" ca="1" si="227"/>
        <v>205</v>
      </c>
      <c r="H1431" s="23">
        <f t="shared" ca="1" si="228"/>
        <v>558</v>
      </c>
      <c r="I1431" s="23">
        <f t="shared" ca="1" si="229"/>
        <v>373</v>
      </c>
      <c r="J1431" s="23">
        <f t="shared" ca="1" si="230"/>
        <v>558</v>
      </c>
      <c r="K1431" s="23">
        <f t="shared" ca="1" si="231"/>
        <v>931</v>
      </c>
      <c r="L1431" s="23">
        <f t="shared" ca="1" si="224"/>
        <v>52885</v>
      </c>
    </row>
    <row r="1432" spans="3:12">
      <c r="C1432" s="23">
        <f t="shared" si="222"/>
        <v>420</v>
      </c>
      <c r="D1432" s="23">
        <f t="shared" si="223"/>
        <v>168</v>
      </c>
      <c r="E1432" s="23">
        <f t="shared" si="225"/>
        <v>252</v>
      </c>
      <c r="F1432" s="23">
        <f t="shared" si="226"/>
        <v>700</v>
      </c>
      <c r="G1432" s="23">
        <f t="shared" ca="1" si="227"/>
        <v>223</v>
      </c>
      <c r="H1432" s="23">
        <f t="shared" ca="1" si="228"/>
        <v>557</v>
      </c>
      <c r="I1432" s="23">
        <f t="shared" ca="1" si="229"/>
        <v>391</v>
      </c>
      <c r="J1432" s="23">
        <f t="shared" ca="1" si="230"/>
        <v>557</v>
      </c>
      <c r="K1432" s="23">
        <f t="shared" ca="1" si="231"/>
        <v>948</v>
      </c>
      <c r="L1432" s="23">
        <f t="shared" ca="1" si="224"/>
        <v>55180</v>
      </c>
    </row>
    <row r="1433" spans="3:12">
      <c r="C1433" s="23">
        <f t="shared" si="222"/>
        <v>420</v>
      </c>
      <c r="D1433" s="23">
        <f t="shared" si="223"/>
        <v>168</v>
      </c>
      <c r="E1433" s="23">
        <f t="shared" si="225"/>
        <v>252</v>
      </c>
      <c r="F1433" s="23">
        <f t="shared" si="226"/>
        <v>700</v>
      </c>
      <c r="G1433" s="23">
        <f t="shared" ca="1" si="227"/>
        <v>269</v>
      </c>
      <c r="H1433" s="23">
        <f t="shared" ca="1" si="228"/>
        <v>561</v>
      </c>
      <c r="I1433" s="23">
        <f t="shared" ca="1" si="229"/>
        <v>420</v>
      </c>
      <c r="J1433" s="23">
        <f t="shared" ca="1" si="230"/>
        <v>561</v>
      </c>
      <c r="K1433" s="23">
        <f t="shared" ca="1" si="231"/>
        <v>981</v>
      </c>
      <c r="L1433" s="23">
        <f t="shared" ca="1" si="224"/>
        <v>59635</v>
      </c>
    </row>
    <row r="1434" spans="3:12">
      <c r="C1434" s="23">
        <f t="shared" si="222"/>
        <v>420</v>
      </c>
      <c r="D1434" s="23">
        <f t="shared" si="223"/>
        <v>168</v>
      </c>
      <c r="E1434" s="23">
        <f t="shared" si="225"/>
        <v>252</v>
      </c>
      <c r="F1434" s="23">
        <f t="shared" si="226"/>
        <v>700</v>
      </c>
      <c r="G1434" s="23">
        <f t="shared" ca="1" si="227"/>
        <v>222</v>
      </c>
      <c r="H1434" s="23">
        <f t="shared" ca="1" si="228"/>
        <v>601</v>
      </c>
      <c r="I1434" s="23">
        <f t="shared" ca="1" si="229"/>
        <v>390</v>
      </c>
      <c r="J1434" s="23">
        <f t="shared" ca="1" si="230"/>
        <v>601</v>
      </c>
      <c r="K1434" s="23">
        <f t="shared" ca="1" si="231"/>
        <v>991</v>
      </c>
      <c r="L1434" s="23">
        <f t="shared" ca="1" si="224"/>
        <v>60985</v>
      </c>
    </row>
    <row r="1435" spans="3:12">
      <c r="C1435" s="23">
        <f t="shared" si="222"/>
        <v>420</v>
      </c>
      <c r="D1435" s="23">
        <f t="shared" si="223"/>
        <v>168</v>
      </c>
      <c r="E1435" s="23">
        <f t="shared" si="225"/>
        <v>252</v>
      </c>
      <c r="F1435" s="23">
        <f t="shared" si="226"/>
        <v>700</v>
      </c>
      <c r="G1435" s="23">
        <f t="shared" ca="1" si="227"/>
        <v>230</v>
      </c>
      <c r="H1435" s="23">
        <f t="shared" ca="1" si="228"/>
        <v>629</v>
      </c>
      <c r="I1435" s="23">
        <f t="shared" ca="1" si="229"/>
        <v>398</v>
      </c>
      <c r="J1435" s="23">
        <f t="shared" ca="1" si="230"/>
        <v>629</v>
      </c>
      <c r="K1435" s="23">
        <f t="shared" ca="1" si="231"/>
        <v>1027</v>
      </c>
      <c r="L1435" s="23">
        <f t="shared" ca="1" si="224"/>
        <v>65845</v>
      </c>
    </row>
    <row r="1436" spans="3:12">
      <c r="C1436" s="23">
        <f t="shared" si="222"/>
        <v>420</v>
      </c>
      <c r="D1436" s="23">
        <f t="shared" si="223"/>
        <v>168</v>
      </c>
      <c r="E1436" s="23">
        <f t="shared" si="225"/>
        <v>252</v>
      </c>
      <c r="F1436" s="23">
        <f t="shared" si="226"/>
        <v>700</v>
      </c>
      <c r="G1436" s="23">
        <f t="shared" ca="1" si="227"/>
        <v>200</v>
      </c>
      <c r="H1436" s="23">
        <f t="shared" ca="1" si="228"/>
        <v>695</v>
      </c>
      <c r="I1436" s="23">
        <f t="shared" ca="1" si="229"/>
        <v>368</v>
      </c>
      <c r="J1436" s="23">
        <f t="shared" ca="1" si="230"/>
        <v>695</v>
      </c>
      <c r="K1436" s="23">
        <f t="shared" ca="1" si="231"/>
        <v>1063</v>
      </c>
      <c r="L1436" s="23">
        <f t="shared" ca="1" si="224"/>
        <v>70705</v>
      </c>
    </row>
    <row r="1437" spans="3:12">
      <c r="C1437" s="23">
        <f t="shared" si="222"/>
        <v>420</v>
      </c>
      <c r="D1437" s="23">
        <f t="shared" si="223"/>
        <v>168</v>
      </c>
      <c r="E1437" s="23">
        <f t="shared" si="225"/>
        <v>252</v>
      </c>
      <c r="F1437" s="23">
        <f t="shared" si="226"/>
        <v>700</v>
      </c>
      <c r="G1437" s="23">
        <f t="shared" ca="1" si="227"/>
        <v>202</v>
      </c>
      <c r="H1437" s="23">
        <f t="shared" ca="1" si="228"/>
        <v>721</v>
      </c>
      <c r="I1437" s="23">
        <f t="shared" ca="1" si="229"/>
        <v>370</v>
      </c>
      <c r="J1437" s="23">
        <f t="shared" ca="1" si="230"/>
        <v>721</v>
      </c>
      <c r="K1437" s="23">
        <f t="shared" ca="1" si="231"/>
        <v>1091</v>
      </c>
      <c r="L1437" s="23">
        <f t="shared" ca="1" si="224"/>
        <v>74485</v>
      </c>
    </row>
    <row r="1438" spans="3:12">
      <c r="C1438" s="23">
        <f t="shared" si="222"/>
        <v>420</v>
      </c>
      <c r="D1438" s="23">
        <f t="shared" si="223"/>
        <v>168</v>
      </c>
      <c r="E1438" s="23">
        <f t="shared" si="225"/>
        <v>252</v>
      </c>
      <c r="F1438" s="23">
        <f t="shared" si="226"/>
        <v>700</v>
      </c>
      <c r="G1438" s="23">
        <f t="shared" ca="1" si="227"/>
        <v>189</v>
      </c>
      <c r="H1438" s="23">
        <f t="shared" ca="1" si="228"/>
        <v>561</v>
      </c>
      <c r="I1438" s="23">
        <f t="shared" ca="1" si="229"/>
        <v>357</v>
      </c>
      <c r="J1438" s="23">
        <f t="shared" ca="1" si="230"/>
        <v>561</v>
      </c>
      <c r="K1438" s="23">
        <f t="shared" ca="1" si="231"/>
        <v>918</v>
      </c>
      <c r="L1438" s="23">
        <f t="shared" ca="1" si="224"/>
        <v>51130</v>
      </c>
    </row>
    <row r="1439" spans="3:12">
      <c r="C1439" s="23">
        <f t="shared" si="222"/>
        <v>420</v>
      </c>
      <c r="D1439" s="23">
        <f t="shared" si="223"/>
        <v>168</v>
      </c>
      <c r="E1439" s="23">
        <f t="shared" si="225"/>
        <v>252</v>
      </c>
      <c r="F1439" s="23">
        <f t="shared" si="226"/>
        <v>700</v>
      </c>
      <c r="G1439" s="23">
        <f t="shared" ca="1" si="227"/>
        <v>200</v>
      </c>
      <c r="H1439" s="23">
        <f t="shared" ca="1" si="228"/>
        <v>592</v>
      </c>
      <c r="I1439" s="23">
        <f t="shared" ca="1" si="229"/>
        <v>368</v>
      </c>
      <c r="J1439" s="23">
        <f t="shared" ca="1" si="230"/>
        <v>592</v>
      </c>
      <c r="K1439" s="23">
        <f t="shared" ca="1" si="231"/>
        <v>960</v>
      </c>
      <c r="L1439" s="23">
        <f t="shared" ca="1" si="224"/>
        <v>56800</v>
      </c>
    </row>
    <row r="1440" spans="3:12">
      <c r="C1440" s="23">
        <f t="shared" si="222"/>
        <v>420</v>
      </c>
      <c r="D1440" s="23">
        <f t="shared" si="223"/>
        <v>168</v>
      </c>
      <c r="E1440" s="23">
        <f t="shared" si="225"/>
        <v>252</v>
      </c>
      <c r="F1440" s="23">
        <f t="shared" si="226"/>
        <v>700</v>
      </c>
      <c r="G1440" s="23">
        <f t="shared" ca="1" si="227"/>
        <v>210</v>
      </c>
      <c r="H1440" s="23">
        <f t="shared" ca="1" si="228"/>
        <v>589</v>
      </c>
      <c r="I1440" s="23">
        <f t="shared" ca="1" si="229"/>
        <v>378</v>
      </c>
      <c r="J1440" s="23">
        <f t="shared" ca="1" si="230"/>
        <v>589</v>
      </c>
      <c r="K1440" s="23">
        <f t="shared" ca="1" si="231"/>
        <v>967</v>
      </c>
      <c r="L1440" s="23">
        <f t="shared" ca="1" si="224"/>
        <v>57745</v>
      </c>
    </row>
    <row r="1441" spans="3:12">
      <c r="C1441" s="23">
        <f t="shared" si="222"/>
        <v>420</v>
      </c>
      <c r="D1441" s="23">
        <f t="shared" si="223"/>
        <v>168</v>
      </c>
      <c r="E1441" s="23">
        <f t="shared" si="225"/>
        <v>252</v>
      </c>
      <c r="F1441" s="23">
        <f t="shared" si="226"/>
        <v>700</v>
      </c>
      <c r="G1441" s="23">
        <f t="shared" ca="1" si="227"/>
        <v>167</v>
      </c>
      <c r="H1441" s="23">
        <f t="shared" ca="1" si="228"/>
        <v>648</v>
      </c>
      <c r="I1441" s="23">
        <f t="shared" ca="1" si="229"/>
        <v>335</v>
      </c>
      <c r="J1441" s="23">
        <f t="shared" ca="1" si="230"/>
        <v>648</v>
      </c>
      <c r="K1441" s="23">
        <f t="shared" ca="1" si="231"/>
        <v>983</v>
      </c>
      <c r="L1441" s="23">
        <f t="shared" ca="1" si="224"/>
        <v>59905</v>
      </c>
    </row>
    <row r="1442" spans="3:12">
      <c r="C1442" s="23">
        <f t="shared" si="222"/>
        <v>420</v>
      </c>
      <c r="D1442" s="23">
        <f t="shared" si="223"/>
        <v>168</v>
      </c>
      <c r="E1442" s="23">
        <f t="shared" si="225"/>
        <v>252</v>
      </c>
      <c r="F1442" s="23">
        <f t="shared" si="226"/>
        <v>700</v>
      </c>
      <c r="G1442" s="23">
        <f t="shared" ca="1" si="227"/>
        <v>219</v>
      </c>
      <c r="H1442" s="23">
        <f t="shared" ca="1" si="228"/>
        <v>612</v>
      </c>
      <c r="I1442" s="23">
        <f t="shared" ca="1" si="229"/>
        <v>387</v>
      </c>
      <c r="J1442" s="23">
        <f t="shared" ca="1" si="230"/>
        <v>612</v>
      </c>
      <c r="K1442" s="23">
        <f t="shared" ca="1" si="231"/>
        <v>999</v>
      </c>
      <c r="L1442" s="23">
        <f t="shared" ca="1" si="224"/>
        <v>62065</v>
      </c>
    </row>
    <row r="1443" spans="3:12">
      <c r="C1443" s="23">
        <f t="shared" si="222"/>
        <v>420</v>
      </c>
      <c r="D1443" s="23">
        <f t="shared" si="223"/>
        <v>168</v>
      </c>
      <c r="E1443" s="23">
        <f t="shared" si="225"/>
        <v>252</v>
      </c>
      <c r="F1443" s="23">
        <f t="shared" si="226"/>
        <v>700</v>
      </c>
      <c r="G1443" s="23">
        <f t="shared" ca="1" si="227"/>
        <v>243</v>
      </c>
      <c r="H1443" s="23">
        <f t="shared" ca="1" si="228"/>
        <v>596</v>
      </c>
      <c r="I1443" s="23">
        <f t="shared" ca="1" si="229"/>
        <v>411</v>
      </c>
      <c r="J1443" s="23">
        <f t="shared" ca="1" si="230"/>
        <v>596</v>
      </c>
      <c r="K1443" s="23">
        <f t="shared" ca="1" si="231"/>
        <v>1007</v>
      </c>
      <c r="L1443" s="23">
        <f t="shared" ca="1" si="224"/>
        <v>63145</v>
      </c>
    </row>
    <row r="1444" spans="3:12">
      <c r="C1444" s="23">
        <f t="shared" si="222"/>
        <v>420</v>
      </c>
      <c r="D1444" s="23">
        <f t="shared" si="223"/>
        <v>168</v>
      </c>
      <c r="E1444" s="23">
        <f t="shared" si="225"/>
        <v>252</v>
      </c>
      <c r="F1444" s="23">
        <f t="shared" si="226"/>
        <v>700</v>
      </c>
      <c r="G1444" s="23">
        <f t="shared" ca="1" si="227"/>
        <v>209</v>
      </c>
      <c r="H1444" s="23">
        <f t="shared" ca="1" si="228"/>
        <v>630</v>
      </c>
      <c r="I1444" s="23">
        <f t="shared" ca="1" si="229"/>
        <v>377</v>
      </c>
      <c r="J1444" s="23">
        <f t="shared" ca="1" si="230"/>
        <v>630</v>
      </c>
      <c r="K1444" s="23">
        <f t="shared" ca="1" si="231"/>
        <v>1007</v>
      </c>
      <c r="L1444" s="23">
        <f t="shared" ca="1" si="224"/>
        <v>63145</v>
      </c>
    </row>
    <row r="1445" spans="3:12">
      <c r="C1445" s="23">
        <f t="shared" si="222"/>
        <v>420</v>
      </c>
      <c r="D1445" s="23">
        <f t="shared" si="223"/>
        <v>168</v>
      </c>
      <c r="E1445" s="23">
        <f t="shared" si="225"/>
        <v>252</v>
      </c>
      <c r="F1445" s="23">
        <f t="shared" si="226"/>
        <v>700</v>
      </c>
      <c r="G1445" s="23">
        <f t="shared" ca="1" si="227"/>
        <v>198</v>
      </c>
      <c r="H1445" s="23">
        <f t="shared" ca="1" si="228"/>
        <v>615</v>
      </c>
      <c r="I1445" s="23">
        <f t="shared" ca="1" si="229"/>
        <v>366</v>
      </c>
      <c r="J1445" s="23">
        <f t="shared" ca="1" si="230"/>
        <v>615</v>
      </c>
      <c r="K1445" s="23">
        <f t="shared" ca="1" si="231"/>
        <v>981</v>
      </c>
      <c r="L1445" s="23">
        <f t="shared" ca="1" si="224"/>
        <v>59635</v>
      </c>
    </row>
    <row r="1446" spans="3:12">
      <c r="C1446" s="23">
        <f t="shared" si="222"/>
        <v>420</v>
      </c>
      <c r="D1446" s="23">
        <f t="shared" si="223"/>
        <v>168</v>
      </c>
      <c r="E1446" s="23">
        <f t="shared" si="225"/>
        <v>252</v>
      </c>
      <c r="F1446" s="23">
        <f t="shared" si="226"/>
        <v>700</v>
      </c>
      <c r="G1446" s="23">
        <f t="shared" ca="1" si="227"/>
        <v>178</v>
      </c>
      <c r="H1446" s="23">
        <f t="shared" ca="1" si="228"/>
        <v>758</v>
      </c>
      <c r="I1446" s="23">
        <f t="shared" ca="1" si="229"/>
        <v>346</v>
      </c>
      <c r="J1446" s="23">
        <f t="shared" ca="1" si="230"/>
        <v>758</v>
      </c>
      <c r="K1446" s="23">
        <f t="shared" ca="1" si="231"/>
        <v>1104</v>
      </c>
      <c r="L1446" s="23">
        <f t="shared" ca="1" si="224"/>
        <v>76240</v>
      </c>
    </row>
    <row r="1447" spans="3:12">
      <c r="C1447" s="23">
        <f t="shared" si="222"/>
        <v>420</v>
      </c>
      <c r="D1447" s="23">
        <f t="shared" si="223"/>
        <v>168</v>
      </c>
      <c r="E1447" s="23">
        <f t="shared" si="225"/>
        <v>252</v>
      </c>
      <c r="F1447" s="23">
        <f t="shared" si="226"/>
        <v>700</v>
      </c>
      <c r="G1447" s="23">
        <f t="shared" ca="1" si="227"/>
        <v>213</v>
      </c>
      <c r="H1447" s="23">
        <f t="shared" ca="1" si="228"/>
        <v>580</v>
      </c>
      <c r="I1447" s="23">
        <f t="shared" ca="1" si="229"/>
        <v>381</v>
      </c>
      <c r="J1447" s="23">
        <f t="shared" ca="1" si="230"/>
        <v>580</v>
      </c>
      <c r="K1447" s="23">
        <f t="shared" ca="1" si="231"/>
        <v>961</v>
      </c>
      <c r="L1447" s="23">
        <f t="shared" ca="1" si="224"/>
        <v>56935</v>
      </c>
    </row>
    <row r="1448" spans="3:12">
      <c r="C1448" s="23">
        <f t="shared" si="222"/>
        <v>420</v>
      </c>
      <c r="D1448" s="23">
        <f t="shared" si="223"/>
        <v>168</v>
      </c>
      <c r="E1448" s="23">
        <f t="shared" si="225"/>
        <v>252</v>
      </c>
      <c r="F1448" s="23">
        <f t="shared" si="226"/>
        <v>700</v>
      </c>
      <c r="G1448" s="23">
        <f t="shared" ca="1" si="227"/>
        <v>235</v>
      </c>
      <c r="H1448" s="23">
        <f t="shared" ca="1" si="228"/>
        <v>593</v>
      </c>
      <c r="I1448" s="23">
        <f t="shared" ca="1" si="229"/>
        <v>403</v>
      </c>
      <c r="J1448" s="23">
        <f t="shared" ca="1" si="230"/>
        <v>593</v>
      </c>
      <c r="K1448" s="23">
        <f t="shared" ca="1" si="231"/>
        <v>996</v>
      </c>
      <c r="L1448" s="23">
        <f t="shared" ca="1" si="224"/>
        <v>61660</v>
      </c>
    </row>
    <row r="1449" spans="3:12">
      <c r="C1449" s="23">
        <f t="shared" si="222"/>
        <v>420</v>
      </c>
      <c r="D1449" s="23">
        <f t="shared" si="223"/>
        <v>168</v>
      </c>
      <c r="E1449" s="23">
        <f t="shared" si="225"/>
        <v>252</v>
      </c>
      <c r="F1449" s="23">
        <f t="shared" si="226"/>
        <v>700</v>
      </c>
      <c r="G1449" s="23">
        <f t="shared" ca="1" si="227"/>
        <v>213</v>
      </c>
      <c r="H1449" s="23">
        <f t="shared" ca="1" si="228"/>
        <v>657</v>
      </c>
      <c r="I1449" s="23">
        <f t="shared" ca="1" si="229"/>
        <v>381</v>
      </c>
      <c r="J1449" s="23">
        <f t="shared" ca="1" si="230"/>
        <v>657</v>
      </c>
      <c r="K1449" s="23">
        <f t="shared" ca="1" si="231"/>
        <v>1038</v>
      </c>
      <c r="L1449" s="23">
        <f t="shared" ca="1" si="224"/>
        <v>67330</v>
      </c>
    </row>
    <row r="1450" spans="3:12">
      <c r="C1450" s="23">
        <f t="shared" si="222"/>
        <v>420</v>
      </c>
      <c r="D1450" s="23">
        <f t="shared" si="223"/>
        <v>168</v>
      </c>
      <c r="E1450" s="23">
        <f t="shared" si="225"/>
        <v>252</v>
      </c>
      <c r="F1450" s="23">
        <f t="shared" si="226"/>
        <v>700</v>
      </c>
      <c r="G1450" s="23">
        <f t="shared" ca="1" si="227"/>
        <v>217</v>
      </c>
      <c r="H1450" s="23">
        <f t="shared" ca="1" si="228"/>
        <v>637</v>
      </c>
      <c r="I1450" s="23">
        <f t="shared" ca="1" si="229"/>
        <v>385</v>
      </c>
      <c r="J1450" s="23">
        <f t="shared" ca="1" si="230"/>
        <v>637</v>
      </c>
      <c r="K1450" s="23">
        <f t="shared" ca="1" si="231"/>
        <v>1022</v>
      </c>
      <c r="L1450" s="23">
        <f t="shared" ca="1" si="224"/>
        <v>65170</v>
      </c>
    </row>
    <row r="1451" spans="3:12">
      <c r="C1451" s="23">
        <f t="shared" si="222"/>
        <v>420</v>
      </c>
      <c r="D1451" s="23">
        <f t="shared" si="223"/>
        <v>168</v>
      </c>
      <c r="E1451" s="23">
        <f t="shared" si="225"/>
        <v>252</v>
      </c>
      <c r="F1451" s="23">
        <f t="shared" si="226"/>
        <v>700</v>
      </c>
      <c r="G1451" s="23">
        <f t="shared" ca="1" si="227"/>
        <v>218</v>
      </c>
      <c r="H1451" s="23">
        <f t="shared" ca="1" si="228"/>
        <v>626</v>
      </c>
      <c r="I1451" s="23">
        <f t="shared" ca="1" si="229"/>
        <v>386</v>
      </c>
      <c r="J1451" s="23">
        <f t="shared" ca="1" si="230"/>
        <v>626</v>
      </c>
      <c r="K1451" s="23">
        <f t="shared" ca="1" si="231"/>
        <v>1012</v>
      </c>
      <c r="L1451" s="23">
        <f t="shared" ca="1" si="224"/>
        <v>63820</v>
      </c>
    </row>
    <row r="1452" spans="3:12">
      <c r="C1452" s="23">
        <f t="shared" si="222"/>
        <v>420</v>
      </c>
      <c r="D1452" s="23">
        <f t="shared" si="223"/>
        <v>168</v>
      </c>
      <c r="E1452" s="23">
        <f t="shared" si="225"/>
        <v>252</v>
      </c>
      <c r="F1452" s="23">
        <f t="shared" si="226"/>
        <v>700</v>
      </c>
      <c r="G1452" s="23">
        <f t="shared" ca="1" si="227"/>
        <v>248</v>
      </c>
      <c r="H1452" s="23">
        <f t="shared" ca="1" si="228"/>
        <v>625</v>
      </c>
      <c r="I1452" s="23">
        <f t="shared" ca="1" si="229"/>
        <v>416</v>
      </c>
      <c r="J1452" s="23">
        <f t="shared" ca="1" si="230"/>
        <v>625</v>
      </c>
      <c r="K1452" s="23">
        <f t="shared" ca="1" si="231"/>
        <v>1041</v>
      </c>
      <c r="L1452" s="23">
        <f t="shared" ca="1" si="224"/>
        <v>67735</v>
      </c>
    </row>
    <row r="1453" spans="3:12">
      <c r="C1453" s="23">
        <f t="shared" si="222"/>
        <v>420</v>
      </c>
      <c r="D1453" s="23">
        <f t="shared" si="223"/>
        <v>168</v>
      </c>
      <c r="E1453" s="23">
        <f t="shared" si="225"/>
        <v>252</v>
      </c>
      <c r="F1453" s="23">
        <f t="shared" si="226"/>
        <v>700</v>
      </c>
      <c r="G1453" s="23">
        <f t="shared" ca="1" si="227"/>
        <v>225</v>
      </c>
      <c r="H1453" s="23">
        <f t="shared" ca="1" si="228"/>
        <v>619</v>
      </c>
      <c r="I1453" s="23">
        <f t="shared" ca="1" si="229"/>
        <v>393</v>
      </c>
      <c r="J1453" s="23">
        <f t="shared" ca="1" si="230"/>
        <v>619</v>
      </c>
      <c r="K1453" s="23">
        <f t="shared" ca="1" si="231"/>
        <v>1012</v>
      </c>
      <c r="L1453" s="23">
        <f t="shared" ca="1" si="224"/>
        <v>63820</v>
      </c>
    </row>
    <row r="1454" spans="3:12">
      <c r="C1454" s="23">
        <f t="shared" si="222"/>
        <v>420</v>
      </c>
      <c r="D1454" s="23">
        <f t="shared" si="223"/>
        <v>168</v>
      </c>
      <c r="E1454" s="23">
        <f t="shared" si="225"/>
        <v>252</v>
      </c>
      <c r="F1454" s="23">
        <f t="shared" si="226"/>
        <v>700</v>
      </c>
      <c r="G1454" s="23">
        <f t="shared" ca="1" si="227"/>
        <v>204</v>
      </c>
      <c r="H1454" s="23">
        <f t="shared" ca="1" si="228"/>
        <v>624</v>
      </c>
      <c r="I1454" s="23">
        <f t="shared" ca="1" si="229"/>
        <v>372</v>
      </c>
      <c r="J1454" s="23">
        <f t="shared" ca="1" si="230"/>
        <v>624</v>
      </c>
      <c r="K1454" s="23">
        <f t="shared" ca="1" si="231"/>
        <v>996</v>
      </c>
      <c r="L1454" s="23">
        <f t="shared" ca="1" si="224"/>
        <v>61660</v>
      </c>
    </row>
    <row r="1455" spans="3:12">
      <c r="C1455" s="23">
        <f t="shared" si="222"/>
        <v>420</v>
      </c>
      <c r="D1455" s="23">
        <f t="shared" si="223"/>
        <v>168</v>
      </c>
      <c r="E1455" s="23">
        <f t="shared" si="225"/>
        <v>252</v>
      </c>
      <c r="F1455" s="23">
        <f t="shared" si="226"/>
        <v>700</v>
      </c>
      <c r="G1455" s="23">
        <f t="shared" ca="1" si="227"/>
        <v>233</v>
      </c>
      <c r="H1455" s="23">
        <f t="shared" ca="1" si="228"/>
        <v>644</v>
      </c>
      <c r="I1455" s="23">
        <f t="shared" ca="1" si="229"/>
        <v>401</v>
      </c>
      <c r="J1455" s="23">
        <f t="shared" ca="1" si="230"/>
        <v>644</v>
      </c>
      <c r="K1455" s="23">
        <f t="shared" ca="1" si="231"/>
        <v>1045</v>
      </c>
      <c r="L1455" s="23">
        <f t="shared" ca="1" si="224"/>
        <v>68275</v>
      </c>
    </row>
    <row r="1456" spans="3:12">
      <c r="C1456" s="23">
        <f t="shared" si="222"/>
        <v>420</v>
      </c>
      <c r="D1456" s="23">
        <f t="shared" si="223"/>
        <v>168</v>
      </c>
      <c r="E1456" s="23">
        <f t="shared" si="225"/>
        <v>252</v>
      </c>
      <c r="F1456" s="23">
        <f t="shared" si="226"/>
        <v>700</v>
      </c>
      <c r="G1456" s="23">
        <f t="shared" ca="1" si="227"/>
        <v>198</v>
      </c>
      <c r="H1456" s="23">
        <f t="shared" ca="1" si="228"/>
        <v>671</v>
      </c>
      <c r="I1456" s="23">
        <f t="shared" ca="1" si="229"/>
        <v>366</v>
      </c>
      <c r="J1456" s="23">
        <f t="shared" ca="1" si="230"/>
        <v>671</v>
      </c>
      <c r="K1456" s="23">
        <f t="shared" ca="1" si="231"/>
        <v>1037</v>
      </c>
      <c r="L1456" s="23">
        <f t="shared" ca="1" si="224"/>
        <v>67195</v>
      </c>
    </row>
    <row r="1457" spans="3:12">
      <c r="C1457" s="23">
        <f t="shared" si="222"/>
        <v>420</v>
      </c>
      <c r="D1457" s="23">
        <f t="shared" si="223"/>
        <v>168</v>
      </c>
      <c r="E1457" s="23">
        <f t="shared" si="225"/>
        <v>252</v>
      </c>
      <c r="F1457" s="23">
        <f t="shared" si="226"/>
        <v>700</v>
      </c>
      <c r="G1457" s="23">
        <f t="shared" ca="1" si="227"/>
        <v>216</v>
      </c>
      <c r="H1457" s="23">
        <f t="shared" ca="1" si="228"/>
        <v>691</v>
      </c>
      <c r="I1457" s="23">
        <f t="shared" ca="1" si="229"/>
        <v>384</v>
      </c>
      <c r="J1457" s="23">
        <f t="shared" ca="1" si="230"/>
        <v>691</v>
      </c>
      <c r="K1457" s="23">
        <f t="shared" ca="1" si="231"/>
        <v>1075</v>
      </c>
      <c r="L1457" s="23">
        <f t="shared" ca="1" si="224"/>
        <v>72325</v>
      </c>
    </row>
    <row r="1458" spans="3:12">
      <c r="C1458" s="23">
        <f t="shared" si="222"/>
        <v>420</v>
      </c>
      <c r="D1458" s="23">
        <f t="shared" si="223"/>
        <v>168</v>
      </c>
      <c r="E1458" s="23">
        <f t="shared" si="225"/>
        <v>252</v>
      </c>
      <c r="F1458" s="23">
        <f t="shared" si="226"/>
        <v>700</v>
      </c>
      <c r="G1458" s="23">
        <f t="shared" ca="1" si="227"/>
        <v>239</v>
      </c>
      <c r="H1458" s="23">
        <f t="shared" ca="1" si="228"/>
        <v>662</v>
      </c>
      <c r="I1458" s="23">
        <f t="shared" ca="1" si="229"/>
        <v>407</v>
      </c>
      <c r="J1458" s="23">
        <f t="shared" ca="1" si="230"/>
        <v>662</v>
      </c>
      <c r="K1458" s="23">
        <f t="shared" ca="1" si="231"/>
        <v>1069</v>
      </c>
      <c r="L1458" s="23">
        <f t="shared" ca="1" si="224"/>
        <v>71515</v>
      </c>
    </row>
    <row r="1459" spans="3:12">
      <c r="C1459" s="23">
        <f t="shared" si="222"/>
        <v>420</v>
      </c>
      <c r="D1459" s="23">
        <f t="shared" si="223"/>
        <v>168</v>
      </c>
      <c r="E1459" s="23">
        <f t="shared" si="225"/>
        <v>252</v>
      </c>
      <c r="F1459" s="23">
        <f t="shared" si="226"/>
        <v>700</v>
      </c>
      <c r="G1459" s="23">
        <f t="shared" ca="1" si="227"/>
        <v>197</v>
      </c>
      <c r="H1459" s="23">
        <f t="shared" ca="1" si="228"/>
        <v>783</v>
      </c>
      <c r="I1459" s="23">
        <f t="shared" ca="1" si="229"/>
        <v>365</v>
      </c>
      <c r="J1459" s="23">
        <f t="shared" ca="1" si="230"/>
        <v>755</v>
      </c>
      <c r="K1459" s="23">
        <f t="shared" ca="1" si="231"/>
        <v>1120</v>
      </c>
      <c r="L1459" s="23">
        <f t="shared" ca="1" si="224"/>
        <v>78400</v>
      </c>
    </row>
    <row r="1460" spans="3:12">
      <c r="C1460" s="23">
        <f t="shared" si="222"/>
        <v>420</v>
      </c>
      <c r="D1460" s="23">
        <f t="shared" si="223"/>
        <v>168</v>
      </c>
      <c r="E1460" s="23">
        <f t="shared" si="225"/>
        <v>252</v>
      </c>
      <c r="F1460" s="23">
        <f t="shared" si="226"/>
        <v>700</v>
      </c>
      <c r="G1460" s="23">
        <f t="shared" ca="1" si="227"/>
        <v>212</v>
      </c>
      <c r="H1460" s="23">
        <f t="shared" ca="1" si="228"/>
        <v>688</v>
      </c>
      <c r="I1460" s="23">
        <f t="shared" ca="1" si="229"/>
        <v>380</v>
      </c>
      <c r="J1460" s="23">
        <f t="shared" ca="1" si="230"/>
        <v>688</v>
      </c>
      <c r="K1460" s="23">
        <f t="shared" ca="1" si="231"/>
        <v>1068</v>
      </c>
      <c r="L1460" s="23">
        <f t="shared" ca="1" si="224"/>
        <v>71380</v>
      </c>
    </row>
    <row r="1461" spans="3:12">
      <c r="C1461" s="23">
        <f t="shared" si="222"/>
        <v>420</v>
      </c>
      <c r="D1461" s="23">
        <f t="shared" si="223"/>
        <v>168</v>
      </c>
      <c r="E1461" s="23">
        <f t="shared" si="225"/>
        <v>252</v>
      </c>
      <c r="F1461" s="23">
        <f t="shared" si="226"/>
        <v>700</v>
      </c>
      <c r="G1461" s="23">
        <f t="shared" ca="1" si="227"/>
        <v>281</v>
      </c>
      <c r="H1461" s="23">
        <f t="shared" ca="1" si="228"/>
        <v>567</v>
      </c>
      <c r="I1461" s="23">
        <f t="shared" ca="1" si="229"/>
        <v>420</v>
      </c>
      <c r="J1461" s="23">
        <f t="shared" ca="1" si="230"/>
        <v>567</v>
      </c>
      <c r="K1461" s="23">
        <f t="shared" ca="1" si="231"/>
        <v>987</v>
      </c>
      <c r="L1461" s="23">
        <f t="shared" ca="1" si="224"/>
        <v>60445</v>
      </c>
    </row>
    <row r="1462" spans="3:12">
      <c r="C1462" s="23">
        <f t="shared" si="222"/>
        <v>420</v>
      </c>
      <c r="D1462" s="23">
        <f t="shared" si="223"/>
        <v>168</v>
      </c>
      <c r="E1462" s="23">
        <f t="shared" si="225"/>
        <v>252</v>
      </c>
      <c r="F1462" s="23">
        <f t="shared" si="226"/>
        <v>700</v>
      </c>
      <c r="G1462" s="23">
        <f t="shared" ca="1" si="227"/>
        <v>216</v>
      </c>
      <c r="H1462" s="23">
        <f t="shared" ca="1" si="228"/>
        <v>641</v>
      </c>
      <c r="I1462" s="23">
        <f t="shared" ca="1" si="229"/>
        <v>384</v>
      </c>
      <c r="J1462" s="23">
        <f t="shared" ca="1" si="230"/>
        <v>641</v>
      </c>
      <c r="K1462" s="23">
        <f t="shared" ca="1" si="231"/>
        <v>1025</v>
      </c>
      <c r="L1462" s="23">
        <f t="shared" ca="1" si="224"/>
        <v>65575</v>
      </c>
    </row>
    <row r="1463" spans="3:12">
      <c r="C1463" s="23">
        <f t="shared" si="222"/>
        <v>420</v>
      </c>
      <c r="D1463" s="23">
        <f t="shared" si="223"/>
        <v>168</v>
      </c>
      <c r="E1463" s="23">
        <f t="shared" si="225"/>
        <v>252</v>
      </c>
      <c r="F1463" s="23">
        <f t="shared" si="226"/>
        <v>700</v>
      </c>
      <c r="G1463" s="23">
        <f t="shared" ca="1" si="227"/>
        <v>197</v>
      </c>
      <c r="H1463" s="23">
        <f t="shared" ca="1" si="228"/>
        <v>640</v>
      </c>
      <c r="I1463" s="23">
        <f t="shared" ca="1" si="229"/>
        <v>365</v>
      </c>
      <c r="J1463" s="23">
        <f t="shared" ca="1" si="230"/>
        <v>640</v>
      </c>
      <c r="K1463" s="23">
        <f t="shared" ca="1" si="231"/>
        <v>1005</v>
      </c>
      <c r="L1463" s="23">
        <f t="shared" ca="1" si="224"/>
        <v>62875</v>
      </c>
    </row>
    <row r="1464" spans="3:12">
      <c r="C1464" s="23">
        <f t="shared" si="222"/>
        <v>420</v>
      </c>
      <c r="D1464" s="23">
        <f t="shared" si="223"/>
        <v>168</v>
      </c>
      <c r="E1464" s="23">
        <f t="shared" si="225"/>
        <v>252</v>
      </c>
      <c r="F1464" s="23">
        <f t="shared" si="226"/>
        <v>700</v>
      </c>
      <c r="G1464" s="23">
        <f t="shared" ca="1" si="227"/>
        <v>195</v>
      </c>
      <c r="H1464" s="23">
        <f t="shared" ca="1" si="228"/>
        <v>631</v>
      </c>
      <c r="I1464" s="23">
        <f t="shared" ca="1" si="229"/>
        <v>363</v>
      </c>
      <c r="J1464" s="23">
        <f t="shared" ca="1" si="230"/>
        <v>631</v>
      </c>
      <c r="K1464" s="23">
        <f t="shared" ca="1" si="231"/>
        <v>994</v>
      </c>
      <c r="L1464" s="23">
        <f t="shared" ca="1" si="224"/>
        <v>61390</v>
      </c>
    </row>
    <row r="1465" spans="3:12">
      <c r="C1465" s="23">
        <f t="shared" si="222"/>
        <v>420</v>
      </c>
      <c r="D1465" s="23">
        <f t="shared" si="223"/>
        <v>168</v>
      </c>
      <c r="E1465" s="23">
        <f t="shared" si="225"/>
        <v>252</v>
      </c>
      <c r="F1465" s="23">
        <f t="shared" si="226"/>
        <v>700</v>
      </c>
      <c r="G1465" s="23">
        <f t="shared" ca="1" si="227"/>
        <v>194</v>
      </c>
      <c r="H1465" s="23">
        <f t="shared" ca="1" si="228"/>
        <v>738</v>
      </c>
      <c r="I1465" s="23">
        <f t="shared" ca="1" si="229"/>
        <v>362</v>
      </c>
      <c r="J1465" s="23">
        <f t="shared" ca="1" si="230"/>
        <v>738</v>
      </c>
      <c r="K1465" s="23">
        <f t="shared" ca="1" si="231"/>
        <v>1100</v>
      </c>
      <c r="L1465" s="23">
        <f t="shared" ca="1" si="224"/>
        <v>75700</v>
      </c>
    </row>
    <row r="1466" spans="3:12">
      <c r="C1466" s="23">
        <f t="shared" si="222"/>
        <v>420</v>
      </c>
      <c r="D1466" s="23">
        <f t="shared" si="223"/>
        <v>168</v>
      </c>
      <c r="E1466" s="23">
        <f t="shared" si="225"/>
        <v>252</v>
      </c>
      <c r="F1466" s="23">
        <f t="shared" si="226"/>
        <v>700</v>
      </c>
      <c r="G1466" s="23">
        <f t="shared" ca="1" si="227"/>
        <v>189</v>
      </c>
      <c r="H1466" s="23">
        <f t="shared" ca="1" si="228"/>
        <v>635</v>
      </c>
      <c r="I1466" s="23">
        <f t="shared" ca="1" si="229"/>
        <v>357</v>
      </c>
      <c r="J1466" s="23">
        <f t="shared" ca="1" si="230"/>
        <v>635</v>
      </c>
      <c r="K1466" s="23">
        <f t="shared" ca="1" si="231"/>
        <v>992</v>
      </c>
      <c r="L1466" s="23">
        <f t="shared" ca="1" si="224"/>
        <v>61120</v>
      </c>
    </row>
    <row r="1467" spans="3:12">
      <c r="C1467" s="23">
        <f t="shared" si="222"/>
        <v>420</v>
      </c>
      <c r="D1467" s="23">
        <f t="shared" si="223"/>
        <v>168</v>
      </c>
      <c r="E1467" s="23">
        <f t="shared" si="225"/>
        <v>252</v>
      </c>
      <c r="F1467" s="23">
        <f t="shared" si="226"/>
        <v>700</v>
      </c>
      <c r="G1467" s="23">
        <f t="shared" ca="1" si="227"/>
        <v>176</v>
      </c>
      <c r="H1467" s="23">
        <f t="shared" ca="1" si="228"/>
        <v>667</v>
      </c>
      <c r="I1467" s="23">
        <f t="shared" ca="1" si="229"/>
        <v>344</v>
      </c>
      <c r="J1467" s="23">
        <f t="shared" ca="1" si="230"/>
        <v>667</v>
      </c>
      <c r="K1467" s="23">
        <f t="shared" ca="1" si="231"/>
        <v>1011</v>
      </c>
      <c r="L1467" s="23">
        <f t="shared" ca="1" si="224"/>
        <v>63685</v>
      </c>
    </row>
    <row r="1468" spans="3:12">
      <c r="C1468" s="23">
        <f t="shared" si="222"/>
        <v>420</v>
      </c>
      <c r="D1468" s="23">
        <f t="shared" si="223"/>
        <v>168</v>
      </c>
      <c r="E1468" s="23">
        <f t="shared" si="225"/>
        <v>252</v>
      </c>
      <c r="F1468" s="23">
        <f t="shared" si="226"/>
        <v>700</v>
      </c>
      <c r="G1468" s="23">
        <f t="shared" ca="1" si="227"/>
        <v>226</v>
      </c>
      <c r="H1468" s="23">
        <f t="shared" ca="1" si="228"/>
        <v>502</v>
      </c>
      <c r="I1468" s="23">
        <f t="shared" ca="1" si="229"/>
        <v>394</v>
      </c>
      <c r="J1468" s="23">
        <f t="shared" ca="1" si="230"/>
        <v>502</v>
      </c>
      <c r="K1468" s="23">
        <f t="shared" ca="1" si="231"/>
        <v>896</v>
      </c>
      <c r="L1468" s="23">
        <f t="shared" ca="1" si="224"/>
        <v>48160</v>
      </c>
    </row>
    <row r="1469" spans="3:12">
      <c r="C1469" s="23">
        <f t="shared" si="222"/>
        <v>420</v>
      </c>
      <c r="D1469" s="23">
        <f t="shared" si="223"/>
        <v>168</v>
      </c>
      <c r="E1469" s="23">
        <f t="shared" si="225"/>
        <v>252</v>
      </c>
      <c r="F1469" s="23">
        <f t="shared" si="226"/>
        <v>700</v>
      </c>
      <c r="G1469" s="23">
        <f t="shared" ca="1" si="227"/>
        <v>222</v>
      </c>
      <c r="H1469" s="23">
        <f t="shared" ca="1" si="228"/>
        <v>627</v>
      </c>
      <c r="I1469" s="23">
        <f t="shared" ca="1" si="229"/>
        <v>390</v>
      </c>
      <c r="J1469" s="23">
        <f t="shared" ca="1" si="230"/>
        <v>627</v>
      </c>
      <c r="K1469" s="23">
        <f t="shared" ca="1" si="231"/>
        <v>1017</v>
      </c>
      <c r="L1469" s="23">
        <f t="shared" ca="1" si="224"/>
        <v>64495</v>
      </c>
    </row>
    <row r="1470" spans="3:12">
      <c r="C1470" s="23">
        <f t="shared" si="222"/>
        <v>420</v>
      </c>
      <c r="D1470" s="23">
        <f t="shared" si="223"/>
        <v>168</v>
      </c>
      <c r="E1470" s="23">
        <f t="shared" si="225"/>
        <v>252</v>
      </c>
      <c r="F1470" s="23">
        <f t="shared" si="226"/>
        <v>700</v>
      </c>
      <c r="G1470" s="23">
        <f t="shared" ca="1" si="227"/>
        <v>247</v>
      </c>
      <c r="H1470" s="23">
        <f t="shared" ca="1" si="228"/>
        <v>727</v>
      </c>
      <c r="I1470" s="23">
        <f t="shared" ca="1" si="229"/>
        <v>415</v>
      </c>
      <c r="J1470" s="23">
        <f t="shared" ca="1" si="230"/>
        <v>705</v>
      </c>
      <c r="K1470" s="23">
        <f t="shared" ca="1" si="231"/>
        <v>1120</v>
      </c>
      <c r="L1470" s="23">
        <f t="shared" ca="1" si="224"/>
        <v>78400</v>
      </c>
    </row>
    <row r="1471" spans="3:12">
      <c r="C1471" s="23">
        <f t="shared" si="222"/>
        <v>420</v>
      </c>
      <c r="D1471" s="23">
        <f t="shared" si="223"/>
        <v>168</v>
      </c>
      <c r="E1471" s="23">
        <f t="shared" si="225"/>
        <v>252</v>
      </c>
      <c r="F1471" s="23">
        <f t="shared" si="226"/>
        <v>700</v>
      </c>
      <c r="G1471" s="23">
        <f t="shared" ca="1" si="227"/>
        <v>200</v>
      </c>
      <c r="H1471" s="23">
        <f t="shared" ca="1" si="228"/>
        <v>547</v>
      </c>
      <c r="I1471" s="23">
        <f t="shared" ca="1" si="229"/>
        <v>368</v>
      </c>
      <c r="J1471" s="23">
        <f t="shared" ca="1" si="230"/>
        <v>547</v>
      </c>
      <c r="K1471" s="23">
        <f t="shared" ca="1" si="231"/>
        <v>915</v>
      </c>
      <c r="L1471" s="23">
        <f t="shared" ca="1" si="224"/>
        <v>50725</v>
      </c>
    </row>
    <row r="1472" spans="3:12">
      <c r="C1472" s="23">
        <f t="shared" si="222"/>
        <v>420</v>
      </c>
      <c r="D1472" s="23">
        <f t="shared" si="223"/>
        <v>168</v>
      </c>
      <c r="E1472" s="23">
        <f t="shared" si="225"/>
        <v>252</v>
      </c>
      <c r="F1472" s="23">
        <f t="shared" si="226"/>
        <v>700</v>
      </c>
      <c r="G1472" s="23">
        <f t="shared" ca="1" si="227"/>
        <v>223</v>
      </c>
      <c r="H1472" s="23">
        <f t="shared" ca="1" si="228"/>
        <v>687</v>
      </c>
      <c r="I1472" s="23">
        <f t="shared" ca="1" si="229"/>
        <v>391</v>
      </c>
      <c r="J1472" s="23">
        <f t="shared" ca="1" si="230"/>
        <v>687</v>
      </c>
      <c r="K1472" s="23">
        <f t="shared" ca="1" si="231"/>
        <v>1078</v>
      </c>
      <c r="L1472" s="23">
        <f t="shared" ca="1" si="224"/>
        <v>72730</v>
      </c>
    </row>
    <row r="1473" spans="3:12">
      <c r="C1473" s="23">
        <f t="shared" si="222"/>
        <v>420</v>
      </c>
      <c r="D1473" s="23">
        <f t="shared" si="223"/>
        <v>168</v>
      </c>
      <c r="E1473" s="23">
        <f t="shared" si="225"/>
        <v>252</v>
      </c>
      <c r="F1473" s="23">
        <f t="shared" si="226"/>
        <v>700</v>
      </c>
      <c r="G1473" s="23">
        <f t="shared" ca="1" si="227"/>
        <v>182</v>
      </c>
      <c r="H1473" s="23">
        <f t="shared" ca="1" si="228"/>
        <v>501</v>
      </c>
      <c r="I1473" s="23">
        <f t="shared" ca="1" si="229"/>
        <v>350</v>
      </c>
      <c r="J1473" s="23">
        <f t="shared" ca="1" si="230"/>
        <v>501</v>
      </c>
      <c r="K1473" s="23">
        <f t="shared" ca="1" si="231"/>
        <v>851</v>
      </c>
      <c r="L1473" s="23">
        <f t="shared" ca="1" si="224"/>
        <v>42085</v>
      </c>
    </row>
    <row r="1474" spans="3:12">
      <c r="C1474" s="23">
        <f t="shared" si="222"/>
        <v>420</v>
      </c>
      <c r="D1474" s="23">
        <f t="shared" si="223"/>
        <v>168</v>
      </c>
      <c r="E1474" s="23">
        <f t="shared" si="225"/>
        <v>252</v>
      </c>
      <c r="F1474" s="23">
        <f t="shared" si="226"/>
        <v>700</v>
      </c>
      <c r="G1474" s="23">
        <f t="shared" ca="1" si="227"/>
        <v>209</v>
      </c>
      <c r="H1474" s="23">
        <f t="shared" ca="1" si="228"/>
        <v>578</v>
      </c>
      <c r="I1474" s="23">
        <f t="shared" ca="1" si="229"/>
        <v>377</v>
      </c>
      <c r="J1474" s="23">
        <f t="shared" ca="1" si="230"/>
        <v>578</v>
      </c>
      <c r="K1474" s="23">
        <f t="shared" ca="1" si="231"/>
        <v>955</v>
      </c>
      <c r="L1474" s="23">
        <f t="shared" ca="1" si="224"/>
        <v>56125</v>
      </c>
    </row>
    <row r="1475" spans="3:12">
      <c r="C1475" s="23">
        <f t="shared" si="222"/>
        <v>420</v>
      </c>
      <c r="D1475" s="23">
        <f t="shared" si="223"/>
        <v>168</v>
      </c>
      <c r="E1475" s="23">
        <f t="shared" si="225"/>
        <v>252</v>
      </c>
      <c r="F1475" s="23">
        <f t="shared" si="226"/>
        <v>700</v>
      </c>
      <c r="G1475" s="23">
        <f t="shared" ca="1" si="227"/>
        <v>207</v>
      </c>
      <c r="H1475" s="23">
        <f t="shared" ca="1" si="228"/>
        <v>621</v>
      </c>
      <c r="I1475" s="23">
        <f t="shared" ca="1" si="229"/>
        <v>375</v>
      </c>
      <c r="J1475" s="23">
        <f t="shared" ca="1" si="230"/>
        <v>621</v>
      </c>
      <c r="K1475" s="23">
        <f t="shared" ca="1" si="231"/>
        <v>996</v>
      </c>
      <c r="L1475" s="23">
        <f t="shared" ca="1" si="224"/>
        <v>61660</v>
      </c>
    </row>
    <row r="1476" spans="3:12">
      <c r="C1476" s="23">
        <f t="shared" si="222"/>
        <v>420</v>
      </c>
      <c r="D1476" s="23">
        <f t="shared" si="223"/>
        <v>168</v>
      </c>
      <c r="E1476" s="23">
        <f t="shared" si="225"/>
        <v>252</v>
      </c>
      <c r="F1476" s="23">
        <f t="shared" si="226"/>
        <v>700</v>
      </c>
      <c r="G1476" s="23">
        <f t="shared" ca="1" si="227"/>
        <v>242</v>
      </c>
      <c r="H1476" s="23">
        <f t="shared" ca="1" si="228"/>
        <v>753</v>
      </c>
      <c r="I1476" s="23">
        <f t="shared" ca="1" si="229"/>
        <v>410</v>
      </c>
      <c r="J1476" s="23">
        <f t="shared" ca="1" si="230"/>
        <v>710</v>
      </c>
      <c r="K1476" s="23">
        <f t="shared" ca="1" si="231"/>
        <v>1120</v>
      </c>
      <c r="L1476" s="23">
        <f t="shared" ca="1" si="224"/>
        <v>78400</v>
      </c>
    </row>
    <row r="1477" spans="3:12">
      <c r="C1477" s="23">
        <f t="shared" si="222"/>
        <v>420</v>
      </c>
      <c r="D1477" s="23">
        <f t="shared" si="223"/>
        <v>168</v>
      </c>
      <c r="E1477" s="23">
        <f t="shared" si="225"/>
        <v>252</v>
      </c>
      <c r="F1477" s="23">
        <f t="shared" si="226"/>
        <v>700</v>
      </c>
      <c r="G1477" s="23">
        <f t="shared" ca="1" si="227"/>
        <v>217</v>
      </c>
      <c r="H1477" s="23">
        <f t="shared" ca="1" si="228"/>
        <v>620</v>
      </c>
      <c r="I1477" s="23">
        <f t="shared" ca="1" si="229"/>
        <v>385</v>
      </c>
      <c r="J1477" s="23">
        <f t="shared" ca="1" si="230"/>
        <v>620</v>
      </c>
      <c r="K1477" s="23">
        <f t="shared" ca="1" si="231"/>
        <v>1005</v>
      </c>
      <c r="L1477" s="23">
        <f t="shared" ca="1" si="224"/>
        <v>62875</v>
      </c>
    </row>
    <row r="1478" spans="3:12">
      <c r="C1478" s="23">
        <f t="shared" si="222"/>
        <v>420</v>
      </c>
      <c r="D1478" s="23">
        <f t="shared" si="223"/>
        <v>168</v>
      </c>
      <c r="E1478" s="23">
        <f t="shared" si="225"/>
        <v>252</v>
      </c>
      <c r="F1478" s="23">
        <f t="shared" si="226"/>
        <v>700</v>
      </c>
      <c r="G1478" s="23">
        <f t="shared" ca="1" si="227"/>
        <v>217</v>
      </c>
      <c r="H1478" s="23">
        <f t="shared" ca="1" si="228"/>
        <v>689</v>
      </c>
      <c r="I1478" s="23">
        <f t="shared" ca="1" si="229"/>
        <v>385</v>
      </c>
      <c r="J1478" s="23">
        <f t="shared" ca="1" si="230"/>
        <v>689</v>
      </c>
      <c r="K1478" s="23">
        <f t="shared" ca="1" si="231"/>
        <v>1074</v>
      </c>
      <c r="L1478" s="23">
        <f t="shared" ca="1" si="224"/>
        <v>72190</v>
      </c>
    </row>
    <row r="1479" spans="3:12">
      <c r="C1479" s="23">
        <f t="shared" si="222"/>
        <v>420</v>
      </c>
      <c r="D1479" s="23">
        <f t="shared" si="223"/>
        <v>168</v>
      </c>
      <c r="E1479" s="23">
        <f t="shared" si="225"/>
        <v>252</v>
      </c>
      <c r="F1479" s="23">
        <f t="shared" si="226"/>
        <v>700</v>
      </c>
      <c r="G1479" s="23">
        <f t="shared" ca="1" si="227"/>
        <v>199</v>
      </c>
      <c r="H1479" s="23">
        <f t="shared" ca="1" si="228"/>
        <v>665</v>
      </c>
      <c r="I1479" s="23">
        <f t="shared" ca="1" si="229"/>
        <v>367</v>
      </c>
      <c r="J1479" s="23">
        <f t="shared" ca="1" si="230"/>
        <v>665</v>
      </c>
      <c r="K1479" s="23">
        <f t="shared" ca="1" si="231"/>
        <v>1032</v>
      </c>
      <c r="L1479" s="23">
        <f t="shared" ca="1" si="224"/>
        <v>66520</v>
      </c>
    </row>
    <row r="1480" spans="3:12">
      <c r="C1480" s="23">
        <f t="shared" si="222"/>
        <v>420</v>
      </c>
      <c r="D1480" s="23">
        <f t="shared" si="223"/>
        <v>168</v>
      </c>
      <c r="E1480" s="23">
        <f t="shared" si="225"/>
        <v>252</v>
      </c>
      <c r="F1480" s="23">
        <f t="shared" si="226"/>
        <v>700</v>
      </c>
      <c r="G1480" s="23">
        <f t="shared" ca="1" si="227"/>
        <v>215</v>
      </c>
      <c r="H1480" s="23">
        <f t="shared" ca="1" si="228"/>
        <v>736</v>
      </c>
      <c r="I1480" s="23">
        <f t="shared" ca="1" si="229"/>
        <v>383</v>
      </c>
      <c r="J1480" s="23">
        <f t="shared" ca="1" si="230"/>
        <v>736</v>
      </c>
      <c r="K1480" s="23">
        <f t="shared" ca="1" si="231"/>
        <v>1119</v>
      </c>
      <c r="L1480" s="23">
        <f t="shared" ca="1" si="224"/>
        <v>78265</v>
      </c>
    </row>
    <row r="1481" spans="3:12">
      <c r="C1481" s="23">
        <f t="shared" si="222"/>
        <v>420</v>
      </c>
      <c r="D1481" s="23">
        <f t="shared" si="223"/>
        <v>168</v>
      </c>
      <c r="E1481" s="23">
        <f t="shared" si="225"/>
        <v>252</v>
      </c>
      <c r="F1481" s="23">
        <f t="shared" si="226"/>
        <v>700</v>
      </c>
      <c r="G1481" s="23">
        <f t="shared" ca="1" si="227"/>
        <v>211</v>
      </c>
      <c r="H1481" s="23">
        <f t="shared" ca="1" si="228"/>
        <v>694</v>
      </c>
      <c r="I1481" s="23">
        <f t="shared" ca="1" si="229"/>
        <v>379</v>
      </c>
      <c r="J1481" s="23">
        <f t="shared" ca="1" si="230"/>
        <v>694</v>
      </c>
      <c r="K1481" s="23">
        <f t="shared" ca="1" si="231"/>
        <v>1073</v>
      </c>
      <c r="L1481" s="23">
        <f t="shared" ca="1" si="224"/>
        <v>72055</v>
      </c>
    </row>
    <row r="1482" spans="3:12">
      <c r="C1482" s="23">
        <f t="shared" si="222"/>
        <v>420</v>
      </c>
      <c r="D1482" s="23">
        <f t="shared" si="223"/>
        <v>168</v>
      </c>
      <c r="E1482" s="23">
        <f t="shared" si="225"/>
        <v>252</v>
      </c>
      <c r="F1482" s="23">
        <f t="shared" si="226"/>
        <v>700</v>
      </c>
      <c r="G1482" s="23">
        <f t="shared" ca="1" si="227"/>
        <v>182</v>
      </c>
      <c r="H1482" s="23">
        <f t="shared" ca="1" si="228"/>
        <v>782</v>
      </c>
      <c r="I1482" s="23">
        <f t="shared" ca="1" si="229"/>
        <v>350</v>
      </c>
      <c r="J1482" s="23">
        <f t="shared" ca="1" si="230"/>
        <v>770</v>
      </c>
      <c r="K1482" s="23">
        <f t="shared" ca="1" si="231"/>
        <v>1120</v>
      </c>
      <c r="L1482" s="23">
        <f t="shared" ca="1" si="224"/>
        <v>78400</v>
      </c>
    </row>
    <row r="1483" spans="3:12">
      <c r="C1483" s="23">
        <f t="shared" si="222"/>
        <v>420</v>
      </c>
      <c r="D1483" s="23">
        <f t="shared" si="223"/>
        <v>168</v>
      </c>
      <c r="E1483" s="23">
        <f t="shared" si="225"/>
        <v>252</v>
      </c>
      <c r="F1483" s="23">
        <f t="shared" si="226"/>
        <v>700</v>
      </c>
      <c r="G1483" s="23">
        <f t="shared" ca="1" si="227"/>
        <v>225</v>
      </c>
      <c r="H1483" s="23">
        <f t="shared" ca="1" si="228"/>
        <v>577</v>
      </c>
      <c r="I1483" s="23">
        <f t="shared" ca="1" si="229"/>
        <v>393</v>
      </c>
      <c r="J1483" s="23">
        <f t="shared" ca="1" si="230"/>
        <v>577</v>
      </c>
      <c r="K1483" s="23">
        <f t="shared" ca="1" si="231"/>
        <v>970</v>
      </c>
      <c r="L1483" s="23">
        <f t="shared" ca="1" si="224"/>
        <v>58150</v>
      </c>
    </row>
    <row r="1484" spans="3:12">
      <c r="C1484" s="23">
        <f t="shared" ref="C1484:C1506" si="232">$B$4</f>
        <v>420</v>
      </c>
      <c r="D1484" s="23">
        <f t="shared" ref="D1484:D1506" si="233">$B$5</f>
        <v>168</v>
      </c>
      <c r="E1484" s="23">
        <f t="shared" si="225"/>
        <v>252</v>
      </c>
      <c r="F1484" s="23">
        <f t="shared" si="226"/>
        <v>700</v>
      </c>
      <c r="G1484" s="23">
        <f t="shared" ca="1" si="227"/>
        <v>211</v>
      </c>
      <c r="H1484" s="23">
        <f t="shared" ca="1" si="228"/>
        <v>667</v>
      </c>
      <c r="I1484" s="23">
        <f t="shared" ca="1" si="229"/>
        <v>379</v>
      </c>
      <c r="J1484" s="23">
        <f t="shared" ca="1" si="230"/>
        <v>667</v>
      </c>
      <c r="K1484" s="23">
        <f t="shared" ca="1" si="231"/>
        <v>1046</v>
      </c>
      <c r="L1484" s="23">
        <f t="shared" ref="L1484:L1506" ca="1" si="234">K1484*$B$2-(F1484+C1484)*$B$1</f>
        <v>68410</v>
      </c>
    </row>
    <row r="1485" spans="3:12">
      <c r="C1485" s="23">
        <f t="shared" si="232"/>
        <v>420</v>
      </c>
      <c r="D1485" s="23">
        <f t="shared" si="233"/>
        <v>168</v>
      </c>
      <c r="E1485" s="23">
        <f t="shared" ref="E1485:E1506" si="235">MAX(0,C1485-D1485)</f>
        <v>252</v>
      </c>
      <c r="F1485" s="23">
        <f t="shared" ref="F1485:F1506" si="236">$E$8</f>
        <v>700</v>
      </c>
      <c r="G1485" s="23">
        <f t="shared" ref="G1485:G1506" ca="1" si="237">_xlfn.FLOOR.MATH(MAX(0,_xlfn.NORM.INV(RAND(),$B$6*$B$8,$B$3*($B$8+0.0001))))</f>
        <v>224</v>
      </c>
      <c r="H1485" s="23">
        <f t="shared" ref="H1485:H1506" ca="1" si="238">_xlfn.FLOOR.MATH(MAX(0,_xlfn.NORM.INV(RAND(),$B$6*(1-$B$8),$B$3*(1.00001-$B$8))))</f>
        <v>637</v>
      </c>
      <c r="I1485" s="23">
        <f t="shared" ref="I1485:I1506" ca="1" si="239">MIN(C1485,D1485+G1485)</f>
        <v>392</v>
      </c>
      <c r="J1485" s="23">
        <f t="shared" ref="J1485:J1506" ca="1" si="240">MIN(C1485-I1485+F1485,H1485)</f>
        <v>637</v>
      </c>
      <c r="K1485" s="23">
        <f t="shared" ref="K1485:K1506" ca="1" si="241">I1485+J1485</f>
        <v>1029</v>
      </c>
      <c r="L1485" s="23">
        <f t="shared" ca="1" si="234"/>
        <v>66115</v>
      </c>
    </row>
    <row r="1486" spans="3:12">
      <c r="C1486" s="23">
        <f t="shared" si="232"/>
        <v>420</v>
      </c>
      <c r="D1486" s="23">
        <f t="shared" si="233"/>
        <v>168</v>
      </c>
      <c r="E1486" s="23">
        <f t="shared" si="235"/>
        <v>252</v>
      </c>
      <c r="F1486" s="23">
        <f t="shared" si="236"/>
        <v>700</v>
      </c>
      <c r="G1486" s="23">
        <f t="shared" ca="1" si="237"/>
        <v>232</v>
      </c>
      <c r="H1486" s="23">
        <f t="shared" ca="1" si="238"/>
        <v>610</v>
      </c>
      <c r="I1486" s="23">
        <f t="shared" ca="1" si="239"/>
        <v>400</v>
      </c>
      <c r="J1486" s="23">
        <f t="shared" ca="1" si="240"/>
        <v>610</v>
      </c>
      <c r="K1486" s="23">
        <f t="shared" ca="1" si="241"/>
        <v>1010</v>
      </c>
      <c r="L1486" s="23">
        <f t="shared" ca="1" si="234"/>
        <v>63550</v>
      </c>
    </row>
    <row r="1487" spans="3:12">
      <c r="C1487" s="23">
        <f t="shared" si="232"/>
        <v>420</v>
      </c>
      <c r="D1487" s="23">
        <f t="shared" si="233"/>
        <v>168</v>
      </c>
      <c r="E1487" s="23">
        <f t="shared" si="235"/>
        <v>252</v>
      </c>
      <c r="F1487" s="23">
        <f t="shared" si="236"/>
        <v>700</v>
      </c>
      <c r="G1487" s="23">
        <f t="shared" ca="1" si="237"/>
        <v>176</v>
      </c>
      <c r="H1487" s="23">
        <f t="shared" ca="1" si="238"/>
        <v>506</v>
      </c>
      <c r="I1487" s="23">
        <f t="shared" ca="1" si="239"/>
        <v>344</v>
      </c>
      <c r="J1487" s="23">
        <f t="shared" ca="1" si="240"/>
        <v>506</v>
      </c>
      <c r="K1487" s="23">
        <f t="shared" ca="1" si="241"/>
        <v>850</v>
      </c>
      <c r="L1487" s="23">
        <f t="shared" ca="1" si="234"/>
        <v>41950</v>
      </c>
    </row>
    <row r="1488" spans="3:12">
      <c r="C1488" s="23">
        <f t="shared" si="232"/>
        <v>420</v>
      </c>
      <c r="D1488" s="23">
        <f t="shared" si="233"/>
        <v>168</v>
      </c>
      <c r="E1488" s="23">
        <f t="shared" si="235"/>
        <v>252</v>
      </c>
      <c r="F1488" s="23">
        <f t="shared" si="236"/>
        <v>700</v>
      </c>
      <c r="G1488" s="23">
        <f t="shared" ca="1" si="237"/>
        <v>238</v>
      </c>
      <c r="H1488" s="23">
        <f t="shared" ca="1" si="238"/>
        <v>655</v>
      </c>
      <c r="I1488" s="23">
        <f t="shared" ca="1" si="239"/>
        <v>406</v>
      </c>
      <c r="J1488" s="23">
        <f t="shared" ca="1" si="240"/>
        <v>655</v>
      </c>
      <c r="K1488" s="23">
        <f t="shared" ca="1" si="241"/>
        <v>1061</v>
      </c>
      <c r="L1488" s="23">
        <f t="shared" ca="1" si="234"/>
        <v>70435</v>
      </c>
    </row>
    <row r="1489" spans="3:12">
      <c r="C1489" s="23">
        <f t="shared" si="232"/>
        <v>420</v>
      </c>
      <c r="D1489" s="23">
        <f t="shared" si="233"/>
        <v>168</v>
      </c>
      <c r="E1489" s="23">
        <f t="shared" si="235"/>
        <v>252</v>
      </c>
      <c r="F1489" s="23">
        <f t="shared" si="236"/>
        <v>700</v>
      </c>
      <c r="G1489" s="23">
        <f t="shared" ca="1" si="237"/>
        <v>196</v>
      </c>
      <c r="H1489" s="23">
        <f t="shared" ca="1" si="238"/>
        <v>652</v>
      </c>
      <c r="I1489" s="23">
        <f t="shared" ca="1" si="239"/>
        <v>364</v>
      </c>
      <c r="J1489" s="23">
        <f t="shared" ca="1" si="240"/>
        <v>652</v>
      </c>
      <c r="K1489" s="23">
        <f t="shared" ca="1" si="241"/>
        <v>1016</v>
      </c>
      <c r="L1489" s="23">
        <f t="shared" ca="1" si="234"/>
        <v>64360</v>
      </c>
    </row>
    <row r="1490" spans="3:12">
      <c r="C1490" s="23">
        <f t="shared" si="232"/>
        <v>420</v>
      </c>
      <c r="D1490" s="23">
        <f t="shared" si="233"/>
        <v>168</v>
      </c>
      <c r="E1490" s="23">
        <f t="shared" si="235"/>
        <v>252</v>
      </c>
      <c r="F1490" s="23">
        <f t="shared" si="236"/>
        <v>700</v>
      </c>
      <c r="G1490" s="23">
        <f t="shared" ca="1" si="237"/>
        <v>218</v>
      </c>
      <c r="H1490" s="23">
        <f t="shared" ca="1" si="238"/>
        <v>658</v>
      </c>
      <c r="I1490" s="23">
        <f t="shared" ca="1" si="239"/>
        <v>386</v>
      </c>
      <c r="J1490" s="23">
        <f t="shared" ca="1" si="240"/>
        <v>658</v>
      </c>
      <c r="K1490" s="23">
        <f t="shared" ca="1" si="241"/>
        <v>1044</v>
      </c>
      <c r="L1490" s="23">
        <f t="shared" ca="1" si="234"/>
        <v>68140</v>
      </c>
    </row>
    <row r="1491" spans="3:12">
      <c r="C1491" s="23">
        <f t="shared" si="232"/>
        <v>420</v>
      </c>
      <c r="D1491" s="23">
        <f t="shared" si="233"/>
        <v>168</v>
      </c>
      <c r="E1491" s="23">
        <f t="shared" si="235"/>
        <v>252</v>
      </c>
      <c r="F1491" s="23">
        <f t="shared" si="236"/>
        <v>700</v>
      </c>
      <c r="G1491" s="23">
        <f t="shared" ca="1" si="237"/>
        <v>214</v>
      </c>
      <c r="H1491" s="23">
        <f t="shared" ca="1" si="238"/>
        <v>559</v>
      </c>
      <c r="I1491" s="23">
        <f t="shared" ca="1" si="239"/>
        <v>382</v>
      </c>
      <c r="J1491" s="23">
        <f t="shared" ca="1" si="240"/>
        <v>559</v>
      </c>
      <c r="K1491" s="23">
        <f t="shared" ca="1" si="241"/>
        <v>941</v>
      </c>
      <c r="L1491" s="23">
        <f t="shared" ca="1" si="234"/>
        <v>54235</v>
      </c>
    </row>
    <row r="1492" spans="3:12">
      <c r="C1492" s="23">
        <f t="shared" si="232"/>
        <v>420</v>
      </c>
      <c r="D1492" s="23">
        <f t="shared" si="233"/>
        <v>168</v>
      </c>
      <c r="E1492" s="23">
        <f t="shared" si="235"/>
        <v>252</v>
      </c>
      <c r="F1492" s="23">
        <f t="shared" si="236"/>
        <v>700</v>
      </c>
      <c r="G1492" s="23">
        <f t="shared" ca="1" si="237"/>
        <v>196</v>
      </c>
      <c r="H1492" s="23">
        <f t="shared" ca="1" si="238"/>
        <v>605</v>
      </c>
      <c r="I1492" s="23">
        <f t="shared" ca="1" si="239"/>
        <v>364</v>
      </c>
      <c r="J1492" s="23">
        <f t="shared" ca="1" si="240"/>
        <v>605</v>
      </c>
      <c r="K1492" s="23">
        <f t="shared" ca="1" si="241"/>
        <v>969</v>
      </c>
      <c r="L1492" s="23">
        <f t="shared" ca="1" si="234"/>
        <v>58015</v>
      </c>
    </row>
    <row r="1493" spans="3:12">
      <c r="C1493" s="23">
        <f t="shared" si="232"/>
        <v>420</v>
      </c>
      <c r="D1493" s="23">
        <f t="shared" si="233"/>
        <v>168</v>
      </c>
      <c r="E1493" s="23">
        <f t="shared" si="235"/>
        <v>252</v>
      </c>
      <c r="F1493" s="23">
        <f t="shared" si="236"/>
        <v>700</v>
      </c>
      <c r="G1493" s="23">
        <f t="shared" ca="1" si="237"/>
        <v>222</v>
      </c>
      <c r="H1493" s="23">
        <f t="shared" ca="1" si="238"/>
        <v>602</v>
      </c>
      <c r="I1493" s="23">
        <f t="shared" ca="1" si="239"/>
        <v>390</v>
      </c>
      <c r="J1493" s="23">
        <f t="shared" ca="1" si="240"/>
        <v>602</v>
      </c>
      <c r="K1493" s="23">
        <f t="shared" ca="1" si="241"/>
        <v>992</v>
      </c>
      <c r="L1493" s="23">
        <f t="shared" ca="1" si="234"/>
        <v>61120</v>
      </c>
    </row>
    <row r="1494" spans="3:12">
      <c r="C1494" s="23">
        <f t="shared" si="232"/>
        <v>420</v>
      </c>
      <c r="D1494" s="23">
        <f t="shared" si="233"/>
        <v>168</v>
      </c>
      <c r="E1494" s="23">
        <f t="shared" si="235"/>
        <v>252</v>
      </c>
      <c r="F1494" s="23">
        <f t="shared" si="236"/>
        <v>700</v>
      </c>
      <c r="G1494" s="23">
        <f t="shared" ca="1" si="237"/>
        <v>268</v>
      </c>
      <c r="H1494" s="23">
        <f t="shared" ca="1" si="238"/>
        <v>665</v>
      </c>
      <c r="I1494" s="23">
        <f t="shared" ca="1" si="239"/>
        <v>420</v>
      </c>
      <c r="J1494" s="23">
        <f t="shared" ca="1" si="240"/>
        <v>665</v>
      </c>
      <c r="K1494" s="23">
        <f t="shared" ca="1" si="241"/>
        <v>1085</v>
      </c>
      <c r="L1494" s="23">
        <f t="shared" ca="1" si="234"/>
        <v>73675</v>
      </c>
    </row>
    <row r="1495" spans="3:12">
      <c r="C1495" s="23">
        <f t="shared" si="232"/>
        <v>420</v>
      </c>
      <c r="D1495" s="23">
        <f t="shared" si="233"/>
        <v>168</v>
      </c>
      <c r="E1495" s="23">
        <f t="shared" si="235"/>
        <v>252</v>
      </c>
      <c r="F1495" s="23">
        <f t="shared" si="236"/>
        <v>700</v>
      </c>
      <c r="G1495" s="23">
        <f t="shared" ca="1" si="237"/>
        <v>215</v>
      </c>
      <c r="H1495" s="23">
        <f t="shared" ca="1" si="238"/>
        <v>727</v>
      </c>
      <c r="I1495" s="23">
        <f t="shared" ca="1" si="239"/>
        <v>383</v>
      </c>
      <c r="J1495" s="23">
        <f t="shared" ca="1" si="240"/>
        <v>727</v>
      </c>
      <c r="K1495" s="23">
        <f t="shared" ca="1" si="241"/>
        <v>1110</v>
      </c>
      <c r="L1495" s="23">
        <f t="shared" ca="1" si="234"/>
        <v>77050</v>
      </c>
    </row>
    <row r="1496" spans="3:12">
      <c r="C1496" s="23">
        <f t="shared" si="232"/>
        <v>420</v>
      </c>
      <c r="D1496" s="23">
        <f t="shared" si="233"/>
        <v>168</v>
      </c>
      <c r="E1496" s="23">
        <f t="shared" si="235"/>
        <v>252</v>
      </c>
      <c r="F1496" s="23">
        <f t="shared" si="236"/>
        <v>700</v>
      </c>
      <c r="G1496" s="23">
        <f t="shared" ca="1" si="237"/>
        <v>176</v>
      </c>
      <c r="H1496" s="23">
        <f t="shared" ca="1" si="238"/>
        <v>730</v>
      </c>
      <c r="I1496" s="23">
        <f t="shared" ca="1" si="239"/>
        <v>344</v>
      </c>
      <c r="J1496" s="23">
        <f t="shared" ca="1" si="240"/>
        <v>730</v>
      </c>
      <c r="K1496" s="23">
        <f t="shared" ca="1" si="241"/>
        <v>1074</v>
      </c>
      <c r="L1496" s="23">
        <f t="shared" ca="1" si="234"/>
        <v>72190</v>
      </c>
    </row>
    <row r="1497" spans="3:12">
      <c r="C1497" s="23">
        <f t="shared" si="232"/>
        <v>420</v>
      </c>
      <c r="D1497" s="23">
        <f t="shared" si="233"/>
        <v>168</v>
      </c>
      <c r="E1497" s="23">
        <f t="shared" si="235"/>
        <v>252</v>
      </c>
      <c r="F1497" s="23">
        <f t="shared" si="236"/>
        <v>700</v>
      </c>
      <c r="G1497" s="23">
        <f t="shared" ca="1" si="237"/>
        <v>173</v>
      </c>
      <c r="H1497" s="23">
        <f t="shared" ca="1" si="238"/>
        <v>564</v>
      </c>
      <c r="I1497" s="23">
        <f t="shared" ca="1" si="239"/>
        <v>341</v>
      </c>
      <c r="J1497" s="23">
        <f t="shared" ca="1" si="240"/>
        <v>564</v>
      </c>
      <c r="K1497" s="23">
        <f t="shared" ca="1" si="241"/>
        <v>905</v>
      </c>
      <c r="L1497" s="23">
        <f t="shared" ca="1" si="234"/>
        <v>49375</v>
      </c>
    </row>
    <row r="1498" spans="3:12">
      <c r="C1498" s="23">
        <f t="shared" si="232"/>
        <v>420</v>
      </c>
      <c r="D1498" s="23">
        <f t="shared" si="233"/>
        <v>168</v>
      </c>
      <c r="E1498" s="23">
        <f t="shared" si="235"/>
        <v>252</v>
      </c>
      <c r="F1498" s="23">
        <f t="shared" si="236"/>
        <v>700</v>
      </c>
      <c r="G1498" s="23">
        <f t="shared" ca="1" si="237"/>
        <v>206</v>
      </c>
      <c r="H1498" s="23">
        <f t="shared" ca="1" si="238"/>
        <v>641</v>
      </c>
      <c r="I1498" s="23">
        <f t="shared" ca="1" si="239"/>
        <v>374</v>
      </c>
      <c r="J1498" s="23">
        <f t="shared" ca="1" si="240"/>
        <v>641</v>
      </c>
      <c r="K1498" s="23">
        <f t="shared" ca="1" si="241"/>
        <v>1015</v>
      </c>
      <c r="L1498" s="23">
        <f t="shared" ca="1" si="234"/>
        <v>64225</v>
      </c>
    </row>
    <row r="1499" spans="3:12">
      <c r="C1499" s="23">
        <f t="shared" si="232"/>
        <v>420</v>
      </c>
      <c r="D1499" s="23">
        <f t="shared" si="233"/>
        <v>168</v>
      </c>
      <c r="E1499" s="23">
        <f t="shared" si="235"/>
        <v>252</v>
      </c>
      <c r="F1499" s="23">
        <f t="shared" si="236"/>
        <v>700</v>
      </c>
      <c r="G1499" s="23">
        <f t="shared" ca="1" si="237"/>
        <v>163</v>
      </c>
      <c r="H1499" s="23">
        <f t="shared" ca="1" si="238"/>
        <v>668</v>
      </c>
      <c r="I1499" s="23">
        <f t="shared" ca="1" si="239"/>
        <v>331</v>
      </c>
      <c r="J1499" s="23">
        <f t="shared" ca="1" si="240"/>
        <v>668</v>
      </c>
      <c r="K1499" s="23">
        <f t="shared" ca="1" si="241"/>
        <v>999</v>
      </c>
      <c r="L1499" s="23">
        <f t="shared" ca="1" si="234"/>
        <v>62065</v>
      </c>
    </row>
    <row r="1500" spans="3:12">
      <c r="C1500" s="23">
        <f t="shared" si="232"/>
        <v>420</v>
      </c>
      <c r="D1500" s="23">
        <f t="shared" si="233"/>
        <v>168</v>
      </c>
      <c r="E1500" s="23">
        <f t="shared" si="235"/>
        <v>252</v>
      </c>
      <c r="F1500" s="23">
        <f t="shared" si="236"/>
        <v>700</v>
      </c>
      <c r="G1500" s="23">
        <f t="shared" ca="1" si="237"/>
        <v>231</v>
      </c>
      <c r="H1500" s="23">
        <f t="shared" ca="1" si="238"/>
        <v>541</v>
      </c>
      <c r="I1500" s="23">
        <f t="shared" ca="1" si="239"/>
        <v>399</v>
      </c>
      <c r="J1500" s="23">
        <f t="shared" ca="1" si="240"/>
        <v>541</v>
      </c>
      <c r="K1500" s="23">
        <f t="shared" ca="1" si="241"/>
        <v>940</v>
      </c>
      <c r="L1500" s="23">
        <f t="shared" ca="1" si="234"/>
        <v>54100</v>
      </c>
    </row>
    <row r="1501" spans="3:12">
      <c r="C1501" s="23">
        <f t="shared" si="232"/>
        <v>420</v>
      </c>
      <c r="D1501" s="23">
        <f t="shared" si="233"/>
        <v>168</v>
      </c>
      <c r="E1501" s="23">
        <f t="shared" si="235"/>
        <v>252</v>
      </c>
      <c r="F1501" s="23">
        <f t="shared" si="236"/>
        <v>700</v>
      </c>
      <c r="G1501" s="23">
        <f t="shared" ca="1" si="237"/>
        <v>202</v>
      </c>
      <c r="H1501" s="23">
        <f t="shared" ca="1" si="238"/>
        <v>546</v>
      </c>
      <c r="I1501" s="23">
        <f t="shared" ca="1" si="239"/>
        <v>370</v>
      </c>
      <c r="J1501" s="23">
        <f t="shared" ca="1" si="240"/>
        <v>546</v>
      </c>
      <c r="K1501" s="23">
        <f t="shared" ca="1" si="241"/>
        <v>916</v>
      </c>
      <c r="L1501" s="23">
        <f t="shared" ca="1" si="234"/>
        <v>50860</v>
      </c>
    </row>
    <row r="1502" spans="3:12">
      <c r="C1502" s="23">
        <f t="shared" si="232"/>
        <v>420</v>
      </c>
      <c r="D1502" s="23">
        <f t="shared" si="233"/>
        <v>168</v>
      </c>
      <c r="E1502" s="23">
        <f t="shared" si="235"/>
        <v>252</v>
      </c>
      <c r="F1502" s="23">
        <f t="shared" si="236"/>
        <v>700</v>
      </c>
      <c r="G1502" s="23">
        <f t="shared" ca="1" si="237"/>
        <v>206</v>
      </c>
      <c r="H1502" s="23">
        <f t="shared" ca="1" si="238"/>
        <v>633</v>
      </c>
      <c r="I1502" s="23">
        <f t="shared" ca="1" si="239"/>
        <v>374</v>
      </c>
      <c r="J1502" s="23">
        <f t="shared" ca="1" si="240"/>
        <v>633</v>
      </c>
      <c r="K1502" s="23">
        <f t="shared" ca="1" si="241"/>
        <v>1007</v>
      </c>
      <c r="L1502" s="23">
        <f t="shared" ca="1" si="234"/>
        <v>63145</v>
      </c>
    </row>
    <row r="1503" spans="3:12">
      <c r="C1503" s="23">
        <f t="shared" si="232"/>
        <v>420</v>
      </c>
      <c r="D1503" s="23">
        <f t="shared" si="233"/>
        <v>168</v>
      </c>
      <c r="E1503" s="23">
        <f t="shared" si="235"/>
        <v>252</v>
      </c>
      <c r="F1503" s="23">
        <f t="shared" si="236"/>
        <v>700</v>
      </c>
      <c r="G1503" s="23">
        <f t="shared" ca="1" si="237"/>
        <v>208</v>
      </c>
      <c r="H1503" s="23">
        <f t="shared" ca="1" si="238"/>
        <v>625</v>
      </c>
      <c r="I1503" s="23">
        <f t="shared" ca="1" si="239"/>
        <v>376</v>
      </c>
      <c r="J1503" s="23">
        <f t="shared" ca="1" si="240"/>
        <v>625</v>
      </c>
      <c r="K1503" s="23">
        <f t="shared" ca="1" si="241"/>
        <v>1001</v>
      </c>
      <c r="L1503" s="23">
        <f t="shared" ca="1" si="234"/>
        <v>62335</v>
      </c>
    </row>
    <row r="1504" spans="3:12">
      <c r="C1504" s="23">
        <f t="shared" si="232"/>
        <v>420</v>
      </c>
      <c r="D1504" s="23">
        <f t="shared" si="233"/>
        <v>168</v>
      </c>
      <c r="E1504" s="23">
        <f t="shared" si="235"/>
        <v>252</v>
      </c>
      <c r="F1504" s="23">
        <f t="shared" si="236"/>
        <v>700</v>
      </c>
      <c r="G1504" s="23">
        <f t="shared" ca="1" si="237"/>
        <v>236</v>
      </c>
      <c r="H1504" s="23">
        <f t="shared" ca="1" si="238"/>
        <v>618</v>
      </c>
      <c r="I1504" s="23">
        <f t="shared" ca="1" si="239"/>
        <v>404</v>
      </c>
      <c r="J1504" s="23">
        <f t="shared" ca="1" si="240"/>
        <v>618</v>
      </c>
      <c r="K1504" s="23">
        <f t="shared" ca="1" si="241"/>
        <v>1022</v>
      </c>
      <c r="L1504" s="23">
        <f t="shared" ca="1" si="234"/>
        <v>65170</v>
      </c>
    </row>
    <row r="1505" spans="3:12">
      <c r="C1505" s="23">
        <f t="shared" si="232"/>
        <v>420</v>
      </c>
      <c r="D1505" s="23">
        <f t="shared" si="233"/>
        <v>168</v>
      </c>
      <c r="E1505" s="23">
        <f t="shared" si="235"/>
        <v>252</v>
      </c>
      <c r="F1505" s="23">
        <f t="shared" si="236"/>
        <v>700</v>
      </c>
      <c r="G1505" s="23">
        <f t="shared" ca="1" si="237"/>
        <v>221</v>
      </c>
      <c r="H1505" s="23">
        <f t="shared" ca="1" si="238"/>
        <v>568</v>
      </c>
      <c r="I1505" s="23">
        <f t="shared" ca="1" si="239"/>
        <v>389</v>
      </c>
      <c r="J1505" s="23">
        <f t="shared" ca="1" si="240"/>
        <v>568</v>
      </c>
      <c r="K1505" s="23">
        <f t="shared" ca="1" si="241"/>
        <v>957</v>
      </c>
      <c r="L1505" s="23">
        <f t="shared" ca="1" si="234"/>
        <v>56395</v>
      </c>
    </row>
    <row r="1506" spans="3:12">
      <c r="C1506" s="23">
        <f t="shared" si="232"/>
        <v>420</v>
      </c>
      <c r="D1506" s="23">
        <f t="shared" si="233"/>
        <v>168</v>
      </c>
      <c r="E1506" s="23">
        <f t="shared" si="235"/>
        <v>252</v>
      </c>
      <c r="F1506" s="23">
        <f t="shared" si="236"/>
        <v>700</v>
      </c>
      <c r="G1506" s="23">
        <f t="shared" ca="1" si="237"/>
        <v>198</v>
      </c>
      <c r="H1506" s="23">
        <f t="shared" ca="1" si="238"/>
        <v>605</v>
      </c>
      <c r="I1506" s="23">
        <f t="shared" ca="1" si="239"/>
        <v>366</v>
      </c>
      <c r="J1506" s="23">
        <f t="shared" ca="1" si="240"/>
        <v>605</v>
      </c>
      <c r="K1506" s="23">
        <f t="shared" ca="1" si="241"/>
        <v>971</v>
      </c>
      <c r="L1506" s="23">
        <f t="shared" ca="1" si="234"/>
        <v>58285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A47AB-2BFC-B145-8E42-0C56464FED3D}">
  <dimension ref="A1:BG40"/>
  <sheetViews>
    <sheetView zoomScale="106" zoomScaleNormal="100" workbookViewId="0">
      <selection activeCell="K26" sqref="K26"/>
    </sheetView>
  </sheetViews>
  <sheetFormatPr baseColWidth="10" defaultRowHeight="15"/>
  <cols>
    <col min="1" max="1" width="13.6640625" customWidth="1"/>
    <col min="2" max="2" width="18" customWidth="1"/>
    <col min="3" max="3" width="20.6640625" customWidth="1"/>
    <col min="4" max="4" width="17.33203125" customWidth="1"/>
    <col min="5" max="5" width="16" customWidth="1"/>
    <col min="6" max="6" width="14.33203125" customWidth="1"/>
    <col min="7" max="7" width="14.83203125" customWidth="1"/>
    <col min="8" max="8" width="16.6640625" customWidth="1"/>
    <col min="9" max="9" width="18.33203125" customWidth="1"/>
    <col min="10" max="10" width="17.83203125" customWidth="1"/>
    <col min="11" max="11" width="16.5" customWidth="1"/>
    <col min="12" max="12" width="14.6640625" customWidth="1"/>
    <col min="13" max="13" width="13.6640625" customWidth="1"/>
    <col min="20" max="20" width="13.1640625" customWidth="1"/>
    <col min="21" max="21" width="13.5" customWidth="1"/>
    <col min="22" max="22" width="14.33203125" customWidth="1"/>
    <col min="23" max="23" width="14.6640625" customWidth="1"/>
    <col min="24" max="24" width="14" customWidth="1"/>
  </cols>
  <sheetData>
    <row r="1" spans="1:59">
      <c r="A1" s="64" t="s">
        <v>107</v>
      </c>
      <c r="B1" s="64"/>
      <c r="C1" s="64"/>
      <c r="D1" s="64"/>
      <c r="E1" s="64"/>
      <c r="F1" s="64"/>
      <c r="G1" s="64"/>
      <c r="H1" s="64"/>
    </row>
    <row r="2" spans="1:59">
      <c r="A2" s="53" t="s">
        <v>108</v>
      </c>
      <c r="B2" s="53" t="s">
        <v>0</v>
      </c>
      <c r="C2" s="53" t="s">
        <v>119</v>
      </c>
      <c r="D2" s="53" t="s">
        <v>109</v>
      </c>
      <c r="E2" s="53" t="s">
        <v>110</v>
      </c>
      <c r="F2" s="53" t="s">
        <v>111</v>
      </c>
      <c r="G2" s="53" t="s">
        <v>112</v>
      </c>
      <c r="H2" s="53" t="s">
        <v>113</v>
      </c>
      <c r="U2" s="22"/>
      <c r="BE2" s="65" t="s">
        <v>114</v>
      </c>
      <c r="BF2" s="66"/>
      <c r="BG2" s="67"/>
    </row>
    <row r="3" spans="1:59">
      <c r="A3" s="11">
        <f>INDEX(BE4:BE14, MATCH(MAX(BF4:BF14), BF4:BF14, 0))</f>
        <v>900</v>
      </c>
      <c r="B3" s="11">
        <v>24</v>
      </c>
      <c r="C3" s="11">
        <v>3</v>
      </c>
      <c r="D3" s="11">
        <f>290</f>
        <v>290</v>
      </c>
      <c r="E3" s="11">
        <f>105</f>
        <v>105</v>
      </c>
      <c r="F3" s="11">
        <v>135</v>
      </c>
      <c r="G3" s="11">
        <v>65</v>
      </c>
      <c r="H3" s="11">
        <v>1000</v>
      </c>
      <c r="BE3" s="43"/>
      <c r="BF3" t="e">
        <f>AVERAGE(AH23:AH1019)</f>
        <v>#DIV/0!</v>
      </c>
      <c r="BG3" s="44"/>
    </row>
    <row r="4" spans="1:59">
      <c r="BE4" s="43">
        <v>0</v>
      </c>
      <c r="BF4">
        <v>13480.150023936627</v>
      </c>
      <c r="BG4" s="44"/>
    </row>
    <row r="5" spans="1:59">
      <c r="BE5" s="43">
        <v>100</v>
      </c>
      <c r="BF5">
        <v>20093.372337927052</v>
      </c>
      <c r="BG5" s="44"/>
    </row>
    <row r="6" spans="1:59">
      <c r="BE6" s="43">
        <v>200</v>
      </c>
      <c r="BF6">
        <v>20263.617254927889</v>
      </c>
      <c r="BG6" s="44"/>
    </row>
    <row r="7" spans="1:59">
      <c r="BE7" s="43">
        <v>300</v>
      </c>
      <c r="BF7">
        <v>20352.918465239083</v>
      </c>
      <c r="BG7" s="44"/>
    </row>
    <row r="8" spans="1:59">
      <c r="A8" s="13" t="s">
        <v>0</v>
      </c>
      <c r="B8" s="10" t="s">
        <v>14</v>
      </c>
      <c r="C8" s="10" t="s">
        <v>130</v>
      </c>
      <c r="D8" s="10" t="s">
        <v>70</v>
      </c>
      <c r="E8" s="10" t="s">
        <v>139</v>
      </c>
      <c r="F8" s="10" t="s">
        <v>138</v>
      </c>
      <c r="G8" s="10" t="s">
        <v>140</v>
      </c>
      <c r="H8" s="13" t="s">
        <v>125</v>
      </c>
      <c r="I8" s="13" t="s">
        <v>120</v>
      </c>
      <c r="J8" s="13" t="s">
        <v>124</v>
      </c>
      <c r="K8" s="10" t="s">
        <v>145</v>
      </c>
      <c r="L8" s="13" t="s">
        <v>141</v>
      </c>
      <c r="M8" s="13" t="s">
        <v>142</v>
      </c>
      <c r="N8" s="13" t="s">
        <v>143</v>
      </c>
      <c r="O8" s="13" t="s">
        <v>144</v>
      </c>
      <c r="P8" s="13" t="s">
        <v>80</v>
      </c>
      <c r="BE8" s="43">
        <v>400</v>
      </c>
      <c r="BF8">
        <v>20297.419855715489</v>
      </c>
      <c r="BG8" s="44"/>
    </row>
    <row r="9" spans="1:59">
      <c r="A9" s="38">
        <v>11</v>
      </c>
      <c r="B9" s="11">
        <f>Regression!B12</f>
        <v>14</v>
      </c>
      <c r="C9" s="11">
        <v>225</v>
      </c>
      <c r="D9" s="11" cm="1">
        <f t="array" ref="D9:D21">'Regression 14d'!F12:F24</f>
        <v>-0.62451494556460174</v>
      </c>
      <c r="E9" s="57">
        <v>79</v>
      </c>
      <c r="F9" s="57">
        <v>74</v>
      </c>
      <c r="G9" s="11">
        <f t="shared" ref="G9:G21" si="0">SUM(E9:F9)</f>
        <v>153</v>
      </c>
      <c r="H9" s="11">
        <f>Regression!F12-G9</f>
        <v>0</v>
      </c>
      <c r="I9" s="38">
        <f>MAX('Regression 14d'!J12,0)</f>
        <v>91.121192693654308</v>
      </c>
      <c r="J9" s="11">
        <f>_xlfn.FLOOR.MATH(C9*MIN(1,(14/B9)))</f>
        <v>225</v>
      </c>
      <c r="K9" s="38" cm="1">
        <f t="array" ref="K9:K21">TRANSPOSE('Task 8'!Q5:AC5)</f>
        <v>10</v>
      </c>
      <c r="L9" s="11">
        <f t="shared" ref="L9:L14" si="1">MAX(0,_xlfn.FLOOR.MATH(IF(B9&gt;14,K9,0)))</f>
        <v>0</v>
      </c>
      <c r="M9" s="11">
        <f t="shared" ref="M9:M21" si="2">MIN(G9,J9)</f>
        <v>153</v>
      </c>
      <c r="N9" s="11">
        <f t="shared" ref="N9:N14" si="3">MIN(H9,L9+J9-M9)</f>
        <v>0</v>
      </c>
      <c r="O9" s="11">
        <f>SUM(M9:N9)</f>
        <v>153</v>
      </c>
      <c r="P9" s="11">
        <f t="shared" ref="P9:P12" si="4">O9*$F$3-(L9+J9)*$G$3</f>
        <v>6030</v>
      </c>
      <c r="BE9" s="43">
        <v>500</v>
      </c>
      <c r="BF9">
        <v>20344.707267351754</v>
      </c>
      <c r="BG9" s="44"/>
    </row>
    <row r="10" spans="1:59">
      <c r="A10" s="38">
        <v>12</v>
      </c>
      <c r="B10" s="11">
        <f>Regression!B13</f>
        <v>16</v>
      </c>
      <c r="C10" s="11">
        <v>250</v>
      </c>
      <c r="D10" s="11">
        <v>-0.14103930653224711</v>
      </c>
      <c r="E10" s="57">
        <v>116</v>
      </c>
      <c r="F10" s="57">
        <v>72</v>
      </c>
      <c r="G10" s="11">
        <f t="shared" si="0"/>
        <v>188</v>
      </c>
      <c r="H10" s="11">
        <f>Regression!F13-G10</f>
        <v>134</v>
      </c>
      <c r="I10" s="38">
        <f>MAX('Regression 14d'!J13,0)</f>
        <v>113.46863206150628</v>
      </c>
      <c r="J10" s="11">
        <f t="shared" ref="J10:J21" si="5">_xlfn.FLOOR.MATH(C10*MIN(1,(14/B10)))</f>
        <v>218</v>
      </c>
      <c r="K10" s="38">
        <v>10</v>
      </c>
      <c r="L10" s="11">
        <f t="shared" si="1"/>
        <v>10</v>
      </c>
      <c r="M10" s="11">
        <f t="shared" si="2"/>
        <v>188</v>
      </c>
      <c r="N10" s="11">
        <f t="shared" si="3"/>
        <v>40</v>
      </c>
      <c r="O10" s="11">
        <f t="shared" ref="O10:O21" si="6">SUM(M10:N10)</f>
        <v>228</v>
      </c>
      <c r="P10" s="11">
        <f t="shared" si="4"/>
        <v>15960</v>
      </c>
      <c r="BE10" s="43">
        <v>600</v>
      </c>
      <c r="BF10">
        <v>20317.762239867778</v>
      </c>
      <c r="BG10" s="44"/>
    </row>
    <row r="11" spans="1:59">
      <c r="A11" s="38">
        <v>13</v>
      </c>
      <c r="B11" s="11">
        <f>Regression!B14</f>
        <v>26</v>
      </c>
      <c r="C11" s="11">
        <v>325</v>
      </c>
      <c r="D11" s="11">
        <v>1.2964426673051117</v>
      </c>
      <c r="E11" s="57">
        <v>120</v>
      </c>
      <c r="F11" s="57">
        <v>80</v>
      </c>
      <c r="G11" s="11">
        <f t="shared" si="0"/>
        <v>200</v>
      </c>
      <c r="H11" s="11">
        <f>Regression!F14-G11</f>
        <v>98</v>
      </c>
      <c r="I11" s="38">
        <f>MAX('Regression 14d'!J14,0)</f>
        <v>179.91260288287953</v>
      </c>
      <c r="J11" s="11">
        <f t="shared" si="5"/>
        <v>175</v>
      </c>
      <c r="K11" s="38">
        <v>110</v>
      </c>
      <c r="L11" s="11">
        <f t="shared" si="1"/>
        <v>110</v>
      </c>
      <c r="M11" s="11">
        <f t="shared" si="2"/>
        <v>175</v>
      </c>
      <c r="N11" s="11">
        <f t="shared" si="3"/>
        <v>98</v>
      </c>
      <c r="O11" s="11">
        <f t="shared" si="6"/>
        <v>273</v>
      </c>
      <c r="P11" s="11">
        <f t="shared" si="4"/>
        <v>18330</v>
      </c>
      <c r="BE11" s="43">
        <v>700</v>
      </c>
      <c r="BF11">
        <v>20230.44464583055</v>
      </c>
      <c r="BG11" s="44"/>
    </row>
    <row r="12" spans="1:59">
      <c r="A12" s="38">
        <v>14</v>
      </c>
      <c r="B12" s="11">
        <f>Regression!B15</f>
        <v>16</v>
      </c>
      <c r="C12" s="11">
        <v>275</v>
      </c>
      <c r="D12" s="11">
        <v>-0.14103930653224711</v>
      </c>
      <c r="E12" s="57">
        <v>49</v>
      </c>
      <c r="F12" s="57">
        <v>76</v>
      </c>
      <c r="G12" s="11">
        <f t="shared" si="0"/>
        <v>125</v>
      </c>
      <c r="H12" s="11">
        <f>Regression!F15-G12</f>
        <v>8</v>
      </c>
      <c r="I12" s="38">
        <f>MAX('Regression 14d'!J15,0)</f>
        <v>113.46863206150628</v>
      </c>
      <c r="J12" s="11">
        <f t="shared" si="5"/>
        <v>240</v>
      </c>
      <c r="K12" s="38">
        <v>10</v>
      </c>
      <c r="L12" s="11">
        <f t="shared" si="1"/>
        <v>10</v>
      </c>
      <c r="M12" s="11">
        <f t="shared" si="2"/>
        <v>125</v>
      </c>
      <c r="N12" s="11">
        <f t="shared" si="3"/>
        <v>8</v>
      </c>
      <c r="O12" s="11">
        <f t="shared" si="6"/>
        <v>133</v>
      </c>
      <c r="P12" s="11">
        <f t="shared" si="4"/>
        <v>1705</v>
      </c>
      <c r="BE12" s="43">
        <v>800</v>
      </c>
      <c r="BF12">
        <v>20229.493728964691</v>
      </c>
      <c r="BG12" s="44"/>
    </row>
    <row r="13" spans="1:59">
      <c r="A13" s="38">
        <v>15</v>
      </c>
      <c r="B13" s="11">
        <f>Regression!B16</f>
        <v>18</v>
      </c>
      <c r="C13" s="11">
        <v>275</v>
      </c>
      <c r="D13" s="11">
        <v>0.24500853555657737</v>
      </c>
      <c r="E13" s="57">
        <v>114</v>
      </c>
      <c r="F13" s="57">
        <v>51</v>
      </c>
      <c r="G13" s="11">
        <f t="shared" si="0"/>
        <v>165</v>
      </c>
      <c r="H13" s="11">
        <f>Regression!F16-G13</f>
        <v>27</v>
      </c>
      <c r="I13" s="38">
        <f>MAX('Regression 14d'!J16,0)</f>
        <v>131.31271777684211</v>
      </c>
      <c r="J13" s="11">
        <f t="shared" si="5"/>
        <v>213</v>
      </c>
      <c r="K13" s="38">
        <v>35</v>
      </c>
      <c r="L13" s="11">
        <f t="shared" si="1"/>
        <v>35</v>
      </c>
      <c r="M13" s="11">
        <f t="shared" si="2"/>
        <v>165</v>
      </c>
      <c r="N13" s="11">
        <f t="shared" si="3"/>
        <v>27</v>
      </c>
      <c r="O13" s="11">
        <f t="shared" si="6"/>
        <v>192</v>
      </c>
      <c r="P13" s="11">
        <f>O13*$F$3-(L13+J13)*$G$3</f>
        <v>9800</v>
      </c>
      <c r="BE13" s="43">
        <v>900</v>
      </c>
      <c r="BF13">
        <v>20383.738710126869</v>
      </c>
      <c r="BG13" s="44"/>
    </row>
    <row r="14" spans="1:59">
      <c r="A14" s="38">
        <v>16</v>
      </c>
      <c r="B14" s="11">
        <f>Regression!B17</f>
        <v>14</v>
      </c>
      <c r="C14" s="11">
        <v>200</v>
      </c>
      <c r="D14" s="11">
        <v>-0.62451494556460174</v>
      </c>
      <c r="E14" s="57">
        <v>80</v>
      </c>
      <c r="F14" s="57">
        <v>118</v>
      </c>
      <c r="G14" s="11">
        <f t="shared" si="0"/>
        <v>198</v>
      </c>
      <c r="H14" s="11">
        <f>Regression!F17-G14</f>
        <v>0</v>
      </c>
      <c r="I14" s="38">
        <f>MAX('Regression 14d'!J17,0)</f>
        <v>91.121192693654308</v>
      </c>
      <c r="J14" s="11">
        <f t="shared" si="5"/>
        <v>200</v>
      </c>
      <c r="K14" s="38">
        <v>10</v>
      </c>
      <c r="L14" s="11">
        <f t="shared" si="1"/>
        <v>0</v>
      </c>
      <c r="M14" s="11">
        <f t="shared" si="2"/>
        <v>198</v>
      </c>
      <c r="N14" s="11">
        <f t="shared" si="3"/>
        <v>0</v>
      </c>
      <c r="O14" s="11">
        <f t="shared" si="6"/>
        <v>198</v>
      </c>
      <c r="P14" s="11">
        <f t="shared" ref="P14:P21" si="7">O14*$F$3-(L14+J14)*$G$3</f>
        <v>13730</v>
      </c>
      <c r="BE14" s="46">
        <v>1000</v>
      </c>
      <c r="BF14" s="47">
        <v>20191.859304040747</v>
      </c>
      <c r="BG14" s="48"/>
    </row>
    <row r="15" spans="1:59">
      <c r="A15" s="38">
        <v>17</v>
      </c>
      <c r="B15" s="11">
        <f>Regression!B18</f>
        <v>36</v>
      </c>
      <c r="C15" s="11">
        <v>1050</v>
      </c>
      <c r="D15" s="11">
        <v>2.1099295314214501</v>
      </c>
      <c r="E15" s="57">
        <v>136</v>
      </c>
      <c r="F15" s="57">
        <v>161</v>
      </c>
      <c r="G15" s="11">
        <f t="shared" si="0"/>
        <v>297</v>
      </c>
      <c r="H15" s="11">
        <f>Regression!F18-G15</f>
        <v>694</v>
      </c>
      <c r="I15" s="38">
        <f>MAX('Regression 14d'!J18,0)</f>
        <v>861.94070939961546</v>
      </c>
      <c r="J15" s="11">
        <f t="shared" si="5"/>
        <v>408</v>
      </c>
      <c r="K15" s="38">
        <v>585</v>
      </c>
      <c r="L15" s="11">
        <f>MAX(0,_xlfn.FLOOR.MATH(IF(B15&gt;14,K15,0)))</f>
        <v>585</v>
      </c>
      <c r="M15" s="11">
        <f t="shared" si="2"/>
        <v>297</v>
      </c>
      <c r="N15" s="11">
        <f>MIN(H15,L15+J15-M15)</f>
        <v>694</v>
      </c>
      <c r="O15" s="11">
        <f t="shared" si="6"/>
        <v>991</v>
      </c>
      <c r="P15" s="11">
        <f t="shared" si="7"/>
        <v>69240</v>
      </c>
    </row>
    <row r="16" spans="1:59">
      <c r="A16" s="38">
        <v>18</v>
      </c>
      <c r="B16" s="11">
        <f>Regression!B19</f>
        <v>35</v>
      </c>
      <c r="C16" s="11">
        <v>1050</v>
      </c>
      <c r="D16" s="11">
        <v>2.0424212773737391</v>
      </c>
      <c r="E16" s="57">
        <v>168</v>
      </c>
      <c r="F16" s="57">
        <v>135</v>
      </c>
      <c r="G16" s="11">
        <f t="shared" si="0"/>
        <v>303</v>
      </c>
      <c r="H16" s="11">
        <f>Regression!F19-G16</f>
        <v>941</v>
      </c>
      <c r="I16" s="38">
        <f>MAX('Regression 14d'!J19,0)</f>
        <v>858.82031099199298</v>
      </c>
      <c r="J16" s="11">
        <f t="shared" si="5"/>
        <v>420</v>
      </c>
      <c r="K16" s="38">
        <v>610</v>
      </c>
      <c r="L16" s="11">
        <f t="shared" ref="L16:L21" si="8">MAX(0,_xlfn.FLOOR.MATH(IF(B16&gt;14,K16,0)))</f>
        <v>610</v>
      </c>
      <c r="M16" s="11">
        <f t="shared" si="2"/>
        <v>303</v>
      </c>
      <c r="N16" s="11">
        <f t="shared" ref="N16:N21" si="9">MIN(H16,L16+J16-M16)</f>
        <v>727</v>
      </c>
      <c r="O16" s="11">
        <f t="shared" si="6"/>
        <v>1030</v>
      </c>
      <c r="P16" s="11">
        <f t="shared" si="7"/>
        <v>72100</v>
      </c>
    </row>
    <row r="17" spans="1:59">
      <c r="A17" s="38">
        <v>19</v>
      </c>
      <c r="B17" s="11">
        <f>Regression!B20</f>
        <v>28</v>
      </c>
      <c r="C17" s="11">
        <v>975</v>
      </c>
      <c r="D17" s="11">
        <v>1.4889820070214923</v>
      </c>
      <c r="E17" s="57">
        <v>232</v>
      </c>
      <c r="F17" s="57">
        <v>208</v>
      </c>
      <c r="G17" s="11">
        <f t="shared" si="0"/>
        <v>440</v>
      </c>
      <c r="H17" s="11">
        <f>Regression!F20-G17</f>
        <v>415</v>
      </c>
      <c r="I17" s="38">
        <f>MAX('Regression 14d'!J20,0)</f>
        <v>833.23897960839167</v>
      </c>
      <c r="J17" s="11">
        <f t="shared" si="5"/>
        <v>487</v>
      </c>
      <c r="K17" s="38">
        <v>560</v>
      </c>
      <c r="L17" s="11">
        <f t="shared" si="8"/>
        <v>560</v>
      </c>
      <c r="M17" s="11">
        <f t="shared" si="2"/>
        <v>440</v>
      </c>
      <c r="N17" s="11">
        <f t="shared" si="9"/>
        <v>415</v>
      </c>
      <c r="O17" s="11">
        <f t="shared" si="6"/>
        <v>855</v>
      </c>
      <c r="P17" s="11">
        <f t="shared" si="7"/>
        <v>47370</v>
      </c>
      <c r="BF17" s="45">
        <f>INDEX(BE4:BE14, MATCH(MAX(BF4:BF14), BF4:BF14, 0))</f>
        <v>900</v>
      </c>
      <c r="BG17" s="45">
        <f>MAX(BF4:BF14)</f>
        <v>20383.738710126869</v>
      </c>
    </row>
    <row r="18" spans="1:59">
      <c r="A18" s="38">
        <v>20</v>
      </c>
      <c r="B18" s="11">
        <f>Regression!B21</f>
        <v>17</v>
      </c>
      <c r="C18" s="11">
        <v>275</v>
      </c>
      <c r="D18" s="11">
        <v>6.1651971421395599E-2</v>
      </c>
      <c r="E18" s="57">
        <v>206</v>
      </c>
      <c r="F18" s="57">
        <v>58</v>
      </c>
      <c r="G18" s="11">
        <f t="shared" si="0"/>
        <v>264</v>
      </c>
      <c r="H18" s="11">
        <f>Regression!F21-G18</f>
        <v>27</v>
      </c>
      <c r="I18" s="38">
        <f>MAX('Regression 14d'!J21,0)</f>
        <v>122.83752405682424</v>
      </c>
      <c r="J18" s="11">
        <f t="shared" si="5"/>
        <v>226</v>
      </c>
      <c r="K18" s="38">
        <v>35</v>
      </c>
      <c r="L18" s="11">
        <f t="shared" si="8"/>
        <v>35</v>
      </c>
      <c r="M18" s="11">
        <f>MIN(G18,J18)</f>
        <v>226</v>
      </c>
      <c r="N18" s="11">
        <f t="shared" si="9"/>
        <v>27</v>
      </c>
      <c r="O18" s="11">
        <f t="shared" si="6"/>
        <v>253</v>
      </c>
      <c r="P18" s="11">
        <f t="shared" si="7"/>
        <v>17190</v>
      </c>
    </row>
    <row r="19" spans="1:59">
      <c r="A19" s="38">
        <v>21</v>
      </c>
      <c r="B19" s="11">
        <f>Regression!B22</f>
        <v>11</v>
      </c>
      <c r="C19" s="11">
        <v>150</v>
      </c>
      <c r="D19" s="11">
        <v>-1.7010969887660943</v>
      </c>
      <c r="E19" s="57">
        <v>104</v>
      </c>
      <c r="F19" s="57">
        <v>39</v>
      </c>
      <c r="G19" s="11">
        <f t="shared" si="0"/>
        <v>143</v>
      </c>
      <c r="H19" s="11">
        <f>Regression!F22-G19</f>
        <v>0</v>
      </c>
      <c r="I19" s="38">
        <f>MAX('Regression 14d'!J22,0)</f>
        <v>41.358908945261547</v>
      </c>
      <c r="J19" s="11">
        <f t="shared" si="5"/>
        <v>150</v>
      </c>
      <c r="K19" s="38">
        <v>10</v>
      </c>
      <c r="L19" s="11">
        <f t="shared" si="8"/>
        <v>0</v>
      </c>
      <c r="M19" s="11">
        <f t="shared" si="2"/>
        <v>143</v>
      </c>
      <c r="N19" s="11">
        <f t="shared" si="9"/>
        <v>0</v>
      </c>
      <c r="O19" s="11">
        <f t="shared" si="6"/>
        <v>143</v>
      </c>
      <c r="P19" s="11">
        <f t="shared" si="7"/>
        <v>9555</v>
      </c>
    </row>
    <row r="20" spans="1:59">
      <c r="A20" s="38">
        <v>22</v>
      </c>
      <c r="B20" s="11">
        <f>Regression!B23</f>
        <v>14</v>
      </c>
      <c r="C20" s="11">
        <v>225</v>
      </c>
      <c r="D20" s="11">
        <v>-0.62451494556460174</v>
      </c>
      <c r="E20" s="57">
        <v>117</v>
      </c>
      <c r="F20" s="57">
        <v>136</v>
      </c>
      <c r="G20" s="11">
        <f t="shared" si="0"/>
        <v>253</v>
      </c>
      <c r="H20" s="11">
        <f>Regression!F23-G20</f>
        <v>0</v>
      </c>
      <c r="I20" s="38">
        <f>MAX('Regression 14d'!J23,0)</f>
        <v>91.121192693654308</v>
      </c>
      <c r="J20" s="11">
        <f t="shared" si="5"/>
        <v>225</v>
      </c>
      <c r="K20" s="38">
        <v>10</v>
      </c>
      <c r="L20" s="11">
        <f t="shared" si="8"/>
        <v>0</v>
      </c>
      <c r="M20" s="11">
        <f t="shared" si="2"/>
        <v>225</v>
      </c>
      <c r="N20" s="11">
        <f t="shared" si="9"/>
        <v>0</v>
      </c>
      <c r="O20" s="11">
        <f t="shared" si="6"/>
        <v>225</v>
      </c>
      <c r="P20" s="11">
        <f t="shared" si="7"/>
        <v>15750</v>
      </c>
    </row>
    <row r="21" spans="1:59">
      <c r="A21" s="38">
        <v>23</v>
      </c>
      <c r="B21" s="11">
        <f>Regression!B24</f>
        <v>13</v>
      </c>
      <c r="C21" s="11">
        <v>200</v>
      </c>
      <c r="D21" s="11">
        <v>-0.921068147649171</v>
      </c>
      <c r="E21" s="57">
        <v>171</v>
      </c>
      <c r="F21" s="57">
        <v>214</v>
      </c>
      <c r="G21" s="11">
        <f t="shared" si="0"/>
        <v>385</v>
      </c>
      <c r="H21" s="11">
        <f>Regression!F24-G21</f>
        <v>0</v>
      </c>
      <c r="I21" s="38">
        <f>MAX('Regression 14d'!J24,0)</f>
        <v>77.413770503383901</v>
      </c>
      <c r="J21" s="11">
        <f t="shared" si="5"/>
        <v>200</v>
      </c>
      <c r="K21" s="38">
        <v>10</v>
      </c>
      <c r="L21" s="11">
        <f t="shared" si="8"/>
        <v>0</v>
      </c>
      <c r="M21" s="11">
        <f t="shared" si="2"/>
        <v>200</v>
      </c>
      <c r="N21" s="11">
        <f t="shared" si="9"/>
        <v>0</v>
      </c>
      <c r="O21" s="11">
        <f t="shared" si="6"/>
        <v>200</v>
      </c>
      <c r="P21" s="11">
        <f t="shared" si="7"/>
        <v>14000</v>
      </c>
    </row>
    <row r="22" spans="1:59">
      <c r="A22" s="55"/>
      <c r="O22" s="10" t="s">
        <v>146</v>
      </c>
      <c r="P22" s="11">
        <f>SUM(P9:P21)</f>
        <v>310760</v>
      </c>
    </row>
    <row r="24" spans="1:59">
      <c r="C24" s="55"/>
      <c r="D24" s="55"/>
    </row>
    <row r="26" spans="1:59">
      <c r="C26" s="55"/>
      <c r="D26" s="55"/>
    </row>
    <row r="27" spans="1:59">
      <c r="C27" s="55"/>
      <c r="D27" s="55"/>
    </row>
    <row r="28" spans="1:59" ht="16">
      <c r="C28" s="55"/>
      <c r="D28" s="55"/>
      <c r="H28" s="54"/>
    </row>
    <row r="29" spans="1:59" ht="16">
      <c r="C29" s="55"/>
      <c r="D29" s="55"/>
      <c r="H29" s="54"/>
    </row>
    <row r="30" spans="1:59" ht="16">
      <c r="C30" s="55"/>
      <c r="D30" s="55"/>
      <c r="H30" s="54"/>
    </row>
    <row r="31" spans="1:59" ht="16">
      <c r="C31" s="55"/>
      <c r="D31" s="55"/>
      <c r="H31" s="54"/>
    </row>
    <row r="32" spans="1:59" ht="16">
      <c r="C32" s="55"/>
      <c r="D32" s="55"/>
      <c r="H32" s="54"/>
    </row>
    <row r="33" spans="3:8" ht="16">
      <c r="C33" s="55"/>
      <c r="D33" s="55"/>
      <c r="H33" s="54"/>
    </row>
    <row r="34" spans="3:8" ht="16">
      <c r="C34" s="55"/>
      <c r="D34" s="55"/>
      <c r="H34" s="54"/>
    </row>
    <row r="35" spans="3:8" ht="16">
      <c r="C35" s="55"/>
      <c r="D35" s="55"/>
      <c r="H35" s="54"/>
    </row>
    <row r="36" spans="3:8" ht="16">
      <c r="C36" s="55"/>
      <c r="D36" s="55"/>
      <c r="H36" s="54"/>
    </row>
    <row r="37" spans="3:8" ht="16">
      <c r="C37" s="55"/>
      <c r="D37" s="55"/>
      <c r="H37" s="54"/>
    </row>
    <row r="38" spans="3:8" ht="16">
      <c r="H38" s="54"/>
    </row>
    <row r="39" spans="3:8" ht="16">
      <c r="H39" s="54"/>
    </row>
    <row r="40" spans="3:8" ht="16">
      <c r="H40" s="54"/>
    </row>
  </sheetData>
  <mergeCells count="2">
    <mergeCell ref="A1:H1"/>
    <mergeCell ref="BE2:B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d314d7ef-47d2-49ec-98a2-beb62148fffe">2CPRT4FFDSWV-1991968691-6593</_dlc_DocId>
    <_dlc_DocIdUrl xmlns="d314d7ef-47d2-49ec-98a2-beb62148fffe">
      <Url>https://www.wmcasemgmt.com/sites/casemanagement/_layouts/15/DocIdRedir.aspx?ID=2CPRT4FFDSWV-1991968691-6593</Url>
      <Description>2CPRT4FFDSWV-1991968691-6593</Description>
    </_dlc_DocIdUrl>
    <Content_x0020_Name xmlns="3280b98c-2d7e-449d-b713-5a352c511315">16568</Content_x0020_Name>
    <Workflow_x0020_Instance_x0020_Name xmlns="3280b98c-2d7e-449d-b713-5a352c511315">7603</Workflow_x0020_Instance_x0020_Name>
    <Mode xmlns="3280b98c-2d7e-449d-b713-5a352c511315">1</Mode>
    <Product_x0020_Type xmlns="3280b98c-2d7e-449d-b713-5a352c511315" xsi:nil="true"/>
    <Target_x0020_Audiences xmlns="3280b98c-2d7e-449d-b713-5a352c511315" xsi:nil="true"/>
    <Content_x0020_Type xmlns="3280b98c-2d7e-449d-b713-5a352c511315">9</Content_x0020_Type>
    <Faculty_x0020_Sponsor xmlns="3280b98c-2d7e-449d-b713-5a352c511315">
      <UserInfo>
        <DisplayName/>
        <AccountId xsi:nil="true"/>
        <AccountType/>
      </UserInfo>
    </Faculty_x0020_Sponsor>
    <Reviewer xmlns="3280b98c-2d7e-449d-b713-5a352c511315">
      <UserInfo>
        <DisplayName>Momper, Steve</DisplayName>
        <AccountId>42</AccountId>
        <AccountType/>
      </UserInfo>
    </Reviewer>
    <Comments xmlns="3280b98c-2d7e-449d-b713-5a352c51131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E423D29324CE4C81F8A9ED93508B14" ma:contentTypeVersion="21" ma:contentTypeDescription="Create a new document." ma:contentTypeScope="" ma:versionID="4a1c814954c8e34a0ee0b27822380e7f">
  <xsd:schema xmlns:xsd="http://www.w3.org/2001/XMLSchema" xmlns:xs="http://www.w3.org/2001/XMLSchema" xmlns:p="http://schemas.microsoft.com/office/2006/metadata/properties" xmlns:ns2="3280b98c-2d7e-449d-b713-5a352c511315" xmlns:ns3="d314d7ef-47d2-49ec-98a2-beb62148fffe" targetNamespace="http://schemas.microsoft.com/office/2006/metadata/properties" ma:root="true" ma:fieldsID="f34bca22ad38be946af4749cd0c495c3" ns2:_="" ns3:_="">
    <xsd:import namespace="3280b98c-2d7e-449d-b713-5a352c511315"/>
    <xsd:import namespace="d314d7ef-47d2-49ec-98a2-beb62148fffe"/>
    <xsd:element name="properties">
      <xsd:complexType>
        <xsd:sequence>
          <xsd:element name="documentManagement">
            <xsd:complexType>
              <xsd:all>
                <xsd:element ref="ns2:Content_x0020_Name"/>
                <xsd:element ref="ns2:Workflow_x0020_Instance_x0020_Name" minOccurs="0"/>
                <xsd:element ref="ns2:Workflow_x0020_Instance_x0020_Name_x003a_ID" minOccurs="0"/>
                <xsd:element ref="ns2:Content_x0020_Name_x003a_ID" minOccurs="0"/>
                <xsd:element ref="ns2:Product_x0020_Type" minOccurs="0"/>
                <xsd:element ref="ns2:Content_x0020_Name_x003a_Title" minOccurs="0"/>
                <xsd:element ref="ns2:Comments" minOccurs="0"/>
                <xsd:element ref="ns2:Target_x0020_Audiences" minOccurs="0"/>
                <xsd:element ref="ns2:Faculty_x0020_Sponsor" minOccurs="0"/>
                <xsd:element ref="ns2:Reviewer" minOccurs="0"/>
                <xsd:element ref="ns2:Mode" minOccurs="0"/>
                <xsd:element ref="ns2:Content_x0020_Type" minOccurs="0"/>
                <xsd:element ref="ns3:SharedWithUsers"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80b98c-2d7e-449d-b713-5a352c511315" elementFormDefault="qualified">
    <xsd:import namespace="http://schemas.microsoft.com/office/2006/documentManagement/types"/>
    <xsd:import namespace="http://schemas.microsoft.com/office/infopath/2007/PartnerControls"/>
    <xsd:element name="Content_x0020_Name" ma:index="8" ma:displayName="Content Name" ma:indexed="true" ma:list="{2a1dccef-5bbd-4239-9d2c-9dab3c3bdaeb}" ma:internalName="Content_x0020_Name" ma:readOnly="false" ma:showField="Title">
      <xsd:simpleType>
        <xsd:restriction base="dms:Lookup"/>
      </xsd:simpleType>
    </xsd:element>
    <xsd:element name="Workflow_x0020_Instance_x0020_Name" ma:index="9" nillable="true" ma:displayName="Workflow Instance Name" ma:list="{a3cd38c8-60df-4dc0-a0b2-c311c937c69e}" ma:internalName="Workflow_x0020_Instance_x0020_Name" ma:showField="Title">
      <xsd:simpleType>
        <xsd:restriction base="dms:Lookup"/>
      </xsd:simpleType>
    </xsd:element>
    <xsd:element name="Workflow_x0020_Instance_x0020_Name_x003a_ID" ma:index="10" nillable="true" ma:displayName="Workflow Instance Name:ID" ma:list="{a3cd38c8-60df-4dc0-a0b2-c311c937c69e}" ma:internalName="Workflow_x0020_Instance_x0020_Name_x003a_ID" ma:readOnly="true" ma:showField="ID" ma:web="d314d7ef-47d2-49ec-98a2-beb62148fffe">
      <xsd:simpleType>
        <xsd:restriction base="dms:Lookup"/>
      </xsd:simpleType>
    </xsd:element>
    <xsd:element name="Content_x0020_Name_x003a_ID" ma:index="11" nillable="true" ma:displayName="Content Name:ID" ma:list="{2a1dccef-5bbd-4239-9d2c-9dab3c3bdaeb}" ma:internalName="Content_x0020_Name_x003a_ID" ma:readOnly="true" ma:showField="ID" ma:web="d314d7ef-47d2-49ec-98a2-beb62148fffe">
      <xsd:simpleType>
        <xsd:restriction base="dms:Lookup"/>
      </xsd:simpleType>
    </xsd:element>
    <xsd:element name="Product_x0020_Type" ma:index="12" nillable="true" ma:displayName="Product Type" ma:list="{b8add45d-a9e3-4b61-9172-dff46669a501}" ma:internalName="Product_x0020_Type" ma:showField="Title">
      <xsd:simpleType>
        <xsd:restriction base="dms:Lookup"/>
      </xsd:simpleType>
    </xsd:element>
    <xsd:element name="Content_x0020_Name_x003a_Title" ma:index="13" nillable="true" ma:displayName="Content Name:Title" ma:list="{2a1dccef-5bbd-4239-9d2c-9dab3c3bdaeb}" ma:internalName="Content_x0020_Name_x003a_Title" ma:readOnly="true" ma:showField="Title0" ma:web="d314d7ef-47d2-49ec-98a2-beb62148fffe">
      <xsd:simpleType>
        <xsd:restriction base="dms:Lookup"/>
      </xsd:simpleType>
    </xsd:element>
    <xsd:element name="Comments" ma:index="14" nillable="true" ma:displayName="Comments" ma:internalName="Comments">
      <xsd:simpleType>
        <xsd:restriction base="dms:Note">
          <xsd:maxLength value="255"/>
        </xsd:restriction>
      </xsd:simpleType>
    </xsd:element>
    <xsd:element name="Target_x0020_Audiences" ma:index="15" nillable="true" ma:displayName="Target Audiences" ma:internalName="Target_x0020_Audiences">
      <xsd:simpleType>
        <xsd:restriction base="dms:Unknown"/>
      </xsd:simpleType>
    </xsd:element>
    <xsd:element name="Faculty_x0020_Sponsor" ma:index="16" nillable="true" ma:displayName="Faculty Sponsor" ma:list="UserInfo" ma:SharePointGroup="0" ma:internalName="Faculty_x0020_Sponsor" ma:showField="Tit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er" ma:index="17" nillable="true" ma:displayName="Reviewer" ma:list="UserInfo" ma:SharePointGroup="0" ma:internalName="Reviewer" ma:showField="Tit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ode" ma:index="18" nillable="true" ma:displayName="Mode" ma:internalName="Mode">
      <xsd:simpleType>
        <xsd:restriction base="dms:Text">
          <xsd:maxLength value="255"/>
        </xsd:restriction>
      </xsd:simpleType>
    </xsd:element>
    <xsd:element name="Content_x0020_Type" ma:index="20" nillable="true" ma:displayName="Content Type" ma:list="{766e563b-7587-40d5-a39c-32c550c72680}" ma:internalName="Content_x0020_Type" ma:showField="Title">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d314d7ef-47d2-49ec-98a2-beb62148fffe" elementFormDefault="qualified">
    <xsd:import namespace="http://schemas.microsoft.com/office/2006/documentManagement/types"/>
    <xsd:import namespace="http://schemas.microsoft.com/office/infopath/2007/PartnerControls"/>
    <xsd:element name="SharedWithUsers" ma:index="2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46D883D-E605-4113-BC58-249223355278}">
  <ds:schemaRefs>
    <ds:schemaRef ds:uri="http://schemas.microsoft.com/sharepoint/v3/contenttype/forms"/>
  </ds:schemaRefs>
</ds:datastoreItem>
</file>

<file path=customXml/itemProps2.xml><?xml version="1.0" encoding="utf-8"?>
<ds:datastoreItem xmlns:ds="http://schemas.openxmlformats.org/officeDocument/2006/customXml" ds:itemID="{1766F71C-CBF2-4289-87E3-7AF31B7C564F}">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3280b98c-2d7e-449d-b713-5a352c511315"/>
    <ds:schemaRef ds:uri="http://schemas.openxmlformats.org/package/2006/metadata/core-properties"/>
    <ds:schemaRef ds:uri="d314d7ef-47d2-49ec-98a2-beb62148fffe"/>
    <ds:schemaRef ds:uri="http://www.w3.org/XML/1998/namespace"/>
    <ds:schemaRef ds:uri="http://purl.org/dc/dcmitype/"/>
  </ds:schemaRefs>
</ds:datastoreItem>
</file>

<file path=customXml/itemProps3.xml><?xml version="1.0" encoding="utf-8"?>
<ds:datastoreItem xmlns:ds="http://schemas.openxmlformats.org/officeDocument/2006/customXml" ds:itemID="{9346CCBC-518C-418E-B33A-A727B68B51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80b98c-2d7e-449d-b713-5a352c511315"/>
    <ds:schemaRef ds:uri="d314d7ef-47d2-49ec-98a2-beb62148ff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BC29546-D1B3-4A1B-B3CE-98F658EBD26D}">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Title Page</vt:lpstr>
      <vt:lpstr>Sales Data</vt:lpstr>
      <vt:lpstr>Data Viz</vt:lpstr>
      <vt:lpstr>Regression</vt:lpstr>
      <vt:lpstr>Task 3</vt:lpstr>
      <vt:lpstr>Task 5</vt:lpstr>
      <vt:lpstr>Task 6</vt:lpstr>
      <vt:lpstr>Regression 14d</vt:lpstr>
      <vt:lpstr>Task 8</vt:lpstr>
      <vt:lpstr>Task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Outsourcing, Nearsourcing, and Supply Chain Flexibility in the Apparel Industry (A) (SPREADSHEET)</dc:title>
  <dc:subject/>
  <dc:creator>Anton Ovchinnikov</dc:creator>
  <cp:keywords/>
  <dc:description/>
  <cp:lastModifiedBy>Mykhailo Rykhalskyi</cp:lastModifiedBy>
  <dcterms:created xsi:type="dcterms:W3CDTF">2016-09-09T09:59:37Z</dcterms:created>
  <dcterms:modified xsi:type="dcterms:W3CDTF">2025-12-08T08:06:20Z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0x010100ACE423D29324CE4C81F8A9ED93508B14</vt:lpwstr>
  </property>
  <property fmtid="{D5CDD505-2E9C-101B-9397-08002B2CF9AE}" pid="3" name="Order">
    <vt:r8>233600</vt:r8>
  </property>
  <property fmtid="{D5CDD505-2E9C-101B-9397-08002B2CF9AE}" pid="4" name="Submitter">
    <vt:lpwstr/>
  </property>
  <property fmtid="{D5CDD505-2E9C-101B-9397-08002B2CF9AE}" pid="5" name="Submitted By">
    <vt:lpwstr>MullinL@darden.virginia.edu</vt:lpwstr>
  </property>
  <property fmtid="{D5CDD505-2E9C-101B-9397-08002B2CF9AE}" pid="6" name="Reason For Rejection">
    <vt:lpwstr/>
  </property>
  <property fmtid="{D5CDD505-2E9C-101B-9397-08002B2CF9AE}" pid="7" name="Submission Status">
    <vt:lpwstr>Accepted</vt:lpwstr>
  </property>
  <property fmtid="{D5CDD505-2E9C-101B-9397-08002B2CF9AE}" pid="8" name="Task ID">
    <vt:lpwstr>31917</vt:lpwstr>
  </property>
  <property fmtid="{D5CDD505-2E9C-101B-9397-08002B2CF9AE}" pid="9" name="Upload Mode">
    <vt:lpwstr>Email</vt:lpwstr>
  </property>
  <property fmtid="{D5CDD505-2E9C-101B-9397-08002B2CF9AE}" pid="10" name="Acceptance Task ID">
    <vt:lpwstr>31920</vt:lpwstr>
  </property>
  <property fmtid="{D5CDD505-2E9C-101B-9397-08002B2CF9AE}" pid="11" name="Email Subject">
    <vt:lpwstr>Anton's A case and student spreadsheet, B case and student spreadsheet.</vt:lpwstr>
  </property>
  <property fmtid="{D5CDD505-2E9C-101B-9397-08002B2CF9AE}" pid="12" name="Email Time Stamp">
    <vt:filetime>2016-09-21T15:19:00Z</vt:filetime>
  </property>
  <property fmtid="{D5CDD505-2E9C-101B-9397-08002B2CF9AE}" pid="13" name="Workflow Template Name">
    <vt:lpwstr>12</vt:lpwstr>
  </property>
  <property fmtid="{D5CDD505-2E9C-101B-9397-08002B2CF9AE}" pid="14" name="Faculty Sponsor">
    <vt:lpwstr/>
  </property>
  <property fmtid="{D5CDD505-2E9C-101B-9397-08002B2CF9AE}" pid="15" name="Content Type">
    <vt:lpwstr>9</vt:lpwstr>
  </property>
  <property fmtid="{D5CDD505-2E9C-101B-9397-08002B2CF9AE}" pid="16" name="Content_x0020_Type">
    <vt:lpwstr>9</vt:lpwstr>
  </property>
  <property fmtid="{D5CDD505-2E9C-101B-9397-08002B2CF9AE}" pid="17" name="Workflow_x0020_Instance_x0020_Name">
    <vt:lpwstr>3531</vt:lpwstr>
  </property>
  <property fmtid="{D5CDD505-2E9C-101B-9397-08002B2CF9AE}" pid="18" name="Product Type">
    <vt:lpwstr/>
  </property>
  <property fmtid="{D5CDD505-2E9C-101B-9397-08002B2CF9AE}" pid="19" name="Workflow Instance Name">
    <vt:lpwstr>3531</vt:lpwstr>
  </property>
  <property fmtid="{D5CDD505-2E9C-101B-9397-08002B2CF9AE}" pid="20" name="Target Audiences">
    <vt:lpwstr/>
  </property>
  <property fmtid="{D5CDD505-2E9C-101B-9397-08002B2CF9AE}" pid="21" name="Reviewer">
    <vt:lpwstr>42;#Momper, Steve</vt:lpwstr>
  </property>
  <property fmtid="{D5CDD505-2E9C-101B-9397-08002B2CF9AE}" pid="22" name="Mode">
    <vt:lpwstr>1</vt:lpwstr>
  </property>
  <property fmtid="{D5CDD505-2E9C-101B-9397-08002B2CF9AE}" pid="23" name="Comments">
    <vt:lpwstr/>
  </property>
  <property fmtid="{D5CDD505-2E9C-101B-9397-08002B2CF9AE}" pid="24" name="_dlc_DocIdItemGuid">
    <vt:lpwstr>a124cdb6-164a-497c-9cff-6a13e55a15dc</vt:lpwstr>
  </property>
  <property fmtid="{D5CDD505-2E9C-101B-9397-08002B2CF9AE}" pid="25" name="xd_ProgID">
    <vt:lpwstr/>
  </property>
  <property fmtid="{D5CDD505-2E9C-101B-9397-08002B2CF9AE}" pid="26" name="TemplateUrl">
    <vt:lpwstr/>
  </property>
  <property fmtid="{D5CDD505-2E9C-101B-9397-08002B2CF9AE}" pid="27" name="_CopySource">
    <vt:lpwstr>https://www.wmcasemgmt.com/sites/casemanagement/Gold Library/QA-0854X.xlsx</vt:lpwstr>
  </property>
</Properties>
</file>